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1a. Quarterly Reporting\10. Final Documents\Q325\"/>
    </mc:Choice>
  </mc:AlternateContent>
  <xr:revisionPtr revIDLastSave="0" documentId="13_ncr:8001_{A570A8D1-8E18-4E1C-B3F7-FD39883AE997}" xr6:coauthVersionLast="47" xr6:coauthVersionMax="47" xr10:uidLastSave="{00000000-0000-0000-0000-000000000000}"/>
  <bookViews>
    <workbookView xWindow="-108" yWindow="-108" windowWidth="23256" windowHeight="12456" tabRatio="889" xr2:uid="{49604ADF-041F-4CC2-92DC-2C2D2C404E73}"/>
  </bookViews>
  <sheets>
    <sheet name="Cover" sheetId="1" r:id="rId1"/>
    <sheet name="ToC" sheetId="2" r:id="rId2"/>
    <sheet name="Notes_1" sheetId="3" r:id="rId3"/>
    <sheet name="Notes_2" sheetId="4" r:id="rId4"/>
    <sheet name="Notes_3" sheetId="5" r:id="rId5"/>
    <sheet name="EDTF" sheetId="6" r:id="rId6"/>
    <sheet name="1" sheetId="7" r:id="rId7"/>
    <sheet name="2" sheetId="8" r:id="rId8"/>
    <sheet name="3" sheetId="9" r:id="rId9"/>
    <sheet name="4" sheetId="10" r:id="rId10"/>
    <sheet name="5" sheetId="11" r:id="rId11"/>
    <sheet name="6" sheetId="12" r:id="rId12"/>
    <sheet name="7" sheetId="13" r:id="rId13"/>
    <sheet name="8" sheetId="14" r:id="rId14"/>
    <sheet name="9" sheetId="15" r:id="rId15"/>
    <sheet name="10" sheetId="16" r:id="rId16"/>
    <sheet name="11" sheetId="17" r:id="rId17"/>
    <sheet name="12" sheetId="18" r:id="rId18"/>
    <sheet name="13" sheetId="19" r:id="rId19"/>
    <sheet name="14" sheetId="20" r:id="rId20"/>
    <sheet name="15" sheetId="21" r:id="rId21"/>
    <sheet name="16" sheetId="22" r:id="rId22"/>
    <sheet name="17" sheetId="23" r:id="rId23"/>
    <sheet name="18" sheetId="24" r:id="rId24"/>
    <sheet name="19" sheetId="25" r:id="rId25"/>
    <sheet name="20" sheetId="26" r:id="rId26"/>
    <sheet name="21" sheetId="27" r:id="rId27"/>
    <sheet name="22" sheetId="28" r:id="rId28"/>
    <sheet name="23" sheetId="29" r:id="rId29"/>
    <sheet name="24" sheetId="30" r:id="rId30"/>
    <sheet name="25" sheetId="31" r:id="rId31"/>
    <sheet name="26" sheetId="32" r:id="rId32"/>
    <sheet name="27" sheetId="33" r:id="rId33"/>
    <sheet name="28" sheetId="34" r:id="rId34"/>
    <sheet name="29" sheetId="35" r:id="rId35"/>
    <sheet name="30" sheetId="36" r:id="rId36"/>
    <sheet name="31" sheetId="37" r:id="rId37"/>
    <sheet name="32" sheetId="38" r:id="rId38"/>
    <sheet name="33" sheetId="39" r:id="rId39"/>
    <sheet name="34" sheetId="40" r:id="rId40"/>
    <sheet name="35" sheetId="41" r:id="rId41"/>
  </sheets>
  <externalReferences>
    <externalReference r:id="rId42"/>
  </externalReferences>
  <definedNames>
    <definedName name="Cover" localSheetId="0">Cover!$B$20:$P$22</definedName>
    <definedName name="FiscalYear">[1]Home!$D$7</definedName>
    <definedName name="HeadingVariance">Cover!#REF!</definedName>
    <definedName name="HeadingVarianceOther">Cover!#REF!</definedName>
    <definedName name="Language">[1]Home!$I$20:$I$21</definedName>
    <definedName name="_xlnm.Print_Area" localSheetId="0">Cover!$A$1:$Q$35</definedName>
    <definedName name="ReportPeriod">[1]Home!$D$8</definedName>
    <definedName name="VarianceMax">Cover!#REF!</definedName>
    <definedName name="VarianceMin">Cover!#REF!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2" l="1"/>
  <c r="A47" i="2"/>
  <c r="A46" i="2"/>
  <c r="A45" i="2"/>
  <c r="A43" i="2"/>
  <c r="A42" i="2"/>
  <c r="B48" i="2"/>
  <c r="B47" i="2"/>
  <c r="B46" i="2"/>
  <c r="B45" i="2"/>
  <c r="B44" i="2"/>
  <c r="A44" i="2"/>
  <c r="B43" i="2"/>
  <c r="B42" i="2"/>
  <c r="B41" i="2"/>
  <c r="A41" i="2"/>
  <c r="B40" i="2"/>
  <c r="A40" i="2"/>
  <c r="B38" i="2"/>
  <c r="A38" i="2"/>
  <c r="B37" i="2"/>
  <c r="A37" i="2"/>
  <c r="B35" i="2"/>
  <c r="A35" i="2"/>
  <c r="B34" i="2"/>
  <c r="A34" i="2"/>
  <c r="B33" i="2"/>
  <c r="A33" i="2"/>
  <c r="B32" i="2"/>
  <c r="A32" i="2"/>
  <c r="B31" i="2"/>
  <c r="A31" i="2"/>
  <c r="B30" i="2"/>
  <c r="A30" i="2"/>
  <c r="B29" i="2"/>
  <c r="A29" i="2"/>
  <c r="B26" i="2"/>
  <c r="A26" i="2"/>
  <c r="B25" i="2"/>
  <c r="A25" i="2"/>
  <c r="B24" i="2"/>
  <c r="A24" i="2"/>
  <c r="B23" i="2"/>
  <c r="A23" i="2"/>
  <c r="B22" i="2"/>
  <c r="A22" i="2"/>
  <c r="B21" i="2"/>
  <c r="A21" i="2"/>
  <c r="B20" i="2"/>
  <c r="A20" i="2"/>
  <c r="B19" i="2"/>
  <c r="A19" i="2"/>
  <c r="B17" i="2"/>
  <c r="A17" i="2"/>
  <c r="B16" i="2"/>
  <c r="A16" i="2"/>
  <c r="B15" i="2"/>
  <c r="A15" i="2"/>
  <c r="B14" i="2"/>
  <c r="A14" i="2"/>
  <c r="B13" i="2"/>
  <c r="A13" i="2"/>
  <c r="B12" i="2"/>
  <c r="A12" i="2"/>
  <c r="B9" i="2"/>
  <c r="A9" i="2"/>
  <c r="B8" i="2"/>
  <c r="A8" i="2"/>
  <c r="B7" i="2"/>
  <c r="A7" i="2"/>
  <c r="B6" i="2"/>
  <c r="A6" i="2"/>
  <c r="B5" i="2"/>
  <c r="A5" i="2"/>
  <c r="A3" i="2"/>
</calcChain>
</file>

<file path=xl/sharedStrings.xml><?xml version="1.0" encoding="utf-8"?>
<sst xmlns="http://schemas.openxmlformats.org/spreadsheetml/2006/main" count="4931" uniqueCount="1044">
  <si>
    <t>Supplementary</t>
  </si>
  <si>
    <t>Financial Information</t>
  </si>
  <si>
    <t>Q3 2025</t>
  </si>
  <si>
    <t>For the period ended: July 31, 2025</t>
  </si>
  <si>
    <t>For further information, contact Scotiabank Investor Relations:</t>
  </si>
  <si>
    <t>Meny Grauman (meny.grauman@scotiabank.com)</t>
  </si>
  <si>
    <t>Rebecca Hoang (rebecca.hoang@scotiabank.com)</t>
  </si>
  <si>
    <t>Supplementary Financial Information (SFI)</t>
  </si>
  <si>
    <t>Page</t>
  </si>
  <si>
    <t>Business Segment Performance</t>
  </si>
  <si>
    <t>Credit-Related Information</t>
  </si>
  <si>
    <r>
      <t>Note:</t>
    </r>
    <r>
      <rPr>
        <sz val="9"/>
        <color theme="1"/>
        <rFont val="Scotia"/>
        <family val="2"/>
      </rPr>
      <t xml:space="preserve"> The supplementary financial information package contains comparative figures that have been reclassified in prior periods, where applicable, to conform with the current reporting period presentation.</t>
    </r>
  </si>
  <si>
    <t>Back to Table of Contents</t>
  </si>
  <si>
    <r>
      <rPr>
        <b/>
        <sz val="14"/>
        <color rgb="FFFFFFFF"/>
        <rFont val="Scotia"/>
        <family val="2"/>
      </rPr>
      <t>Notes</t>
    </r>
  </si>
  <si>
    <t/>
  </si>
  <si>
    <r>
      <rPr>
        <b/>
        <sz val="11"/>
        <color rgb="FF000000"/>
        <rFont val="Scotia"/>
        <family val="2"/>
      </rPr>
      <t>This document is not audited and should be read in conjunction with our Q3 2025 Quarterly Report to Shareholders and 2024 Annual Report.</t>
    </r>
  </si>
  <si>
    <r>
      <rPr>
        <b/>
        <sz val="11"/>
        <color rgb="FF000000"/>
        <rFont val="Scotia"/>
        <family val="2"/>
      </rPr>
      <t xml:space="preserve">Non-GAAP Measures: </t>
    </r>
  </si>
  <si>
    <r>
      <rPr>
        <sz val="11"/>
        <color rgb="FF000000"/>
        <rFont val="Scotia"/>
        <family val="2"/>
      </rPr>
      <t>The Bank uses a number of financial measures and ratios to assess its performance, as well as the performance of its operating segments. Some of these financial measures and ratios are presented on a non-GAAP basis and are not calculated in accordance with Generally Accepted Accounting Principles (GAAP), which are based on International Financial Reporting Standards (IFRS) as issued by the International Accounting Standards Board (IASB), are not defined by GAAP and do not have standardized meanings and therefore might not be comparable to similar financial measures and ratios disclosed by other issuers. The Bank believes that non-GAAP measures and ratios are useful as they provide readers with a better understanding of how management assesses performance. These non-GAAP measures and ratios are used throughout this report and defined below.</t>
    </r>
  </si>
  <si>
    <r>
      <rPr>
        <b/>
        <sz val="11"/>
        <color rgb="FF000000"/>
        <rFont val="Scotia"/>
        <family val="2"/>
      </rPr>
      <t xml:space="preserve">Adjusted results and adjusted diluted earnings per share: </t>
    </r>
  </si>
  <si>
    <r>
      <rPr>
        <sz val="11"/>
        <color rgb="FF000000"/>
        <rFont val="Scotia"/>
        <family val="2"/>
      </rPr>
      <t>Management considers both reported and adjusted results and measures useful in assessing underlying ongoing business performance. Adjusted results and measures remove certain specified items from revenue, non-interest expenses, income taxes and non-controlling interest. Presenting results on both a reported basis and adjusted basis allows readers to assess the impact of certain items on results for the periods presented, and to better assess results and trends excluding those items that may not be reflective of ongoing business performance.</t>
    </r>
  </si>
  <si>
    <r>
      <rPr>
        <b/>
        <sz val="11"/>
        <color rgb="FF000000"/>
        <rFont val="Scotia"/>
        <family val="2"/>
      </rPr>
      <t>The Bank’s 2025, 2024 and 2023 results were adjusted for the following items. These amounts were recorded in the Other operating segment, unless otherwise noted.</t>
    </r>
  </si>
  <si>
    <r>
      <rPr>
        <sz val="11"/>
        <color rgb="FF000000"/>
        <rFont val="Scotia"/>
        <family val="2"/>
      </rPr>
      <t>a) Divestitures and wind-down of operations</t>
    </r>
  </si>
  <si>
    <t>On January 6, 2025, the Bank entered into an agreement to sell its banking operations in Colombia, Costa Rica and Panama in exchange for an approximately 20% ownership stake in the newly combined entity of Davivienda. On that date, the Bank recognized an impairment loss of $1,362 million ($1,355 million after-tax) as the banking operations that are part of the transaction were classified as held-for-sale. Subsequently, in Q2 2025, the Bank recognized an additional impairment loss of $26 million ($8 million after-tax) and in Q3 2025 recognized a partial reversal of the impairment loss of $23 million ($29 million after-tax). These subsequent changes represent changes in the carrying value of the assets being sold, as well as changes in foreign currency. These amounts were recorded in non-interest expenses - other. For further details, please refer to Note 20 of the Condensed Interim Consolidated Financial Statements._x000D_
_x000D_
In Q2 2025, the Bank completed the sale of CrediScotia Financiera S.A. (CrediScotia), a wholly-owned consumer finance subsidiary in Peru, to Banco Santander S.A. (Espana). The Bank recognized an additional loss of $9 million in non-interest income – other upon closing. In Q3 2024, the Bank had recognized an impairment loss of $143 million in non-interest income – other and a recovery of expenses of $7 million in non-interest expenses – salaries and employee benefits (collectively $90 million after-tax), the majority of which related to goodwill. For further details, please refer to Note 20 of the Condensed Interim Consolidated Financial Statements._x000D_
_x000D_
In Q4 2023, the Bank sold its 20% equity interest in Canadian Tire’s Financial Services business (CTFS) to Canadian Tire Corporation. The sale resulted in a net gain of $367 million ($319 million after-tax) and was recorded in non-interest income – other. For further details, please refer to Note 37 of the Consolidated Financial Statements in the 2024 Annual Report to Shareholders.</t>
  </si>
  <si>
    <r>
      <rPr>
        <sz val="11"/>
        <color rgb="FF000000"/>
        <rFont val="Scotia"/>
        <family val="2"/>
      </rPr>
      <t>b) Amortization of acquisition-related intangible assets</t>
    </r>
  </si>
  <si>
    <r>
      <rPr>
        <sz val="11"/>
        <color rgb="FF000000"/>
        <rFont val="Scotia"/>
        <family val="2"/>
      </rPr>
      <t>These costs relate to the amortization of intangible assets recognized upon the acquisition of businesses, excluding software. These costs are recorded in non-interest expenses - depreciation and amortization for the Canadian Banking, International Banking and Global Wealth Management operating segments, and non-interest income - net income from investments in associated corporations for the Other operating segment.</t>
    </r>
  </si>
  <si>
    <r>
      <rPr>
        <sz val="11"/>
        <color rgb="FF000000"/>
        <rFont val="Scotia"/>
        <family val="2"/>
      </rPr>
      <t>c) Restructuring charge and severance provisions</t>
    </r>
    <r>
      <rPr>
        <sz val="11"/>
        <color rgb="FF000000"/>
        <rFont val="Scotia"/>
        <family val="2"/>
      </rPr>
      <t xml:space="preserve">_x000D_
</t>
    </r>
  </si>
  <si>
    <r>
      <rPr>
        <sz val="11"/>
        <color rgb="FF000000"/>
        <rFont val="Scotia"/>
        <family val="2"/>
      </rPr>
      <t>In Q4 2024, the Bank recorded severance provisions of $53 million ($38 million after-tax) related to the Bank’s continued efforts to streamline its organizational structure and support execution of the Bank’s strategy. In Q4 2023, the Bank recorded a restructuring charge and severance provisions of $354 million ($258 million after-tax) related to workforce reductions and changing business needs, as well as ongoing efforts to streamline operational processes and optimize distribution channels. For further details, please refer to Note 24 of the Consolidated Financial Statements in the 2024 Annual Report to Shareholders.</t>
    </r>
  </si>
  <si>
    <r>
      <rPr>
        <sz val="11"/>
        <color rgb="FF000000"/>
        <rFont val="Scotia"/>
        <family val="2"/>
      </rPr>
      <t>d) Impairment of non-financial assets</t>
    </r>
    <r>
      <rPr>
        <sz val="11"/>
        <color rgb="FF000000"/>
        <rFont val="Scotia"/>
        <family val="2"/>
      </rPr>
      <t xml:space="preserve">_x000D_
</t>
    </r>
  </si>
  <si>
    <r>
      <rPr>
        <sz val="11"/>
        <color rgb="FF000000"/>
        <rFont val="Scotia"/>
        <family val="2"/>
      </rPr>
      <t>In Q4 2024, the Bank recorded impairment charges of $343 million ($309 million after-tax) related to its investment in associate, Bank of Xi’an Co. Ltd. in China, driven primarily by the continued weakening of the economic outlook in China and whose market value has remained below the Bank’s carrying value for a prolonged period (Q4 2023 – $185 million pre-tax and $159 million after-tax). In Q4 2024, the Bank recorded an impairment of software intangible assets of $97 million ($70 million after-tax). In Q4 2023, the Bank recorded an impairment of software and other intangible assets of $161 million ($114 million after-tax). For further details, please refer to Notes 18 and 19 of the Consolidated Financial Statements in the 2024 Annual Report to Shareholders.</t>
    </r>
    <r>
      <rPr>
        <sz val="11"/>
        <color rgb="FF000000"/>
        <rFont val="Scotia"/>
        <family val="2"/>
      </rPr>
      <t xml:space="preserve">_x000D_
_x000D_
_x000D_
_x000D_
</t>
    </r>
  </si>
  <si>
    <r>
      <rPr>
        <sz val="11"/>
        <color rgb="FF000000"/>
        <rFont val="Scotia"/>
        <family val="2"/>
      </rPr>
      <t>e) Legal provision</t>
    </r>
  </si>
  <si>
    <r>
      <rPr>
        <sz val="11"/>
        <color rgb="FF000000"/>
        <rFont val="Scotia"/>
        <family val="2"/>
      </rPr>
      <t>In Q3 2024, the Bank recognized a $176 million expense for legal actions in Peru relating to certain value-added tax assessed amounts and associated interest. The legal actions arose from certain client transactions that occurred prior to the Bank’s acquisition of its Peruvian subsidiary. For further details, please refer to Note 24 of the Consolidated Financial Statements in the 2024 Annual Report to Shareholders.</t>
    </r>
  </si>
  <si>
    <r>
      <rPr>
        <sz val="11"/>
        <color rgb="FF000000"/>
        <rFont val="Scotia"/>
        <family val="2"/>
      </rPr>
      <t>f) Consolidation of real estate and contract termination costs</t>
    </r>
    <r>
      <rPr>
        <sz val="11"/>
        <color rgb="FF000000"/>
        <rFont val="Scotia"/>
        <family val="2"/>
      </rPr>
      <t xml:space="preserve">_x000D_
</t>
    </r>
  </si>
  <si>
    <r>
      <rPr>
        <sz val="11"/>
        <color rgb="FF000000"/>
        <rFont val="Scotia"/>
        <family val="2"/>
      </rPr>
      <t>In Q4 2023, the Bank recorded costs of $87 million ($63 million after-tax) related to the consolidation and exit of certain real estate premises, as well as service contract termination costs, as part of the Bank’s optimization strategy.</t>
    </r>
  </si>
  <si>
    <r>
      <rPr>
        <sz val="11"/>
        <color rgb="FF000000"/>
        <rFont val="Scotia"/>
        <family val="2"/>
      </rPr>
      <t>g) Canada Recovery Dividend</t>
    </r>
  </si>
  <si>
    <t>In Q1 2023, the Bank recognized an additional income tax expense of $579 million reflecting the present value of the amount payable for the Canada Recovery Dividend (CRD). The CRD is a Canadian federal tax measure which requires the Bank to pay a one-time tax of 15% on taxable income in excess of $1 billion, based on the average taxable income for the 2020 and 2021 taxation years. For further details, please refer to Note 28 of the Consolidated Financial Statements in the 2024 Annual Report to Shareholders.</t>
  </si>
  <si>
    <r>
      <rPr>
        <b/>
        <sz val="11"/>
        <color rgb="FF000000"/>
        <rFont val="Scotia"/>
        <family val="2"/>
      </rPr>
      <t>In addition to the above, the following adjustment also impacted earnings per share calculation.</t>
    </r>
  </si>
  <si>
    <r>
      <rPr>
        <sz val="11"/>
        <color rgb="FF000000"/>
        <rFont val="Scotia"/>
        <family val="2"/>
      </rPr>
      <t>h) Foreign currency loss on redemption of Subordinated Additional Tier 1 Capital Note</t>
    </r>
  </si>
  <si>
    <t>In Q3 2025, the Bank redeemed all outstanding U.S. $1,250 million 4.900% Fixed Rate Resetting Perpetual Subordinated Additional Tier 1 Capital Notes (AT1 Note). The redemption resulted in a foreign currency loss of $22 million, which was recognized in retained earnings. The loss was deducted from net income attributable to common shareholders for the purposes of calculating basic and diluted earnings per share (EPS). For the adjusted diluted EPS calculation, the loss was added back as an adjusting item (refer to Appendix 3 of the Supplementary Financial Information Report for reconciliation). For further details, please refer to Note 11 and Note 17 of the Q3 2025 Quarterly Report to Shareholders.</t>
  </si>
  <si>
    <r>
      <rPr>
        <b/>
        <sz val="14"/>
        <color rgb="FFFFFFFF"/>
        <rFont val="Scotia"/>
        <family val="2"/>
      </rPr>
      <t>Notes (Cont'd)</t>
    </r>
  </si>
  <si>
    <r>
      <rPr>
        <b/>
        <sz val="10"/>
        <color rgb="FF000000"/>
        <rFont val="Scotia"/>
        <family val="2"/>
      </rPr>
      <t>Adjusting Items⁽¹⁾ :</t>
    </r>
    <r>
      <rPr>
        <sz val="10"/>
        <color rgb="FF000000"/>
        <rFont val="Scotia"/>
        <family val="2"/>
      </rPr>
      <t xml:space="preserve"> Adjusted results exclude the following items:</t>
    </r>
  </si>
  <si>
    <r>
      <rPr>
        <i/>
        <sz val="10"/>
        <color rgb="FFFF0000"/>
        <rFont val="Scotia"/>
        <family val="2"/>
      </rPr>
      <t xml:space="preserve">($ millions) </t>
    </r>
  </si>
  <si>
    <r>
      <rPr>
        <b/>
        <sz val="10"/>
        <color rgb="FF000000"/>
        <rFont val="Scotia"/>
        <family val="2"/>
      </rPr>
      <t>2025</t>
    </r>
  </si>
  <si>
    <r>
      <rPr>
        <sz val="10"/>
        <color rgb="FF000000"/>
        <rFont val="Scotia"/>
        <family val="2"/>
      </rPr>
      <t>Year-To-Date</t>
    </r>
  </si>
  <si>
    <r>
      <rPr>
        <sz val="10"/>
        <color rgb="FF000000"/>
        <rFont val="Scotia"/>
        <family val="2"/>
      </rPr>
      <t>Full Year</t>
    </r>
  </si>
  <si>
    <r>
      <rPr>
        <b/>
        <sz val="10"/>
        <color rgb="FFFF0000"/>
        <rFont val="Scotia"/>
        <family val="2"/>
      </rPr>
      <t>Adjusting Items (Pre-Tax)</t>
    </r>
  </si>
  <si>
    <r>
      <rPr>
        <b/>
        <sz val="10"/>
        <color rgb="FF000000"/>
        <rFont val="Scotia"/>
        <family val="2"/>
      </rPr>
      <t>Q3</t>
    </r>
  </si>
  <si>
    <r>
      <rPr>
        <sz val="10"/>
        <color rgb="FF000000"/>
        <rFont val="Scotia"/>
        <family val="2"/>
      </rPr>
      <t>Q2</t>
    </r>
  </si>
  <si>
    <r>
      <rPr>
        <sz val="10"/>
        <color rgb="FF000000"/>
        <rFont val="Scotia"/>
        <family val="2"/>
      </rPr>
      <t>Q1</t>
    </r>
  </si>
  <si>
    <r>
      <rPr>
        <sz val="10"/>
        <color rgb="FF000000"/>
        <rFont val="Scotia"/>
        <family val="2"/>
      </rPr>
      <t>Q4</t>
    </r>
  </si>
  <si>
    <r>
      <rPr>
        <sz val="10"/>
        <color rgb="FF000000"/>
        <rFont val="Scotia"/>
        <family val="2"/>
      </rPr>
      <t>Q3</t>
    </r>
  </si>
  <si>
    <r>
      <rPr>
        <b/>
        <sz val="10"/>
        <color rgb="FF000000"/>
        <rFont val="Scotia"/>
        <family val="2"/>
      </rPr>
      <t>Acquisition-Related Costs</t>
    </r>
  </si>
  <si>
    <r>
      <rPr>
        <b/>
        <sz val="10"/>
        <color rgb="FF000000"/>
        <rFont val="Scotia"/>
        <family val="2"/>
      </rPr>
      <t>Amortization of acquisition-related intangible assets⁽²⁾</t>
    </r>
  </si>
  <si>
    <r>
      <rPr>
        <sz val="10"/>
        <color rgb="FF000000"/>
        <rFont val="Scotia"/>
        <family val="2"/>
      </rPr>
      <t xml:space="preserve">Canadian Banking </t>
    </r>
  </si>
  <si>
    <r>
      <rPr>
        <sz val="10"/>
        <color rgb="FF000000"/>
        <rFont val="Scotia"/>
        <family val="2"/>
      </rPr>
      <t>International Banking</t>
    </r>
  </si>
  <si>
    <r>
      <rPr>
        <sz val="10"/>
        <color rgb="FF000000"/>
        <rFont val="Scotia"/>
        <family val="2"/>
      </rPr>
      <t xml:space="preserve">Global Wealth Management </t>
    </r>
  </si>
  <si>
    <r>
      <rPr>
        <sz val="10"/>
        <color rgb="FF000000"/>
        <rFont val="Scotia"/>
        <family val="2"/>
      </rPr>
      <t>Other</t>
    </r>
  </si>
  <si>
    <r>
      <rPr>
        <b/>
        <sz val="10"/>
        <color rgb="FF000000"/>
        <rFont val="Scotia"/>
        <family val="2"/>
      </rPr>
      <t>Other</t>
    </r>
  </si>
  <si>
    <r>
      <rPr>
        <b/>
        <sz val="10"/>
        <color rgb="FF000000"/>
        <rFont val="Scotia"/>
        <family val="2"/>
      </rPr>
      <t>Divestitures and wind-down of operations⁽³⁾</t>
    </r>
  </si>
  <si>
    <r>
      <rPr>
        <b/>
        <sz val="10"/>
        <color rgb="FF000000"/>
        <rFont val="Scotia"/>
        <family val="2"/>
      </rPr>
      <t>Impairment of non-financial assets⁽⁴⁾</t>
    </r>
  </si>
  <si>
    <r>
      <rPr>
        <b/>
        <sz val="10"/>
        <color rgb="FF000000"/>
        <rFont val="Scotia"/>
        <family val="2"/>
      </rPr>
      <t>Restructuring charge and severance provisions⁽⁴⁾</t>
    </r>
  </si>
  <si>
    <r>
      <rPr>
        <b/>
        <sz val="10"/>
        <color rgb="FF000000"/>
        <rFont val="Scotia"/>
        <family val="2"/>
      </rPr>
      <t>Legal provision⁽⁴⁾</t>
    </r>
  </si>
  <si>
    <r>
      <rPr>
        <b/>
        <sz val="10"/>
        <color rgb="FF000000"/>
        <rFont val="Scotia"/>
        <family val="2"/>
      </rPr>
      <t>Consolidation of real estate and contract termination costs⁽⁴⁾</t>
    </r>
  </si>
  <si>
    <r>
      <rPr>
        <b/>
        <sz val="10"/>
        <color rgb="FF000000"/>
        <rFont val="Scotia"/>
        <family val="2"/>
      </rPr>
      <t>Total (Pre-Tax)</t>
    </r>
  </si>
  <si>
    <r>
      <rPr>
        <b/>
        <sz val="10"/>
        <color rgb="FFFF0000"/>
        <rFont val="Scotia"/>
        <family val="2"/>
      </rPr>
      <t>Adjusting Items (After-Tax, NCI)</t>
    </r>
  </si>
  <si>
    <r>
      <rPr>
        <b/>
        <sz val="10"/>
        <color rgb="FF000000"/>
        <rFont val="Scotia"/>
        <family val="2"/>
      </rPr>
      <t>Amortization of Intangibles⁽²⁾</t>
    </r>
  </si>
  <si>
    <r>
      <rPr>
        <b/>
        <sz val="10"/>
        <color rgb="FF000000"/>
        <rFont val="Scotia"/>
        <family val="2"/>
      </rPr>
      <t>Canada recovery dividend⁽⁵⁾</t>
    </r>
  </si>
  <si>
    <r>
      <rPr>
        <b/>
        <sz val="10"/>
        <color rgb="FF000000"/>
        <rFont val="Scotia"/>
        <family val="2"/>
      </rPr>
      <t>Total (After-Tax, NCI)</t>
    </r>
  </si>
  <si>
    <r>
      <rPr>
        <sz val="7"/>
        <color rgb="FF000000"/>
        <rFont val="Scotia"/>
        <family val="2"/>
      </rPr>
      <t>(1) Refer to non-GAAP Measures on Notes Page 1 of the Supplementary Financial Information Report.</t>
    </r>
  </si>
  <si>
    <r>
      <rPr>
        <sz val="7"/>
        <color rgb="FF000000"/>
        <rFont val="Scotia"/>
        <family val="2"/>
      </rPr>
      <t>(2) Excludes amortization of intangibles related to software. Recorded in non-interest expenses - depreciation and amortization for the Canadian Banking, International Banking and Global Wealth Management operating segments and non-interest income - net income from investments in associated corporations for the Other operating segment.</t>
    </r>
  </si>
  <si>
    <r>
      <rPr>
        <sz val="7"/>
        <color rgb="FF000000"/>
        <rFont val="Scotia"/>
        <family val="2"/>
      </rPr>
      <t xml:space="preserve">(3) Recognized impairment loss of $1,362 million in Q1 2025, $26 million in Q2 2025 and partial recovery of loss of $23 million in Q3 2025 in non-interest expenses, related to the announced sale of operations in in Colombia, Costa Rica and Panama. Recognized a loss of $9 million in non-interest income in Q2 2025 relating to the sale of CrediScotia (impairment loss of $143 million in non-interest income and a recovery of expenses in non-interest expenses of $7 million in Q3 2024). Recognized a gain of $367 million in Q4 2023 in non-interest income, related to the sale of equity interest in CTFS.  All amounts were recognized in the Other operating segment. </t>
    </r>
  </si>
  <si>
    <r>
      <rPr>
        <sz val="7"/>
        <color rgb="FF000000"/>
        <rFont val="Scotia"/>
        <family val="2"/>
      </rPr>
      <t>(4)</t>
    </r>
    <r>
      <rPr>
        <vertAlign val="superscript"/>
        <sz val="7"/>
        <color rgb="FF000000"/>
        <rFont val="Scotia"/>
        <family val="2"/>
      </rPr>
      <t xml:space="preserve"> </t>
    </r>
    <r>
      <rPr>
        <sz val="7"/>
        <color rgb="FF000000"/>
        <rFont val="Scotia"/>
        <family val="2"/>
      </rPr>
      <t>Recorded in Other operating segment - Non Interest Expenses.</t>
    </r>
  </si>
  <si>
    <r>
      <rPr>
        <sz val="7"/>
        <color rgb="FF000000"/>
        <rFont val="Scotia"/>
        <family val="2"/>
      </rPr>
      <t>(5)</t>
    </r>
    <r>
      <rPr>
        <vertAlign val="superscript"/>
        <sz val="7"/>
        <color rgb="FF000000"/>
        <rFont val="Scotia"/>
        <family val="2"/>
      </rPr>
      <t xml:space="preserve"> </t>
    </r>
    <r>
      <rPr>
        <sz val="7"/>
        <color rgb="FF000000"/>
        <rFont val="Scotia"/>
        <family val="2"/>
      </rPr>
      <t>Recorded in Other operating segment - Income Tax Expense.</t>
    </r>
  </si>
  <si>
    <r>
      <rPr>
        <b/>
        <sz val="11"/>
        <color rgb="FF000000"/>
        <rFont val="Scotia"/>
        <family val="2"/>
      </rPr>
      <t>Changes in business line allocation methodology</t>
    </r>
  </si>
  <si>
    <r>
      <rPr>
        <sz val="11"/>
        <color rgb="FF000000"/>
        <rFont val="Scotia"/>
        <family val="2"/>
      </rPr>
      <t xml:space="preserve">Effective the first quarter of 2025, Scotiabank has made voluntary changes to the Bank’s allocation methodology impacting business segment presentation. The new methodology includes updates related to the Bank’s funds transfer pricing, head office expense allocations, and allocations between business segments. The changes do not impact the Bank’s consolidated 2024 and 2023 reported and adjusted financial results. For better comparability of results across periods, prior period results and ratios for each segment have been revised to conform with the current period’s methodology.  Further details on the changes are as follows: </t>
    </r>
    <r>
      <rPr>
        <sz val="11"/>
        <color rgb="FF000000"/>
        <rFont val="Scotia"/>
        <family val="2"/>
      </rPr>
      <t xml:space="preserve">_x000D_
</t>
    </r>
  </si>
  <si>
    <r>
      <rPr>
        <sz val="11"/>
        <color rgb="FF000000"/>
        <rFont val="Scotia"/>
        <family val="2"/>
      </rPr>
      <t>1. Funds transfer pricing methodology was updated, primarily related to the allocation of substantially all liquidity costs to the business lines, reflecting the Bank’s strategic objective to maintain higher liquidity ratios.</t>
    </r>
    <r>
      <rPr>
        <sz val="11"/>
        <color rgb="FF000000"/>
        <rFont val="Scotia"/>
        <family val="2"/>
      </rPr>
      <t>_x000D_
_x000D_
2. Periodically, the Bank updates its allocation methodologies. This includes a comprehensive update to the allocation of head office expenses across countries within International Banking, updates to the allocation of clients and associated revenue, expenses, and balances between International Banking, Global Banking and Markets, and Global Wealth Management to align with the strategy, as well as updates to the allocation of head office expenses and taxes from the Other segment to the business segmen</t>
    </r>
    <r>
      <rPr>
        <sz val="11"/>
        <color rgb="FF000000"/>
        <rFont val="Scotia"/>
        <family val="2"/>
      </rPr>
      <t>ts. _x000D_
_x000D_
3. To be consistent with the reporting of Scotiabank’s recent minority investment in KeyCorp, the Bank has also made changes to the reporting of certain minority investments in International Banking (Bank of Xi’an Co. Ltd.) and Global Wealth Management (Bank of Beijing Scotia Asset Management) which will now be reported in the Other se</t>
    </r>
    <r>
      <rPr>
        <sz val="11"/>
        <color rgb="FF000000"/>
        <rFont val="Scotia"/>
        <family val="2"/>
      </rPr>
      <t xml:space="preserve">gment.  _x000D_
</t>
    </r>
  </si>
  <si>
    <r>
      <rPr>
        <sz val="11"/>
        <color rgb="FF000000"/>
        <rFont val="Scotia"/>
        <family val="2"/>
      </rPr>
      <t xml:space="preserve">This supplementary financial package provides revised results for fiscal 2024 and 2023. </t>
    </r>
    <r>
      <rPr>
        <b/>
        <sz val="11"/>
        <color rgb="FF000000"/>
        <rFont val="Scotia"/>
        <family val="2"/>
      </rPr>
      <t>Pages impacted are as follows:</t>
    </r>
    <r>
      <rPr>
        <sz val="11"/>
        <color rgb="FF000000"/>
        <rFont val="Scotia"/>
        <family val="2"/>
      </rPr>
      <t>_x000D_
_x000D_
Page 4 - Business Segment Performance: Canadian Bank</t>
    </r>
    <r>
      <rPr>
        <sz val="11"/>
        <color rgb="FF000000"/>
        <rFont val="Scotia"/>
        <family val="2"/>
      </rPr>
      <t>ing _x000D_
Page 5 - Business Segment Performance: International B</t>
    </r>
    <r>
      <rPr>
        <sz val="11"/>
        <color rgb="FF000000"/>
        <rFont val="Scotia"/>
        <family val="2"/>
      </rPr>
      <t>anking_x000D_
Page 7 - Business Segment Performance: Global Wealth Ma</t>
    </r>
    <r>
      <rPr>
        <sz val="11"/>
        <color rgb="FF000000"/>
        <rFont val="Scotia"/>
        <family val="2"/>
      </rPr>
      <t>nagement_x000D_
Page 8 - Business Segment Performance: Global Banking a</t>
    </r>
    <r>
      <rPr>
        <sz val="11"/>
        <color rgb="FF000000"/>
        <rFont val="Scotia"/>
        <family val="2"/>
      </rPr>
      <t>nd Markets_x000D_
Page 9 - Business Segment Perfor</t>
    </r>
    <r>
      <rPr>
        <sz val="11"/>
        <color rgb="FF000000"/>
        <rFont val="Scotia"/>
        <family val="2"/>
      </rPr>
      <t xml:space="preserve">mance: Other_x000D_
Page 11 - Revenue from Trading-Related Activities and Assets Under Administration </t>
    </r>
    <r>
      <rPr>
        <sz val="11"/>
        <color rgb="FF000000"/>
        <rFont val="Scotia"/>
        <family val="2"/>
      </rPr>
      <t>and Management_x000D_
Page 27 - Appendix 1: Global Banking and Markets (Reported Including Interna</t>
    </r>
    <r>
      <rPr>
        <sz val="11"/>
        <color rgb="FF000000"/>
        <rFont val="Scotia"/>
        <family val="2"/>
      </rPr>
      <t>tional Banking) _x000D_
Page 33 - Appendix 3: Reconciliation of non-GAAP Financial Measures — Return on equity reported and adjusted results by</t>
    </r>
    <r>
      <rPr>
        <sz val="11"/>
        <color rgb="FF000000"/>
        <rFont val="Scotia"/>
        <family val="2"/>
      </rPr>
      <t xml:space="preserve"> operating segment_x000D_
Page 34 - Appendix 3: Reconciliation of non-GAAP Financial Measures — Net Interest Margin </t>
    </r>
    <r>
      <rPr>
        <sz val="11"/>
        <rFont val="Scotia"/>
        <family val="2"/>
      </rPr>
      <t>by operating segment</t>
    </r>
  </si>
  <si>
    <r>
      <rPr>
        <b/>
        <sz val="14"/>
        <color rgb="FFFFFFFF"/>
        <rFont val="Scotia"/>
        <family val="2"/>
      </rPr>
      <t>Enhanced Disclosure Task Force (EDTF) Recommendations</t>
    </r>
  </si>
  <si>
    <r>
      <rPr>
        <sz val="9"/>
        <color rgb="FF000000"/>
        <rFont val="Scotia"/>
        <family val="2"/>
      </rPr>
      <t xml:space="preserve">Below is the index of EDTF recommendations to facilitate easy reference in the Bank’s public disclosure documents available on www.scotiabank.com/investorrelations. </t>
    </r>
  </si>
  <si>
    <r>
      <rPr>
        <b/>
        <sz val="7"/>
        <color rgb="FF000000"/>
        <rFont val="Scotia"/>
        <family val="2"/>
      </rPr>
      <t>July 31, 2025 Reference Table for EDTF</t>
    </r>
  </si>
  <si>
    <r>
      <rPr>
        <b/>
        <sz val="7"/>
        <color rgb="FF000000"/>
        <rFont val="Scotia"/>
        <family val="2"/>
      </rPr>
      <t xml:space="preserve">Recommendation </t>
    </r>
  </si>
  <si>
    <r>
      <rPr>
        <b/>
        <sz val="7"/>
        <color rgb="FF000000"/>
        <rFont val="Scotia"/>
        <family val="2"/>
      </rPr>
      <t>Q3/25</t>
    </r>
  </si>
  <si>
    <r>
      <rPr>
        <b/>
        <sz val="7"/>
        <color rgb="FF000000"/>
        <rFont val="Scotia"/>
        <family val="2"/>
      </rPr>
      <t>2024 Annual Report</t>
    </r>
  </si>
  <si>
    <r>
      <rPr>
        <b/>
        <sz val="7"/>
        <color rgb="FF000000"/>
        <rFont val="Scotia"/>
        <family val="2"/>
      </rPr>
      <t>Type of Risk</t>
    </r>
  </si>
  <si>
    <r>
      <rPr>
        <b/>
        <sz val="7"/>
        <color rgb="FF000000"/>
        <rFont val="Scotia"/>
        <family val="2"/>
      </rPr>
      <t>Number</t>
    </r>
  </si>
  <si>
    <r>
      <rPr>
        <b/>
        <sz val="7"/>
        <color rgb="FF000000"/>
        <rFont val="Scotia"/>
        <family val="2"/>
      </rPr>
      <t>Disclosure</t>
    </r>
  </si>
  <si>
    <r>
      <rPr>
        <b/>
        <sz val="7"/>
        <color rgb="FF000000"/>
        <rFont val="Scotia"/>
        <family val="2"/>
      </rPr>
      <t>Quarterly Report</t>
    </r>
  </si>
  <si>
    <r>
      <rPr>
        <b/>
        <sz val="7"/>
        <color rgb="FF000000"/>
        <rFont val="Scotia"/>
        <family val="2"/>
      </rPr>
      <t xml:space="preserve">Supplementary Regulatory </t>
    </r>
    <r>
      <rPr>
        <b/>
        <sz val="7"/>
        <color rgb="FF000000"/>
        <rFont val="Scotia"/>
        <family val="2"/>
      </rPr>
      <t>_x000D_
Capital Disclosur</t>
    </r>
    <r>
      <rPr>
        <b/>
        <sz val="7"/>
        <color rgb="FF000000"/>
        <rFont val="Scotia"/>
        <family val="2"/>
      </rPr>
      <t>es</t>
    </r>
  </si>
  <si>
    <r>
      <rPr>
        <b/>
        <sz val="7"/>
        <color rgb="FF000000"/>
        <rFont val="Scotia"/>
        <family val="2"/>
      </rPr>
      <t>MD&amp;A</t>
    </r>
  </si>
  <si>
    <r>
      <rPr>
        <b/>
        <sz val="7"/>
        <color rgb="FF000000"/>
        <rFont val="Scotia"/>
        <family val="2"/>
      </rPr>
      <t xml:space="preserve">Financial </t>
    </r>
    <r>
      <rPr>
        <b/>
        <sz val="7"/>
        <color rgb="FF000000"/>
        <rFont val="Scotia"/>
        <family val="2"/>
      </rPr>
      <t>_x000D_
Statemen</t>
    </r>
    <r>
      <rPr>
        <b/>
        <sz val="7"/>
        <color rgb="FF000000"/>
        <rFont val="Scotia"/>
        <family val="2"/>
      </rPr>
      <t>ts</t>
    </r>
  </si>
  <si>
    <r>
      <rPr>
        <sz val="7"/>
        <color rgb="FF000000"/>
        <rFont val="Scotia"/>
        <family val="2"/>
      </rPr>
      <t xml:space="preserve">General </t>
    </r>
  </si>
  <si>
    <r>
      <rPr>
        <sz val="7"/>
        <color rgb="FF000000"/>
        <rFont val="Scotia"/>
        <family val="2"/>
      </rPr>
      <t xml:space="preserve">The index of risks to which the business is exposed. </t>
    </r>
  </si>
  <si>
    <r>
      <rPr>
        <sz val="7"/>
        <color rgb="FF000000"/>
        <rFont val="Scotia"/>
        <family val="2"/>
      </rPr>
      <t>The Bank's risk to terminology, measures and key parameters.</t>
    </r>
  </si>
  <si>
    <r>
      <rPr>
        <sz val="7"/>
        <color rgb="FF000000"/>
        <rFont val="Scotia"/>
        <family val="2"/>
      </rPr>
      <t>75-78</t>
    </r>
  </si>
  <si>
    <r>
      <rPr>
        <sz val="7"/>
        <color rgb="FF000000"/>
        <rFont val="Scotia"/>
        <family val="2"/>
      </rPr>
      <t xml:space="preserve">Top and emerging risks, and the changes during the reporting period. </t>
    </r>
  </si>
  <si>
    <r>
      <rPr>
        <sz val="7"/>
        <color rgb="FF000000"/>
        <rFont val="Scotia"/>
        <family val="2"/>
      </rPr>
      <t>37-38</t>
    </r>
  </si>
  <si>
    <r>
      <rPr>
        <sz val="7"/>
        <color rgb="FF000000"/>
        <rFont val="Scotia"/>
        <family val="2"/>
      </rPr>
      <t>80-81, 85-91</t>
    </r>
  </si>
  <si>
    <r>
      <rPr>
        <sz val="7"/>
        <color rgb="FF000000"/>
        <rFont val="Scotia"/>
        <family val="2"/>
      </rPr>
      <t xml:space="preserve">Discussion on the regulatory development and plans to meet new regulatory ratios. </t>
    </r>
  </si>
  <si>
    <r>
      <rPr>
        <sz val="7"/>
        <color rgb="FF000000"/>
        <rFont val="Scotia"/>
        <family val="2"/>
      </rPr>
      <t>52-55</t>
    </r>
  </si>
  <si>
    <r>
      <rPr>
        <sz val="7"/>
        <color rgb="FF000000"/>
        <rFont val="Scotia"/>
        <family val="2"/>
      </rPr>
      <t xml:space="preserve">Risk Governance, </t>
    </r>
    <r>
      <rPr>
        <sz val="7"/>
        <color rgb="FF000000"/>
        <rFont val="Scotia"/>
        <family val="2"/>
      </rPr>
      <t>_x000D_
Risk Management a</t>
    </r>
    <r>
      <rPr>
        <sz val="7"/>
        <color rgb="FF000000"/>
        <rFont val="Scotia"/>
        <family val="2"/>
      </rPr>
      <t>nd_x000D_
Business Mo</t>
    </r>
    <r>
      <rPr>
        <sz val="7"/>
        <color rgb="FF000000"/>
        <rFont val="Scotia"/>
        <family val="2"/>
      </rPr>
      <t xml:space="preserve">del </t>
    </r>
  </si>
  <si>
    <r>
      <rPr>
        <sz val="7"/>
        <color rgb="FF000000"/>
        <rFont val="Scotia"/>
        <family val="2"/>
      </rPr>
      <t xml:space="preserve">The Bank's Risk Governance structure. </t>
    </r>
  </si>
  <si>
    <r>
      <rPr>
        <sz val="7"/>
        <color rgb="FF000000"/>
        <rFont val="Scotia"/>
        <family val="2"/>
      </rPr>
      <t>72-74</t>
    </r>
  </si>
  <si>
    <r>
      <rPr>
        <sz val="7"/>
        <color rgb="FF000000"/>
        <rFont val="Scotia"/>
        <family val="2"/>
      </rPr>
      <t>Description of risk culture and procedures applied to support the culture.</t>
    </r>
  </si>
  <si>
    <r>
      <rPr>
        <sz val="7"/>
        <color rgb="FF000000"/>
        <rFont val="Scotia"/>
        <family val="2"/>
      </rPr>
      <t xml:space="preserve">Description of key risks from the Bank's business model. </t>
    </r>
  </si>
  <si>
    <r>
      <rPr>
        <sz val="7"/>
        <color rgb="FF000000"/>
        <rFont val="Scotia"/>
        <family val="2"/>
      </rPr>
      <t xml:space="preserve">Stress testing use within the Bank's risk governance and capital management. </t>
    </r>
  </si>
  <si>
    <r>
      <rPr>
        <sz val="7"/>
        <color rgb="FF000000"/>
        <rFont val="Scotia"/>
        <family val="2"/>
      </rPr>
      <t>75-76</t>
    </r>
  </si>
  <si>
    <r>
      <rPr>
        <sz val="7"/>
        <color rgb="FF000000"/>
        <rFont val="Scotia"/>
        <family val="2"/>
      </rPr>
      <t>Capital Adequacy and</t>
    </r>
    <r>
      <rPr>
        <sz val="7"/>
        <color rgb="FF000000"/>
        <rFont val="Scotia"/>
        <family val="2"/>
      </rPr>
      <t>_x000D_
Risk-Weighted Asse</t>
    </r>
    <r>
      <rPr>
        <sz val="7"/>
        <color rgb="FF000000"/>
        <rFont val="Scotia"/>
        <family val="2"/>
      </rPr>
      <t>ts</t>
    </r>
  </si>
  <si>
    <r>
      <rPr>
        <sz val="7"/>
        <color rgb="FF000000"/>
        <rFont val="Scotia"/>
        <family val="2"/>
      </rPr>
      <t xml:space="preserve">Pillar 1 capital requirements, and the impact for global systemically important banks. </t>
    </r>
  </si>
  <si>
    <r>
      <rPr>
        <sz val="7"/>
        <color rgb="FF000000"/>
        <rFont val="Scotia"/>
        <family val="2"/>
      </rPr>
      <t>52-54</t>
    </r>
  </si>
  <si>
    <r>
      <rPr>
        <sz val="7"/>
        <color rgb="FF000000"/>
        <rFont val="Scotia"/>
        <family val="2"/>
      </rPr>
      <t>4-5</t>
    </r>
  </si>
  <si>
    <r>
      <rPr>
        <sz val="7"/>
        <color rgb="FF000000"/>
        <rFont val="Scotia"/>
        <family val="2"/>
      </rPr>
      <t>55-58</t>
    </r>
  </si>
  <si>
    <r>
      <rPr>
        <sz val="7"/>
        <color rgb="FF000000"/>
        <rFont val="Scotia"/>
        <family val="2"/>
      </rPr>
      <t>a) Regulatory capital components.</t>
    </r>
  </si>
  <si>
    <r>
      <rPr>
        <sz val="7"/>
        <color rgb="FF000000"/>
        <rFont val="Scotia"/>
        <family val="2"/>
      </rPr>
      <t>52-54, 82</t>
    </r>
  </si>
  <si>
    <r>
      <rPr>
        <sz val="7"/>
        <color rgb="FF000000"/>
        <rFont val="Scotia"/>
        <family val="2"/>
      </rPr>
      <t>21-23</t>
    </r>
  </si>
  <si>
    <r>
      <rPr>
        <sz val="7"/>
        <color rgb="FF000000"/>
        <rFont val="Scotia"/>
        <family val="2"/>
      </rPr>
      <t>b) Reconciliation of the accounting balance sheet to the regulatory balance sheet.</t>
    </r>
  </si>
  <si>
    <r>
      <rPr>
        <sz val="7"/>
        <color rgb="FF000000"/>
        <rFont val="Scotia"/>
        <family val="2"/>
      </rPr>
      <t>18-19</t>
    </r>
  </si>
  <si>
    <r>
      <rPr>
        <sz val="7"/>
        <color rgb="FF000000"/>
        <rFont val="Scotia"/>
        <family val="2"/>
      </rPr>
      <t>Flow statement of the movements in regulatory capital since the previous reporting period,</t>
    </r>
  </si>
  <si>
    <r>
      <rPr>
        <sz val="7"/>
        <color rgb="FF000000"/>
        <rFont val="Scotia"/>
        <family val="2"/>
      </rPr>
      <t>60-61</t>
    </r>
  </si>
  <si>
    <r>
      <rPr>
        <sz val="7"/>
        <color rgb="FF000000"/>
        <rFont val="Scotia"/>
        <family val="2"/>
      </rPr>
      <t xml:space="preserve">including changes in common equity tier 1, additional tier 1 and tier 2 capital. </t>
    </r>
  </si>
  <si>
    <r>
      <rPr>
        <sz val="7"/>
        <color rgb="FF000000"/>
        <rFont val="Scotia"/>
        <family val="2"/>
      </rPr>
      <t xml:space="preserve">Discussion of targeted level of capital, and the plans on how to establish this. </t>
    </r>
  </si>
  <si>
    <r>
      <rPr>
        <sz val="7"/>
        <color rgb="FF000000"/>
        <rFont val="Scotia"/>
        <family val="2"/>
      </rPr>
      <t>Analysis of risk-weighted assets by risk type, business, and market risk RWAs.</t>
    </r>
  </si>
  <si>
    <r>
      <rPr>
        <sz val="7"/>
        <color rgb="FF000000"/>
        <rFont val="Scotia"/>
        <family val="2"/>
      </rPr>
      <t>6, 36-39, 43-60, 69-74, 78, 90, 96, 102</t>
    </r>
  </si>
  <si>
    <r>
      <rPr>
        <sz val="7"/>
        <color rgb="FF000000"/>
        <rFont val="Scotia"/>
        <family val="2"/>
      </rPr>
      <t>63-68, 79, 123</t>
    </r>
  </si>
  <si>
    <r>
      <rPr>
        <sz val="7"/>
        <color rgb="FF000000"/>
        <rFont val="Scotia"/>
        <family val="2"/>
      </rPr>
      <t xml:space="preserve">Analysis of the capital requirements for each Basel asset class. </t>
    </r>
  </si>
  <si>
    <r>
      <rPr>
        <sz val="7"/>
        <color rgb="FF000000"/>
        <rFont val="Scotia"/>
        <family val="2"/>
      </rPr>
      <t>16-17, 36-61, 67-74, 78, 83-86</t>
    </r>
  </si>
  <si>
    <r>
      <rPr>
        <sz val="7"/>
        <color rgb="FF000000"/>
        <rFont val="Scotia"/>
        <family val="2"/>
      </rPr>
      <t>63-68</t>
    </r>
  </si>
  <si>
    <r>
      <rPr>
        <sz val="7"/>
        <color rgb="FF000000"/>
        <rFont val="Scotia"/>
        <family val="2"/>
      </rPr>
      <t>174, 223-229</t>
    </r>
  </si>
  <si>
    <r>
      <rPr>
        <sz val="7"/>
        <color rgb="FF000000"/>
        <rFont val="Scotia"/>
        <family val="2"/>
      </rPr>
      <t>Tabulate credit risk in the Banking Book.</t>
    </r>
  </si>
  <si>
    <r>
      <rPr>
        <sz val="7"/>
        <color rgb="FF000000"/>
        <rFont val="Scotia"/>
        <family val="2"/>
      </rPr>
      <t>86-87</t>
    </r>
  </si>
  <si>
    <r>
      <rPr>
        <sz val="7"/>
        <color rgb="FF000000"/>
        <rFont val="Scotia"/>
        <family val="2"/>
      </rPr>
      <t>16-17, 36-61, 78, 83-86</t>
    </r>
  </si>
  <si>
    <r>
      <rPr>
        <sz val="7"/>
        <color rgb="FF000000"/>
        <rFont val="Scotia"/>
        <family val="2"/>
      </rPr>
      <t>Flow statements reconciling the movements in risk-weighted assets for each risk-weighted asset type.</t>
    </r>
  </si>
  <si>
    <r>
      <rPr>
        <sz val="7"/>
        <color rgb="FF000000"/>
        <rFont val="Scotia"/>
        <family val="2"/>
      </rPr>
      <t>62,77,95</t>
    </r>
  </si>
  <si>
    <r>
      <rPr>
        <sz val="7"/>
        <color rgb="FF000000"/>
        <rFont val="Scotia"/>
        <family val="2"/>
      </rPr>
      <t>Discussion of Basel III Back-testing requirement including credit risk model performance and validation.</t>
    </r>
  </si>
  <si>
    <r>
      <rPr>
        <sz val="7"/>
        <color rgb="FF000000"/>
        <rFont val="Scotia"/>
        <family val="2"/>
      </rPr>
      <t>64-66</t>
    </r>
  </si>
  <si>
    <r>
      <rPr>
        <sz val="7"/>
        <color rgb="FF000000"/>
        <rFont val="Scotia"/>
        <family val="2"/>
      </rPr>
      <t xml:space="preserve">Liquidity Funding </t>
    </r>
  </si>
  <si>
    <r>
      <rPr>
        <sz val="7"/>
        <color rgb="FF000000"/>
        <rFont val="Scotia"/>
        <family val="2"/>
      </rPr>
      <t xml:space="preserve">Analysis of the Bank's liquid assets. </t>
    </r>
  </si>
  <si>
    <r>
      <rPr>
        <sz val="7"/>
        <color rgb="FF000000"/>
        <rFont val="Scotia"/>
        <family val="2"/>
      </rPr>
      <t>44-47</t>
    </r>
  </si>
  <si>
    <r>
      <rPr>
        <sz val="7"/>
        <color rgb="FF000000"/>
        <rFont val="Scotia"/>
        <family val="2"/>
      </rPr>
      <t>98-103</t>
    </r>
  </si>
  <si>
    <r>
      <rPr>
        <sz val="7"/>
        <color rgb="FF000000"/>
        <rFont val="Scotia"/>
        <family val="2"/>
      </rPr>
      <t xml:space="preserve">Encumbered and unencumbered assets analyzed by balance sheet category. </t>
    </r>
  </si>
  <si>
    <r>
      <rPr>
        <sz val="7"/>
        <color rgb="FF000000"/>
        <rFont val="Scotia"/>
        <family val="2"/>
      </rPr>
      <t>Consolidated total assets, liabilities and off-balance sheet commitments analyzed by remaining contractual maturity at the balance sheet date.</t>
    </r>
  </si>
  <si>
    <r>
      <rPr>
        <sz val="7"/>
        <color rgb="FF000000"/>
        <rFont val="Scotia"/>
        <family val="2"/>
      </rPr>
      <t>51-52</t>
    </r>
  </si>
  <si>
    <r>
      <rPr>
        <sz val="7"/>
        <color rgb="FF000000"/>
        <rFont val="Scotia"/>
        <family val="2"/>
      </rPr>
      <t>104-106</t>
    </r>
  </si>
  <si>
    <r>
      <rPr>
        <sz val="7"/>
        <color rgb="FF000000"/>
        <rFont val="Scotia"/>
        <family val="2"/>
      </rPr>
      <t xml:space="preserve">Analysis of the Bank's sources of funding and a description of the Bank's funding strategy. </t>
    </r>
  </si>
  <si>
    <r>
      <rPr>
        <sz val="7"/>
        <color rgb="FF000000"/>
        <rFont val="Scotia"/>
        <family val="2"/>
      </rPr>
      <t>49-50</t>
    </r>
  </si>
  <si>
    <r>
      <rPr>
        <sz val="7"/>
        <color rgb="FF000000"/>
        <rFont val="Scotia"/>
        <family val="2"/>
      </rPr>
      <t>103-104</t>
    </r>
  </si>
  <si>
    <r>
      <rPr>
        <sz val="7"/>
        <color rgb="FF000000"/>
        <rFont val="Scotia"/>
        <family val="2"/>
      </rPr>
      <t xml:space="preserve">Market Risk </t>
    </r>
  </si>
  <si>
    <r>
      <rPr>
        <sz val="7"/>
        <color rgb="FF000000"/>
        <rFont val="Scotia"/>
        <family val="2"/>
      </rPr>
      <t>Linkage of market risk measures for trading and non-trading portfolios and the balance sheet.</t>
    </r>
  </si>
  <si>
    <r>
      <rPr>
        <sz val="7"/>
        <color rgb="FF000000"/>
        <rFont val="Scotia"/>
        <family val="2"/>
      </rPr>
      <t xml:space="preserve">Discussion of significant trading and non-trading market risk factors. </t>
    </r>
  </si>
  <si>
    <r>
      <rPr>
        <sz val="7"/>
        <color rgb="FF000000"/>
        <rFont val="Scotia"/>
        <family val="2"/>
      </rPr>
      <t>87-88</t>
    </r>
  </si>
  <si>
    <r>
      <rPr>
        <sz val="7"/>
        <color rgb="FF000000"/>
        <rFont val="Scotia"/>
        <family val="2"/>
      </rPr>
      <t>92-98</t>
    </r>
  </si>
  <si>
    <r>
      <rPr>
        <sz val="7"/>
        <color rgb="FF000000"/>
        <rFont val="Scotia"/>
        <family val="2"/>
      </rPr>
      <t>228-229</t>
    </r>
  </si>
  <si>
    <r>
      <rPr>
        <sz val="7"/>
        <color rgb="FF000000"/>
        <rFont val="Scotia"/>
        <family val="2"/>
      </rPr>
      <t>Discussion of changes in period on period VaR results as well as VaR assumptions, limitations, backtesting and validation.</t>
    </r>
  </si>
  <si>
    <r>
      <rPr>
        <sz val="7"/>
        <color rgb="FF000000"/>
        <rFont val="Scotia"/>
        <family val="2"/>
      </rPr>
      <t>Other risk management techniques e.g. stress tests, stressed VaR, tail risk and market liquidity horizon.</t>
    </r>
  </si>
  <si>
    <r>
      <rPr>
        <sz val="7"/>
        <color rgb="FF000000"/>
        <rFont val="Scotia"/>
        <family val="2"/>
      </rPr>
      <t xml:space="preserve">Credit Risk </t>
    </r>
  </si>
  <si>
    <r>
      <rPr>
        <sz val="7"/>
        <color rgb="FF000000"/>
        <rFont val="Scotia"/>
        <family val="2"/>
      </rPr>
      <t>Analysis of the aggregate credit risk exposures, including details of both personal and wholesale lending.</t>
    </r>
  </si>
  <si>
    <r>
      <rPr>
        <sz val="7"/>
        <color rgb="FF000000"/>
        <rFont val="Scotia"/>
        <family val="2"/>
      </rPr>
      <t>6, 36-39, 43-60, 69-74</t>
    </r>
  </si>
  <si>
    <r>
      <rPr>
        <sz val="7"/>
        <color rgb="FF000000"/>
        <rFont val="Scotia"/>
        <family val="2"/>
      </rPr>
      <t>85-91, 118-123</t>
    </r>
  </si>
  <si>
    <r>
      <rPr>
        <sz val="7"/>
        <color rgb="FF000000"/>
        <rFont val="Scotia"/>
        <family val="2"/>
      </rPr>
      <t>184-185, 224-227</t>
    </r>
  </si>
  <si>
    <r>
      <rPr>
        <sz val="7"/>
        <color rgb="FF000000"/>
        <rFont val="Scotia"/>
        <family val="2"/>
      </rPr>
      <t>Discussion of the policies for identifying impaired loans, defining impairments and renegotiated loans, and explaining loan forbearance policies.</t>
    </r>
  </si>
  <si>
    <r>
      <rPr>
        <sz val="7"/>
        <color rgb="FF000000"/>
        <rFont val="Scotia"/>
        <family val="2"/>
      </rPr>
      <t>154-156, 185</t>
    </r>
  </si>
  <si>
    <r>
      <rPr>
        <sz val="7"/>
        <color rgb="FF000000"/>
        <rFont val="Scotia"/>
        <family val="2"/>
      </rPr>
      <t xml:space="preserve">Reconciliations of the opening and closing balances of impaired loans and impairment allowances during the year. </t>
    </r>
  </si>
  <si>
    <r>
      <rPr>
        <sz val="7"/>
        <color rgb="FF000000"/>
        <rFont val="Scotia"/>
        <family val="2"/>
      </rPr>
      <t>33-34</t>
    </r>
  </si>
  <si>
    <r>
      <rPr>
        <sz val="7"/>
        <color rgb="FF000000"/>
        <rFont val="Scotia"/>
        <family val="2"/>
      </rPr>
      <t>88, 118-121</t>
    </r>
  </si>
  <si>
    <r>
      <rPr>
        <sz val="7"/>
        <color rgb="FF000000"/>
        <rFont val="Scotia"/>
        <family val="2"/>
      </rPr>
      <t xml:space="preserve">Analysis of counterparty credit risk that arises from derivative transactions. </t>
    </r>
  </si>
  <si>
    <r>
      <rPr>
        <sz val="7"/>
        <color rgb="FF000000"/>
        <rFont val="Scotia"/>
        <family val="2"/>
      </rPr>
      <t>82-84</t>
    </r>
  </si>
  <si>
    <r>
      <rPr>
        <sz val="7"/>
        <color rgb="FF000000"/>
        <rFont val="Scotia"/>
        <family val="2"/>
      </rPr>
      <t>172-175</t>
    </r>
  </si>
  <si>
    <r>
      <rPr>
        <sz val="7"/>
        <color rgb="FF000000"/>
        <rFont val="Scotia"/>
        <family val="2"/>
      </rPr>
      <t xml:space="preserve">Discussion of credit risk mitigation, including collateral held for all sources of credit risk. </t>
    </r>
  </si>
  <si>
    <r>
      <rPr>
        <sz val="7"/>
        <color rgb="FF000000"/>
        <rFont val="Scotia"/>
        <family val="2"/>
      </rPr>
      <t>83-85, 89</t>
    </r>
  </si>
  <si>
    <r>
      <rPr>
        <sz val="7"/>
        <color rgb="FF000000"/>
        <rFont val="Scotia"/>
        <family val="2"/>
      </rPr>
      <t>Other Risks</t>
    </r>
  </si>
  <si>
    <r>
      <rPr>
        <sz val="7"/>
        <color rgb="FF000000"/>
        <rFont val="Scotia"/>
        <family val="2"/>
      </rPr>
      <t xml:space="preserve">Quantified measures of the management of operational risk.  </t>
    </r>
  </si>
  <si>
    <r>
      <rPr>
        <sz val="7"/>
        <color rgb="FF000000"/>
        <rFont val="Scotia"/>
        <family val="2"/>
      </rPr>
      <t>67, 107-108</t>
    </r>
  </si>
  <si>
    <r>
      <rPr>
        <sz val="7"/>
        <color rgb="FF000000"/>
        <rFont val="Scotia"/>
        <family val="2"/>
      </rPr>
      <t xml:space="preserve">Discussion of publicly known risk items.  </t>
    </r>
  </si>
  <si>
    <r>
      <rPr>
        <b/>
        <sz val="14"/>
        <color rgb="FFFFFFFF"/>
        <rFont val="Scotia"/>
        <family val="2"/>
      </rPr>
      <t>Highlights</t>
    </r>
  </si>
  <si>
    <r>
      <rPr>
        <b/>
        <sz val="11"/>
        <color rgb="FF000000"/>
        <rFont val="Scotia"/>
        <family val="2"/>
      </rPr>
      <t>2025</t>
    </r>
  </si>
  <si>
    <r>
      <rPr>
        <sz val="11"/>
        <color rgb="FF000000"/>
        <rFont val="Scotia"/>
        <family val="2"/>
      </rPr>
      <t>Year-To-Date</t>
    </r>
  </si>
  <si>
    <r>
      <rPr>
        <sz val="11"/>
        <color rgb="FF000000"/>
        <rFont val="Scotia"/>
        <family val="2"/>
      </rPr>
      <t>Full Year</t>
    </r>
  </si>
  <si>
    <r>
      <rPr>
        <b/>
        <sz val="11"/>
        <color rgb="FFFF0000"/>
        <rFont val="Scotia"/>
        <family val="2"/>
      </rPr>
      <t>Operating Performance</t>
    </r>
  </si>
  <si>
    <r>
      <rPr>
        <b/>
        <sz val="11"/>
        <color rgb="FF000000"/>
        <rFont val="Scotia"/>
        <family val="2"/>
      </rPr>
      <t>Q3</t>
    </r>
  </si>
  <si>
    <r>
      <rPr>
        <sz val="11"/>
        <color rgb="FF000000"/>
        <rFont val="Scotia"/>
        <family val="2"/>
      </rPr>
      <t>Q2</t>
    </r>
  </si>
  <si>
    <r>
      <rPr>
        <sz val="11"/>
        <color rgb="FF000000"/>
        <rFont val="Scotia"/>
        <family val="2"/>
      </rPr>
      <t>Q1</t>
    </r>
  </si>
  <si>
    <r>
      <rPr>
        <sz val="11"/>
        <color rgb="FF000000"/>
        <rFont val="Scotia"/>
        <family val="2"/>
      </rPr>
      <t>Q4</t>
    </r>
  </si>
  <si>
    <r>
      <rPr>
        <sz val="11"/>
        <color rgb="FF000000"/>
        <rFont val="Scotia"/>
        <family val="2"/>
      </rPr>
      <t>Q3</t>
    </r>
  </si>
  <si>
    <r>
      <rPr>
        <sz val="11"/>
        <color rgb="FF000000"/>
        <rFont val="Scotia"/>
        <family val="2"/>
      </rPr>
      <t>2025</t>
    </r>
  </si>
  <si>
    <r>
      <rPr>
        <b/>
        <sz val="11"/>
        <color rgb="FF000000"/>
        <rFont val="Scotia"/>
        <family val="2"/>
      </rPr>
      <t xml:space="preserve">Reported </t>
    </r>
    <r>
      <rPr>
        <i/>
        <sz val="11"/>
        <color rgb="FFFF0000"/>
        <rFont val="Scotia"/>
        <family val="2"/>
      </rPr>
      <t>($ millions)</t>
    </r>
  </si>
  <si>
    <r>
      <rPr>
        <sz val="11"/>
        <color rgb="FF000000"/>
        <rFont val="Scotia"/>
        <family val="2"/>
      </rPr>
      <t>Net income</t>
    </r>
  </si>
  <si>
    <r>
      <rPr>
        <sz val="11"/>
        <color rgb="FF000000"/>
        <rFont val="Scotia"/>
        <family val="2"/>
      </rPr>
      <t>Net income attributable to common shareholders</t>
    </r>
  </si>
  <si>
    <r>
      <rPr>
        <sz val="11"/>
        <color rgb="FF000000"/>
        <rFont val="Scotia"/>
        <family val="2"/>
      </rPr>
      <t>EPS ($) — Basic</t>
    </r>
  </si>
  <si>
    <r>
      <rPr>
        <sz val="11"/>
        <color rgb="FFFFFFFF"/>
        <rFont val="Scotia"/>
        <family val="2"/>
      </rPr>
      <t>EPS ($)</t>
    </r>
    <r>
      <rPr>
        <sz val="11"/>
        <color rgb="FF000000"/>
        <rFont val="Scotia"/>
        <family val="2"/>
      </rPr>
      <t xml:space="preserve"> — Diluted</t>
    </r>
  </si>
  <si>
    <t>ROE (%)⁽¹⁾</t>
  </si>
  <si>
    <t>Net interest margin (%)⁽²⁾</t>
  </si>
  <si>
    <t>Productivity ratio (%)⁽¹⁾</t>
  </si>
  <si>
    <t>Effective tax rate (%)⁽¹⁾</t>
  </si>
  <si>
    <r>
      <rPr>
        <b/>
        <sz val="11"/>
        <color rgb="FF000000"/>
        <rFont val="Scotia"/>
        <family val="2"/>
      </rPr>
      <t>Adjusted</t>
    </r>
    <r>
      <rPr>
        <i/>
        <sz val="11"/>
        <color rgb="FFFF0000"/>
        <rFont val="Scotia"/>
        <family val="2"/>
      </rPr>
      <t xml:space="preserve"> ($ millions)</t>
    </r>
    <r>
      <rPr>
        <b/>
        <sz val="11"/>
        <color rgb="FF000000"/>
        <rFont val="Scotia"/>
        <family val="2"/>
      </rPr>
      <t>⁽²⁾</t>
    </r>
  </si>
  <si>
    <r>
      <rPr>
        <sz val="11"/>
        <color rgb="FF000000"/>
        <rFont val="Scotia"/>
        <family val="2"/>
      </rPr>
      <t>Net income attributable to common shareholders (Diluted)</t>
    </r>
  </si>
  <si>
    <r>
      <rPr>
        <sz val="11"/>
        <color rgb="FF000000"/>
        <rFont val="Scotia"/>
        <family val="2"/>
      </rPr>
      <t>EPS ($) — Diluted</t>
    </r>
  </si>
  <si>
    <t>ROE (%)</t>
  </si>
  <si>
    <t xml:space="preserve">Productivity ratio (%) </t>
  </si>
  <si>
    <t>Effective tax rate (%)</t>
  </si>
  <si>
    <r>
      <rPr>
        <b/>
        <sz val="11"/>
        <color rgb="FFFF0000"/>
        <rFont val="Scotia"/>
        <family val="2"/>
      </rPr>
      <t>Balance Sheet</t>
    </r>
    <r>
      <rPr>
        <i/>
        <sz val="11"/>
        <color rgb="FFFF0000"/>
        <rFont val="Scotia"/>
        <family val="2"/>
      </rPr>
      <t xml:space="preserve"> ($ billions)</t>
    </r>
  </si>
  <si>
    <r>
      <rPr>
        <sz val="11"/>
        <color rgb="FF000000"/>
        <rFont val="Scotia"/>
        <family val="2"/>
      </rPr>
      <t xml:space="preserve">Total assets </t>
    </r>
  </si>
  <si>
    <r>
      <rPr>
        <sz val="11"/>
        <color rgb="FF000000"/>
        <rFont val="Scotia"/>
        <family val="2"/>
      </rPr>
      <t>Net loans and acceptances</t>
    </r>
  </si>
  <si>
    <r>
      <rPr>
        <sz val="11"/>
        <color rgb="FF000000"/>
        <rFont val="Scotia"/>
        <family val="2"/>
      </rPr>
      <t>Deposits</t>
    </r>
  </si>
  <si>
    <r>
      <rPr>
        <sz val="11"/>
        <color rgb="FF000000"/>
        <rFont val="Scotia"/>
        <family val="2"/>
      </rPr>
      <t>Common shareholders' equity</t>
    </r>
  </si>
  <si>
    <r>
      <rPr>
        <b/>
        <sz val="11"/>
        <color rgb="FFFF0000"/>
        <rFont val="Scotia"/>
        <family val="2"/>
      </rPr>
      <t>Credit Quality</t>
    </r>
  </si>
  <si>
    <r>
      <rPr>
        <sz val="11"/>
        <color rgb="FF000000"/>
        <rFont val="Scotia"/>
        <family val="2"/>
      </rPr>
      <t>Gross impaired loans</t>
    </r>
  </si>
  <si>
    <t>—  % of loans and acceptances⁽¹⁾</t>
  </si>
  <si>
    <r>
      <rPr>
        <sz val="11"/>
        <color rgb="FF000000"/>
        <rFont val="Scotia"/>
        <family val="2"/>
      </rPr>
      <t>Net impaired loans ($ millions)</t>
    </r>
  </si>
  <si>
    <t xml:space="preserve">—  % of loans and acceptances⁽¹⁾ </t>
  </si>
  <si>
    <r>
      <rPr>
        <sz val="11"/>
        <color rgb="FF000000"/>
        <rFont val="Scotia"/>
        <family val="2"/>
      </rPr>
      <t>Allowance for credit losses ($ millions)⁽³⁾</t>
    </r>
  </si>
  <si>
    <t>Net write-offs as a % of average net loans and acceptances⁽¹⁾</t>
  </si>
  <si>
    <r>
      <rPr>
        <sz val="11"/>
        <color rgb="FF000000"/>
        <rFont val="Scotia"/>
        <family val="2"/>
      </rPr>
      <t>Provision for credit losses (PCL) ($ millions)⁽⁴⁾</t>
    </r>
  </si>
  <si>
    <r>
      <rPr>
        <sz val="11"/>
        <color rgb="FF000000"/>
        <rFont val="Scotia"/>
        <family val="2"/>
      </rPr>
      <t>PCL on loans and acceptances ($ millions)⁽⁵⁾</t>
    </r>
  </si>
  <si>
    <t>PCL as % of average net loans and acceptances⁽¹⁾⁽⁵⁾</t>
  </si>
  <si>
    <t>PCL on impaired loans as % of average net loans and acceptances⁽¹⁾⁽⁵⁾</t>
  </si>
  <si>
    <r>
      <rPr>
        <b/>
        <sz val="11"/>
        <color rgb="FFFF0000"/>
        <rFont val="Scotia"/>
        <family val="2"/>
      </rPr>
      <t>Capital and Liquidity Measures</t>
    </r>
  </si>
  <si>
    <t>CET1 capital ratio (%)⁽⁶⁾</t>
  </si>
  <si>
    <t>Tier 1 capital ratio (%)⁽⁶⁾</t>
  </si>
  <si>
    <t>Total capital ratio (%)⁽⁶⁾</t>
  </si>
  <si>
    <t>Leverage ratio (%)⁽⁷⁾</t>
  </si>
  <si>
    <r>
      <rPr>
        <sz val="11"/>
        <color rgb="FF000000"/>
        <rFont val="Scotia"/>
        <family val="2"/>
      </rPr>
      <t>CET1 risk-weighted assets ($ millions)⁽⁶⁾</t>
    </r>
  </si>
  <si>
    <t>Net stable funding ratio (NSFR) (%)⁽⁸⁾</t>
  </si>
  <si>
    <t>Liquidity coverage ratio (%)⁽⁸⁾</t>
  </si>
  <si>
    <t>Total Loss Absorbing Capacity (TLAC) (as a % of leverage exposure)⁽⁹⁾</t>
  </si>
  <si>
    <t>TLAC (as a % of risk-weighted assets adjusted as permitted under the TLAC regime)⁽⁹⁾</t>
  </si>
  <si>
    <r>
      <rPr>
        <sz val="6"/>
        <color rgb="FF000000"/>
        <rFont val="Scotia"/>
        <family val="2"/>
      </rPr>
      <t xml:space="preserve">(1) Refer to page 57 of the Q3 2025 Quarterly Report to Shareholders, available on http://www.sedarplus.ca, for an explanation of the composition of the measure. Such explanation is incorporated by reference hereto. </t>
    </r>
  </si>
  <si>
    <r>
      <rPr>
        <sz val="6"/>
        <color rgb="FF000000"/>
        <rFont val="Scotia"/>
        <family val="2"/>
      </rPr>
      <t>(2) Refer to non-GAAP measures on page 5 of the Q3 2025 Quarterly Report to Shareholders, available on http://www.sedarplus.ca for the description of the measure. Refer to Appendix 3 of the Supplementary Financial Information Report for reconciliation.</t>
    </r>
  </si>
  <si>
    <r>
      <rPr>
        <sz val="6"/>
        <color rgb="FF000000"/>
        <rFont val="Scotia"/>
        <family val="2"/>
      </rPr>
      <t>(3) Includes allowance for credit losses on all financial assets - loans, acceptances, off-balance sheet exposures and other financial assets.</t>
    </r>
  </si>
  <si>
    <r>
      <rPr>
        <sz val="6"/>
        <color rgb="FF000000"/>
        <rFont val="Scotia"/>
        <family val="2"/>
      </rPr>
      <t>(4) Includes provision for credit losses on all financial assets - loans, acceptances, off-balance sheet exposures and other financial assets.</t>
    </r>
  </si>
  <si>
    <r>
      <rPr>
        <sz val="6"/>
        <color rgb="FF000000"/>
        <rFont val="Scotia"/>
        <family val="2"/>
      </rPr>
      <t>(5) Includes provision for credit losses on certain financial assets - loans, acceptances and off-balance sheet exposures.</t>
    </r>
  </si>
  <si>
    <r>
      <rPr>
        <sz val="6"/>
        <color rgb="FF000000"/>
        <rFont val="Scotia"/>
        <family val="2"/>
      </rPr>
      <t xml:space="preserve">(6) Effective Q1 2024, regulatory capital ratios are based on Basel III requirements as determined in accordance with OSFI Guideline - Capital Addequacy Requirements (November 2023).  Effective Q2 2023, regulatory capital ratios were based on Revised Basel III requirements as determined in accordance with OSFI Guideline - Capital Adequacy Requirements (February 2023).  </t>
    </r>
  </si>
  <si>
    <r>
      <rPr>
        <sz val="6"/>
        <color rgb="FF000000"/>
        <rFont val="Scotia"/>
        <family val="2"/>
      </rPr>
      <t xml:space="preserve">(7) Leverage ratios are based on Basel III requirements as determined in accordance with OSFI Guideline - Leverage Requirements.  </t>
    </r>
  </si>
  <si>
    <r>
      <rPr>
        <sz val="6"/>
        <color rgb="FF000000"/>
        <rFont val="Scotia"/>
        <family val="2"/>
      </rPr>
      <t>(9) This measure has been disclosed in this document in accordance with OSFI Guideline – Total Loss Absorbing Capacity.</t>
    </r>
  </si>
  <si>
    <r>
      <rPr>
        <b/>
        <sz val="14"/>
        <color rgb="FFFFFFFF"/>
        <rFont val="Scotia"/>
        <family val="2"/>
      </rPr>
      <t>Common Share and Other Information</t>
    </r>
  </si>
  <si>
    <r>
      <rPr>
        <b/>
        <sz val="11"/>
        <color rgb="FFFF0000"/>
        <rFont val="Scotia"/>
        <family val="2"/>
      </rPr>
      <t>Valuation</t>
    </r>
  </si>
  <si>
    <r>
      <rPr>
        <sz val="11"/>
        <color rgb="FF000000"/>
        <rFont val="Scotia"/>
        <family val="2"/>
      </rPr>
      <t>Book value per common share ($)⁽¹⁾</t>
    </r>
  </si>
  <si>
    <r>
      <rPr>
        <sz val="11"/>
        <color rgb="FF000000"/>
        <rFont val="Scotia"/>
        <family val="2"/>
      </rPr>
      <t>Share price ($)</t>
    </r>
  </si>
  <si>
    <r>
      <rPr>
        <sz val="11"/>
        <color rgb="FF000000"/>
        <rFont val="Scotia"/>
        <family val="2"/>
      </rPr>
      <t>— High</t>
    </r>
  </si>
  <si>
    <r>
      <rPr>
        <sz val="11"/>
        <color rgb="FF000000"/>
        <rFont val="Scotia"/>
        <family val="2"/>
      </rPr>
      <t>— Low</t>
    </r>
  </si>
  <si>
    <r>
      <rPr>
        <sz val="11"/>
        <color rgb="FF000000"/>
        <rFont val="Scotia"/>
        <family val="2"/>
      </rPr>
      <t>— Close</t>
    </r>
  </si>
  <si>
    <t>Share price (closing) as % of book value⁽¹⁾</t>
  </si>
  <si>
    <r>
      <rPr>
        <sz val="11"/>
        <color rgb="FF000000"/>
        <rFont val="Scotia"/>
        <family val="2"/>
      </rPr>
      <t>Price (closing)/earnings ratio (X)⁽¹⁾⁽²⁾</t>
    </r>
  </si>
  <si>
    <r>
      <rPr>
        <sz val="11"/>
        <color rgb="FF000000"/>
        <rFont val="Scotia"/>
        <family val="2"/>
      </rPr>
      <t xml:space="preserve">Market capitalization </t>
    </r>
    <r>
      <rPr>
        <i/>
        <sz val="11"/>
        <color rgb="FFFF0000"/>
        <rFont val="Scotia"/>
        <family val="2"/>
      </rPr>
      <t>($ millions)</t>
    </r>
  </si>
  <si>
    <r>
      <rPr>
        <b/>
        <sz val="11"/>
        <color rgb="FFFF0000"/>
        <rFont val="Scotia"/>
        <family val="2"/>
      </rPr>
      <t>Dividends</t>
    </r>
  </si>
  <si>
    <r>
      <rPr>
        <sz val="11"/>
        <color rgb="FF000000"/>
        <rFont val="Scotia"/>
        <family val="2"/>
      </rPr>
      <t xml:space="preserve">Common dividends paid </t>
    </r>
    <r>
      <rPr>
        <i/>
        <sz val="11"/>
        <color rgb="FFFF0000"/>
        <rFont val="Scotia"/>
        <family val="2"/>
      </rPr>
      <t>($ millions)</t>
    </r>
  </si>
  <si>
    <r>
      <rPr>
        <sz val="11"/>
        <color rgb="FF000000"/>
        <rFont val="Scotia"/>
        <family val="2"/>
      </rPr>
      <t>Common dividends/share ($)</t>
    </r>
  </si>
  <si>
    <r>
      <rPr>
        <b/>
        <sz val="11"/>
        <color rgb="FFFF0000"/>
        <rFont val="Scotia"/>
        <family val="2"/>
      </rPr>
      <t>Shares</t>
    </r>
  </si>
  <si>
    <r>
      <rPr>
        <sz val="11"/>
        <color rgb="FF000000"/>
        <rFont val="Scotia"/>
        <family val="2"/>
      </rPr>
      <t xml:space="preserve">Number of common shares outstanding at period end </t>
    </r>
    <r>
      <rPr>
        <i/>
        <sz val="11"/>
        <color rgb="FFFF0000"/>
        <rFont val="Scotia"/>
        <family val="2"/>
      </rPr>
      <t>(millions)</t>
    </r>
  </si>
  <si>
    <r>
      <rPr>
        <sz val="11"/>
        <color rgb="FF000000"/>
        <rFont val="Scotia"/>
        <family val="2"/>
      </rPr>
      <t>Average number of common shares outstanding</t>
    </r>
    <r>
      <rPr>
        <i/>
        <sz val="11"/>
        <color rgb="FFFF0000"/>
        <rFont val="Scotia"/>
        <family val="2"/>
      </rPr>
      <t xml:space="preserve"> (millions)</t>
    </r>
  </si>
  <si>
    <r>
      <rPr>
        <sz val="11"/>
        <color rgb="FF000000"/>
        <rFont val="Scotia"/>
        <family val="2"/>
      </rPr>
      <t>— Basic</t>
    </r>
  </si>
  <si>
    <r>
      <rPr>
        <sz val="11"/>
        <color rgb="FF000000"/>
        <rFont val="Scotia"/>
        <family val="2"/>
      </rPr>
      <t xml:space="preserve">— Diluted </t>
    </r>
  </si>
  <si>
    <r>
      <rPr>
        <b/>
        <sz val="11"/>
        <color rgb="FFFF0000"/>
        <rFont val="Scotia"/>
        <family val="2"/>
      </rPr>
      <t>Other Information⁽³⁾</t>
    </r>
  </si>
  <si>
    <r>
      <rPr>
        <sz val="11"/>
        <color rgb="FF000000"/>
        <rFont val="Scotia"/>
        <family val="2"/>
      </rPr>
      <t>Employees⁽⁴⁾</t>
    </r>
  </si>
  <si>
    <r>
      <rPr>
        <sz val="11"/>
        <color rgb="FF000000"/>
        <rFont val="Scotia"/>
        <family val="2"/>
      </rPr>
      <t>Branches and offices</t>
    </r>
  </si>
  <si>
    <r>
      <rPr>
        <sz val="11"/>
        <color rgb="FF000000"/>
        <rFont val="Scotia"/>
        <family val="2"/>
      </rPr>
      <t>ABMs</t>
    </r>
  </si>
  <si>
    <r>
      <rPr>
        <b/>
        <sz val="11"/>
        <color rgb="FFFF0000"/>
        <rFont val="Scotia"/>
        <family val="2"/>
      </rPr>
      <t>Legacy Senior Debt Credit Ratings</t>
    </r>
  </si>
  <si>
    <r>
      <rPr>
        <sz val="11"/>
        <color rgb="FF000000"/>
        <rFont val="Scotia"/>
        <family val="2"/>
      </rPr>
      <t>Moody's⁽⁵⁾</t>
    </r>
  </si>
  <si>
    <r>
      <rPr>
        <b/>
        <sz val="11"/>
        <color rgb="FF000000"/>
        <rFont val="Scotia"/>
        <family val="2"/>
      </rPr>
      <t xml:space="preserve"> Aa2 </t>
    </r>
  </si>
  <si>
    <r>
      <rPr>
        <sz val="11"/>
        <color rgb="FF000000"/>
        <rFont val="Scotia"/>
        <family val="2"/>
      </rPr>
      <t xml:space="preserve"> Aa2 </t>
    </r>
  </si>
  <si>
    <r>
      <rPr>
        <sz val="11"/>
        <color rgb="FF000000"/>
        <rFont val="Scotia"/>
        <family val="2"/>
      </rPr>
      <t>Standard &amp; Poor's⁽⁵⁾</t>
    </r>
  </si>
  <si>
    <r>
      <rPr>
        <b/>
        <sz val="11"/>
        <color rgb="FF000000"/>
        <rFont val="Scotia"/>
        <family val="2"/>
      </rPr>
      <t xml:space="preserve"> A+ </t>
    </r>
  </si>
  <si>
    <r>
      <rPr>
        <sz val="11"/>
        <color rgb="FF000000"/>
        <rFont val="Scotia"/>
        <family val="2"/>
      </rPr>
      <t xml:space="preserve"> A+ </t>
    </r>
  </si>
  <si>
    <r>
      <rPr>
        <sz val="11"/>
        <color rgb="FF000000"/>
        <rFont val="Scotia"/>
        <family val="2"/>
      </rPr>
      <t>Fitch⁽⁵⁾</t>
    </r>
  </si>
  <si>
    <r>
      <rPr>
        <b/>
        <sz val="11"/>
        <color rgb="FF000000"/>
        <rFont val="Scotia"/>
        <family val="2"/>
      </rPr>
      <t xml:space="preserve"> AA </t>
    </r>
  </si>
  <si>
    <r>
      <rPr>
        <sz val="11"/>
        <color rgb="FF000000"/>
        <rFont val="Scotia"/>
        <family val="2"/>
      </rPr>
      <t xml:space="preserve"> AA </t>
    </r>
  </si>
  <si>
    <r>
      <rPr>
        <sz val="11"/>
        <color rgb="FF000000"/>
        <rFont val="Scotia"/>
        <family val="2"/>
      </rPr>
      <t>Morningstar DBRS⁽⁵⁾</t>
    </r>
  </si>
  <si>
    <r>
      <rPr>
        <sz val="7"/>
        <color rgb="FF000000"/>
        <rFont val="Scotia"/>
        <family val="2"/>
      </rPr>
      <t xml:space="preserve">(1) Refer to page 57 of the Q3 2025 Quarterly Report to Shareholders, available on http://www.sedarplus.ca, for an explanation of the composition of the measure. Such explanation is incorporated by reference hereto. </t>
    </r>
  </si>
  <si>
    <r>
      <rPr>
        <sz val="7"/>
        <color rgb="FF000000"/>
        <rFont val="Scotia"/>
        <family val="2"/>
      </rPr>
      <t>(2) Based on trailing 4 quarters' EPS.</t>
    </r>
  </si>
  <si>
    <r>
      <rPr>
        <sz val="7"/>
        <color rgb="FF000000"/>
        <rFont val="Scotia"/>
        <family val="2"/>
      </rPr>
      <t>(3)</t>
    </r>
    <r>
      <rPr>
        <vertAlign val="superscript"/>
        <sz val="7"/>
        <color rgb="FF000000"/>
        <rFont val="Scotia"/>
        <family val="2"/>
      </rPr>
      <t xml:space="preserve"> </t>
    </r>
    <r>
      <rPr>
        <sz val="7"/>
        <color rgb="FF000000"/>
        <rFont val="Scotia"/>
        <family val="2"/>
      </rPr>
      <t>Excludes affiliates.</t>
    </r>
  </si>
  <si>
    <r>
      <rPr>
        <sz val="7"/>
        <color rgb="FF000000"/>
        <rFont val="Scotia"/>
        <family val="2"/>
      </rPr>
      <t xml:space="preserve">(4) Employees are reported on a full-time equivalent basis. </t>
    </r>
  </si>
  <si>
    <r>
      <rPr>
        <sz val="7"/>
        <color rgb="FF000000"/>
        <rFont val="Scotia"/>
        <family val="2"/>
      </rPr>
      <t xml:space="preserve">(5) As of July 31, 2025, outlook is Stable (Moody's, Standard &amp; Poor's, Morningstar DBRS and Fitch). </t>
    </r>
  </si>
  <si>
    <r>
      <rPr>
        <b/>
        <sz val="14"/>
        <color rgb="FFFFFFFF"/>
        <rFont val="Scotia"/>
        <family val="2"/>
      </rPr>
      <t>Consolidated Statement of Income</t>
    </r>
  </si>
  <si>
    <r>
      <rPr>
        <i/>
        <sz val="11"/>
        <color rgb="FFFF0000"/>
        <rFont val="Scotia"/>
        <family val="2"/>
      </rPr>
      <t xml:space="preserve">($ millions) </t>
    </r>
  </si>
  <si>
    <r>
      <rPr>
        <sz val="11"/>
        <color rgb="FF000000"/>
        <rFont val="Scotia"/>
        <family val="2"/>
      </rPr>
      <t>Interest income</t>
    </r>
  </si>
  <si>
    <r>
      <rPr>
        <sz val="11"/>
        <color rgb="FF000000"/>
        <rFont val="Scotia"/>
        <family val="2"/>
      </rPr>
      <t xml:space="preserve">Interest expense </t>
    </r>
  </si>
  <si>
    <r>
      <rPr>
        <b/>
        <sz val="11"/>
        <color rgb="FF000000"/>
        <rFont val="Scotia"/>
        <family val="2"/>
      </rPr>
      <t xml:space="preserve">Net interest income </t>
    </r>
  </si>
  <si>
    <r>
      <rPr>
        <sz val="11"/>
        <color rgb="FF000000"/>
        <rFont val="Scotia"/>
        <family val="2"/>
      </rPr>
      <t>Non-interest income</t>
    </r>
  </si>
  <si>
    <r>
      <rPr>
        <b/>
        <sz val="11"/>
        <color rgb="FF000000"/>
        <rFont val="Scotia"/>
        <family val="2"/>
      </rPr>
      <t xml:space="preserve">Total revenue </t>
    </r>
  </si>
  <si>
    <r>
      <rPr>
        <sz val="11"/>
        <color rgb="FF000000"/>
        <rFont val="Scotia"/>
        <family val="2"/>
      </rPr>
      <t>Provision for credit losses</t>
    </r>
  </si>
  <si>
    <r>
      <rPr>
        <sz val="11"/>
        <color rgb="FF000000"/>
        <rFont val="Scotia"/>
        <family val="2"/>
      </rPr>
      <t>Total non-interest expenses</t>
    </r>
  </si>
  <si>
    <r>
      <rPr>
        <b/>
        <sz val="11"/>
        <color rgb="FF000000"/>
        <rFont val="Scotia"/>
        <family val="2"/>
      </rPr>
      <t>Income before taxes</t>
    </r>
  </si>
  <si>
    <r>
      <rPr>
        <sz val="11"/>
        <color rgb="FF000000"/>
        <rFont val="Scotia"/>
        <family val="2"/>
      </rPr>
      <t>Income tax expense</t>
    </r>
  </si>
  <si>
    <r>
      <rPr>
        <b/>
        <sz val="11"/>
        <color rgb="FF000000"/>
        <rFont val="Scotia"/>
        <family val="2"/>
      </rPr>
      <t xml:space="preserve">Reported net income  </t>
    </r>
  </si>
  <si>
    <r>
      <rPr>
        <sz val="11"/>
        <color rgb="FF000000"/>
        <rFont val="Scotia"/>
        <family val="2"/>
      </rPr>
      <t>Adjusting items (after tax)⁽¹⁾</t>
    </r>
  </si>
  <si>
    <r>
      <rPr>
        <b/>
        <sz val="11"/>
        <color rgb="FF000000"/>
        <rFont val="Scotia"/>
        <family val="2"/>
      </rPr>
      <t>Adjusted net income⁽¹⁾</t>
    </r>
  </si>
  <si>
    <r>
      <rPr>
        <sz val="11"/>
        <color rgb="FF000000"/>
        <rFont val="Scotia"/>
        <family val="2"/>
      </rPr>
      <t>Reported net income attributable to NCI in subsidiaries</t>
    </r>
  </si>
  <si>
    <r>
      <rPr>
        <sz val="11"/>
        <color rgb="FF000000"/>
        <rFont val="Scotia"/>
        <family val="2"/>
      </rPr>
      <t>Adjusted net income attributable to NCI in subsidiaries⁽¹⁾</t>
    </r>
  </si>
  <si>
    <r>
      <rPr>
        <sz val="11"/>
        <color rgb="FF000000"/>
        <rFont val="Scotia"/>
        <family val="2"/>
      </rPr>
      <t>Reported net income attributable to equity holders of the Bank</t>
    </r>
  </si>
  <si>
    <r>
      <rPr>
        <sz val="11"/>
        <color rgb="FF000000"/>
        <rFont val="Scotia"/>
        <family val="2"/>
      </rPr>
      <t>Preferred shareholders</t>
    </r>
  </si>
  <si>
    <r>
      <rPr>
        <sz val="11"/>
        <color rgb="FF000000"/>
        <rFont val="Scotia"/>
        <family val="2"/>
      </rPr>
      <t xml:space="preserve">Common shareholders </t>
    </r>
  </si>
  <si>
    <r>
      <rPr>
        <sz val="11"/>
        <color rgb="FF000000"/>
        <rFont val="Scotia"/>
        <family val="2"/>
      </rPr>
      <t>Adjusted net income attributable to equity holders of the Bank⁽¹⁾</t>
    </r>
  </si>
  <si>
    <r>
      <rPr>
        <sz val="11"/>
        <color rgb="FF000000"/>
        <rFont val="Scotia"/>
        <family val="2"/>
      </rPr>
      <t>Adjusted net income attributable to common shareholders⁽¹⁾</t>
    </r>
  </si>
  <si>
    <r>
      <rPr>
        <sz val="11"/>
        <color rgb="FF000000"/>
        <rFont val="Scotia"/>
        <family val="2"/>
      </rPr>
      <t>Adjusted diluted impact of share-based payment options and others⁽¹⁾⁽²⁾</t>
    </r>
  </si>
  <si>
    <r>
      <rPr>
        <b/>
        <sz val="11"/>
        <color rgb="FF000000"/>
        <rFont val="Scotia"/>
        <family val="2"/>
      </rPr>
      <t>Adjusted net income attributable to common shareholders (Diluted)⁽¹⁾</t>
    </r>
  </si>
  <si>
    <r>
      <rPr>
        <sz val="7"/>
        <color rgb="FF000000"/>
        <rFont val="Scotia"/>
        <family val="2"/>
      </rPr>
      <t>(1) Refer to non-GAAP Measures on Notes Pages 1-2 of the Supplementary Financial Information Report for the description of the adjusting items. Refer to Appendix 3 of the Supplementary Financial Information Report for reconciliation.</t>
    </r>
  </si>
  <si>
    <r>
      <rPr>
        <sz val="7"/>
        <color rgb="FF000000"/>
        <rFont val="Scotia"/>
        <family val="2"/>
      </rPr>
      <t>(2) The quarterly dilution may not sum to the full year dilution impact as earnings per share and dilution impact calculations are performed independently for each period presented.</t>
    </r>
  </si>
  <si>
    <r>
      <rPr>
        <b/>
        <sz val="14"/>
        <color rgb="FFFFFFFF"/>
        <rFont val="Scotia"/>
        <family val="2"/>
      </rPr>
      <t>Business Segment Performance: Canadian Banking</t>
    </r>
  </si>
  <si>
    <r>
      <rPr>
        <b/>
        <sz val="11"/>
        <color rgb="FFFF0000"/>
        <rFont val="Scotia"/>
        <family val="2"/>
      </rPr>
      <t>Income Statement — Taxable Equivalent Basis</t>
    </r>
    <r>
      <rPr>
        <b/>
        <i/>
        <sz val="11"/>
        <color rgb="FFFF0000"/>
        <rFont val="Scotia"/>
        <family val="2"/>
      </rPr>
      <t xml:space="preserve"> </t>
    </r>
    <r>
      <rPr>
        <i/>
        <sz val="11"/>
        <color rgb="FFFF0000"/>
        <rFont val="Scotia"/>
        <family val="2"/>
      </rPr>
      <t xml:space="preserve">($ millions) </t>
    </r>
  </si>
  <si>
    <r>
      <rPr>
        <sz val="11"/>
        <color rgb="FF000000"/>
        <rFont val="Scotia"/>
        <family val="2"/>
      </rPr>
      <t>Net interest income (TEB)</t>
    </r>
  </si>
  <si>
    <r>
      <rPr>
        <sz val="11"/>
        <color rgb="FF000000"/>
        <rFont val="Scotia"/>
        <family val="2"/>
      </rPr>
      <t>Non-interest income (TEB)</t>
    </r>
  </si>
  <si>
    <r>
      <rPr>
        <sz val="11"/>
        <color rgb="FF000000"/>
        <rFont val="Scotia"/>
        <family val="2"/>
      </rPr>
      <t>Net fee and commission revenues</t>
    </r>
  </si>
  <si>
    <r>
      <rPr>
        <sz val="11"/>
        <color rgb="FF000000"/>
        <rFont val="Scotia"/>
        <family val="2"/>
      </rPr>
      <t>Net income (loss) from investments in associated corporations</t>
    </r>
  </si>
  <si>
    <r>
      <rPr>
        <sz val="11"/>
        <color rgb="FF000000"/>
        <rFont val="Scotia"/>
        <family val="2"/>
      </rPr>
      <t>Other operating income (TEB)</t>
    </r>
  </si>
  <si>
    <r>
      <rPr>
        <b/>
        <sz val="11"/>
        <color rgb="FF000000"/>
        <rFont val="Scotia"/>
        <family val="2"/>
      </rPr>
      <t>Total revenue (TEB)</t>
    </r>
  </si>
  <si>
    <r>
      <rPr>
        <sz val="11"/>
        <color rgb="FF000000"/>
        <rFont val="Scotia"/>
        <family val="2"/>
      </rPr>
      <t>Provision for credit losses — Charge/(Recovery)</t>
    </r>
  </si>
  <si>
    <r>
      <rPr>
        <sz val="11"/>
        <color rgb="FF000000"/>
        <rFont val="Scotia"/>
        <family val="2"/>
      </rPr>
      <t>Non-interest expenses</t>
    </r>
  </si>
  <si>
    <r>
      <rPr>
        <sz val="11"/>
        <color rgb="FF000000"/>
        <rFont val="Scotia"/>
        <family val="2"/>
      </rPr>
      <t xml:space="preserve">Income tax expense (TEB) </t>
    </r>
  </si>
  <si>
    <r>
      <rPr>
        <b/>
        <sz val="11"/>
        <color rgb="FF000000"/>
        <rFont val="Scotia"/>
        <family val="2"/>
      </rPr>
      <t>Reported net income</t>
    </r>
  </si>
  <si>
    <r>
      <rPr>
        <sz val="11"/>
        <color rgb="FF000000"/>
        <rFont val="Scotia"/>
        <family val="2"/>
      </rPr>
      <t>Adjusting items (after-tax)⁽¹⁾</t>
    </r>
  </si>
  <si>
    <r>
      <rPr>
        <b/>
        <sz val="11"/>
        <color rgb="FF000000"/>
        <rFont val="Scotia"/>
        <family val="2"/>
      </rPr>
      <t>Reported net income attributable to equity holders of the Bank</t>
    </r>
  </si>
  <si>
    <r>
      <rPr>
        <b/>
        <sz val="11"/>
        <color rgb="FF000000"/>
        <rFont val="Scotia"/>
        <family val="2"/>
      </rPr>
      <t>Adjusted net income attributable to equity holders of the Bank⁽¹⁾</t>
    </r>
  </si>
  <si>
    <r>
      <rPr>
        <b/>
        <sz val="11"/>
        <color rgb="FFFF0000"/>
        <rFont val="Scotia"/>
        <family val="2"/>
      </rPr>
      <t>Profitability Measurements</t>
    </r>
  </si>
  <si>
    <r>
      <rPr>
        <sz val="11"/>
        <color rgb="FF000000"/>
        <rFont val="Scotia"/>
        <family val="2"/>
      </rPr>
      <t>Net interest margin⁽²⁾</t>
    </r>
  </si>
  <si>
    <t>Net write-offs as a % of average net loans and acceptances⁽³⁾</t>
  </si>
  <si>
    <r>
      <rPr>
        <b/>
        <sz val="11"/>
        <color rgb="FF000000"/>
        <rFont val="Scotia"/>
        <family val="2"/>
      </rPr>
      <t>Reported</t>
    </r>
  </si>
  <si>
    <t>Return on equity (%)⁽²⁾</t>
  </si>
  <si>
    <t>Provision for credit losses (PCL) as % of average net loans and acceptances⁽³⁾⁽⁴⁾</t>
  </si>
  <si>
    <t>PCL on impaired loans as % of average net loans and acceptances⁽³⁾⁽⁴⁾</t>
  </si>
  <si>
    <t>Productivity ratio (%)⁽³⁾</t>
  </si>
  <si>
    <r>
      <rPr>
        <b/>
        <sz val="11"/>
        <color rgb="FF000000"/>
        <rFont val="Scotia"/>
        <family val="2"/>
      </rPr>
      <t>Adjusted⁽²⁾</t>
    </r>
  </si>
  <si>
    <t>Return on equity (%)</t>
  </si>
  <si>
    <t>Productivity ratio (%)</t>
  </si>
  <si>
    <r>
      <rPr>
        <b/>
        <sz val="11"/>
        <color rgb="FFFF0000"/>
        <rFont val="Scotia"/>
        <family val="2"/>
      </rPr>
      <t>Average Balance Sheet</t>
    </r>
    <r>
      <rPr>
        <b/>
        <i/>
        <sz val="11"/>
        <color rgb="FFFF0000"/>
        <rFont val="Scotia"/>
        <family val="2"/>
      </rPr>
      <t xml:space="preserve"> </t>
    </r>
    <r>
      <rPr>
        <i/>
        <sz val="11"/>
        <color rgb="FFFF0000"/>
        <rFont val="Scotia"/>
        <family val="2"/>
      </rPr>
      <t>($ billions)</t>
    </r>
  </si>
  <si>
    <r>
      <rPr>
        <sz val="11"/>
        <color rgb="FF000000"/>
        <rFont val="Scotia"/>
        <family val="2"/>
      </rPr>
      <t>Residential mortgages</t>
    </r>
  </si>
  <si>
    <r>
      <rPr>
        <sz val="11"/>
        <color rgb="FF000000"/>
        <rFont val="Scotia"/>
        <family val="2"/>
      </rPr>
      <t xml:space="preserve">Personal loans </t>
    </r>
  </si>
  <si>
    <r>
      <rPr>
        <sz val="11"/>
        <color rgb="FF000000"/>
        <rFont val="Scotia"/>
        <family val="2"/>
      </rPr>
      <t>Credit cards⁽⁵⁾</t>
    </r>
  </si>
  <si>
    <r>
      <rPr>
        <sz val="11"/>
        <color rgb="FF000000"/>
        <rFont val="Scotia"/>
        <family val="2"/>
      </rPr>
      <t>Business and government loans &amp; acceptances</t>
    </r>
  </si>
  <si>
    <r>
      <rPr>
        <sz val="11"/>
        <color rgb="FF000000"/>
        <rFont val="Scotia"/>
        <family val="2"/>
      </rPr>
      <t>Total loans &amp; acceptances</t>
    </r>
  </si>
  <si>
    <r>
      <rPr>
        <sz val="11"/>
        <color rgb="FF000000"/>
        <rFont val="Scotia"/>
        <family val="2"/>
      </rPr>
      <t>Other assets</t>
    </r>
  </si>
  <si>
    <r>
      <rPr>
        <b/>
        <sz val="11"/>
        <color rgb="FF000000"/>
        <rFont val="Scotia"/>
        <family val="2"/>
      </rPr>
      <t>Total assets</t>
    </r>
  </si>
  <si>
    <r>
      <rPr>
        <sz val="11"/>
        <color rgb="FF000000"/>
        <rFont val="Scotia"/>
        <family val="2"/>
      </rPr>
      <t>Personal deposits</t>
    </r>
  </si>
  <si>
    <r>
      <rPr>
        <sz val="11"/>
        <color rgb="FF000000"/>
        <rFont val="Scotia"/>
        <family val="2"/>
      </rPr>
      <t>Non-personal deposits</t>
    </r>
  </si>
  <si>
    <r>
      <rPr>
        <b/>
        <sz val="11"/>
        <color rgb="FF000000"/>
        <rFont val="Scotia"/>
        <family val="2"/>
      </rPr>
      <t>Total deposits</t>
    </r>
  </si>
  <si>
    <r>
      <rPr>
        <sz val="11"/>
        <color rgb="FF000000"/>
        <rFont val="Scotia"/>
        <family val="2"/>
      </rPr>
      <t>Other liabilities</t>
    </r>
  </si>
  <si>
    <r>
      <rPr>
        <b/>
        <sz val="11"/>
        <color rgb="FF000000"/>
        <rFont val="Scotia"/>
        <family val="2"/>
      </rPr>
      <t>Total liabilities</t>
    </r>
  </si>
  <si>
    <r>
      <rPr>
        <b/>
        <sz val="11"/>
        <color rgb="FFFF0000"/>
        <rFont val="Scotia"/>
        <family val="2"/>
      </rPr>
      <t>Other Information</t>
    </r>
  </si>
  <si>
    <r>
      <rPr>
        <sz val="11"/>
        <color rgb="FF000000"/>
        <rFont val="Scotia"/>
        <family val="2"/>
      </rPr>
      <t>Employees⁽⁶⁾</t>
    </r>
  </si>
  <si>
    <r>
      <rPr>
        <sz val="11"/>
        <color rgb="FF000000"/>
        <rFont val="Scotia"/>
        <family val="2"/>
      </rPr>
      <t>Branches</t>
    </r>
  </si>
  <si>
    <r>
      <rPr>
        <sz val="7"/>
        <color rgb="FF000000"/>
        <rFont val="Scotia"/>
        <family val="2"/>
      </rPr>
      <t xml:space="preserve">(1) Adjusting item includes amortization of acquisition-related intangible assets. Refer to non-GAAP Measures on Notes Pages 1-2 of the Supplementary Financial Information Report for details. </t>
    </r>
  </si>
  <si>
    <r>
      <rPr>
        <sz val="7"/>
        <color rgb="FF000000"/>
        <rFont val="Scotia"/>
        <family val="2"/>
      </rPr>
      <t>(2) Refer to non-GAAP measures on page 5 of the Q3 2025 Quarterly Report to Shareholders, available on http://www.sedarplus.ca for the description of the measure. Refer to Appendix 3 of the Supplementary Financial Information Report for reconciliation.</t>
    </r>
  </si>
  <si>
    <r>
      <rPr>
        <sz val="7"/>
        <color rgb="FF000000"/>
        <rFont val="Scotia"/>
        <family val="2"/>
      </rPr>
      <t>(3) Refer to page 57 of the Q3 2025 Quarterly Report to Shareholders, available on http://www.sedarplus.ca, for an explanation of the composition of the measure. Such explanation is incorporated by reference hereto.</t>
    </r>
  </si>
  <si>
    <r>
      <rPr>
        <sz val="7"/>
        <color rgb="FF000000"/>
        <rFont val="Scotia"/>
        <family val="2"/>
      </rPr>
      <t>(4) Provision for credit losses on certain financial assets - loans, acceptances and off-balance sheet exposures.</t>
    </r>
  </si>
  <si>
    <r>
      <rPr>
        <sz val="7"/>
        <color rgb="FF000000"/>
        <rFont val="Scotia"/>
        <family val="2"/>
      </rPr>
      <t>(5) Credit Cards include retail and small business cards.</t>
    </r>
  </si>
  <si>
    <r>
      <rPr>
        <sz val="7"/>
        <color rgb="FF000000"/>
        <rFont val="Scotia"/>
        <family val="2"/>
      </rPr>
      <t>(6) Employees are reported on a full-time equivalent basis and include Canadian and International Contact Centre employees providing support to Canadian Banking. Effective Q1/25, certain Operations and Digital Transformation teams have been transferred into Canadian Banking from the Other segment with prior periods revised to reflect this change.</t>
    </r>
  </si>
  <si>
    <r>
      <rPr>
        <b/>
        <sz val="14"/>
        <color rgb="FFFFFFFF"/>
        <rFont val="Scotia"/>
        <family val="2"/>
      </rPr>
      <t>Business Segment Performance: International Banking</t>
    </r>
  </si>
  <si>
    <r>
      <rPr>
        <sz val="11"/>
        <color rgb="FF000000"/>
        <rFont val="Scotia"/>
        <family val="2"/>
      </rPr>
      <t>2024</t>
    </r>
  </si>
  <si>
    <r>
      <rPr>
        <sz val="11"/>
        <color rgb="FF000000"/>
        <rFont val="Scotia"/>
        <family val="2"/>
      </rPr>
      <t>2023</t>
    </r>
  </si>
  <si>
    <r>
      <rPr>
        <b/>
        <sz val="11"/>
        <color rgb="FFFF0000"/>
        <rFont val="Scotia"/>
        <family val="2"/>
      </rPr>
      <t xml:space="preserve">Income Statement — Taxable Equivalent Basis (TEB) — </t>
    </r>
    <r>
      <rPr>
        <i/>
        <sz val="11"/>
        <color rgb="FFFF0000"/>
        <rFont val="Scotia"/>
        <family val="2"/>
      </rPr>
      <t>($ millions)</t>
    </r>
  </si>
  <si>
    <r>
      <rPr>
        <sz val="11"/>
        <color rgb="FF000000"/>
        <rFont val="Scotia"/>
        <family val="2"/>
      </rPr>
      <t xml:space="preserve">Net interest income (TEB) </t>
    </r>
  </si>
  <si>
    <r>
      <rPr>
        <sz val="11"/>
        <color rgb="FF000000"/>
        <rFont val="Scotia"/>
        <family val="2"/>
      </rPr>
      <t xml:space="preserve">Non-interest expenses </t>
    </r>
  </si>
  <si>
    <r>
      <rPr>
        <b/>
        <sz val="11"/>
        <color rgb="FF000000"/>
        <rFont val="Scotia"/>
        <family val="2"/>
      </rPr>
      <t>Reported net income attributable to non-controlling interests (NCI)</t>
    </r>
  </si>
  <si>
    <r>
      <rPr>
        <b/>
        <sz val="11"/>
        <color rgb="FF000000"/>
        <rFont val="Scotia"/>
        <family val="2"/>
      </rPr>
      <t>Reported net income attributable to equity holders of the Bank (NIAEH)</t>
    </r>
  </si>
  <si>
    <r>
      <rPr>
        <b/>
        <sz val="11"/>
        <color rgb="FF000000"/>
        <rFont val="Scotia"/>
        <family val="2"/>
      </rPr>
      <t>Adjusted net income attributable to non-controlling interests (NCI)⁽¹⁾</t>
    </r>
  </si>
  <si>
    <r>
      <rPr>
        <b/>
        <sz val="11"/>
        <color rgb="FF000000"/>
        <rFont val="Scotia"/>
        <family val="2"/>
      </rPr>
      <t>Adjusted net income attributable to equity holders of the Bank (NIAEH)⁽¹⁾</t>
    </r>
  </si>
  <si>
    <r>
      <rPr>
        <b/>
        <sz val="11"/>
        <color rgb="FFFF0000"/>
        <rFont val="Scotia"/>
        <family val="2"/>
      </rPr>
      <t xml:space="preserve">Average Balance Sheet </t>
    </r>
    <r>
      <rPr>
        <i/>
        <sz val="11"/>
        <color rgb="FFFF0000"/>
        <rFont val="Scotia"/>
        <family val="2"/>
      </rPr>
      <t>($ billions)</t>
    </r>
  </si>
  <si>
    <r>
      <rPr>
        <sz val="11"/>
        <color rgb="FF000000"/>
        <rFont val="Scotia"/>
        <family val="2"/>
      </rPr>
      <t>Personal loans</t>
    </r>
  </si>
  <si>
    <r>
      <rPr>
        <sz val="11"/>
        <color rgb="FF000000"/>
        <rFont val="Scotia"/>
        <family val="2"/>
      </rPr>
      <t>Credit cards</t>
    </r>
  </si>
  <si>
    <r>
      <rPr>
        <b/>
        <sz val="11"/>
        <color rgb="FF000000"/>
        <rFont val="Scotia"/>
        <family val="2"/>
      </rPr>
      <t>Total loans &amp; acceptances</t>
    </r>
  </si>
  <si>
    <r>
      <rPr>
        <sz val="11"/>
        <color rgb="FF000000"/>
        <rFont val="Scotia"/>
        <family val="2"/>
      </rPr>
      <t>Investment securities</t>
    </r>
  </si>
  <si>
    <r>
      <rPr>
        <sz val="11"/>
        <color rgb="FF000000"/>
        <rFont val="Scotia"/>
        <family val="2"/>
      </rPr>
      <t>Deposits with banks</t>
    </r>
  </si>
  <si>
    <r>
      <rPr>
        <sz val="11"/>
        <color rgb="FF000000"/>
        <rFont val="Scotia"/>
        <family val="2"/>
      </rPr>
      <t>Employees⁽⁵⁾</t>
    </r>
  </si>
  <si>
    <r>
      <rPr>
        <sz val="11"/>
        <color rgb="FF000000"/>
        <rFont val="Scotia"/>
        <family val="2"/>
      </rPr>
      <t>Amortization of intangibles (pre-tax)</t>
    </r>
  </si>
  <si>
    <r>
      <rPr>
        <sz val="9"/>
        <color rgb="FF000000"/>
        <rFont val="Scotia"/>
        <family val="2"/>
      </rPr>
      <t xml:space="preserve">(1) Adjusting item includes amortization of acquisition-related intangible assets. Refer to non-GAAP Measures on Notes Pages 1-2 of the Supplementary Financial Information Report for details. </t>
    </r>
  </si>
  <si>
    <r>
      <rPr>
        <sz val="9"/>
        <color rgb="FF000000"/>
        <rFont val="Scotia"/>
        <family val="2"/>
      </rPr>
      <t>(2) Refer to non-GAAP measures on page 5 of the Q3 2025 Quarterly Report to Shareholders, available on http://www.sedarplus.ca for the description of the measure. Refer to Appendix 3 of the Supplementary Financial Information Report for reconciliation.</t>
    </r>
  </si>
  <si>
    <r>
      <rPr>
        <sz val="9"/>
        <color rgb="FF000000"/>
        <rFont val="Scotia"/>
        <family val="2"/>
      </rPr>
      <t>(3) Refer to page 57 of the Q3 2025 Quarterly Report to Shareholders, available on http://www.sedarplus.ca, for an explanation of the composition of the measure. Such explanation is incorporated by reference hereto.</t>
    </r>
  </si>
  <si>
    <r>
      <rPr>
        <sz val="9"/>
        <color rgb="FF000000"/>
        <rFont val="Scotia"/>
        <family val="2"/>
      </rPr>
      <t>(4) Provision for credit losses on certain financial assets - loans, acceptances and off-balance sheet exposures.</t>
    </r>
  </si>
  <si>
    <r>
      <rPr>
        <sz val="9"/>
        <color rgb="FF000000"/>
        <rFont val="Scotia"/>
        <family val="2"/>
      </rPr>
      <t>(5) Employees are reported on a full-time equivalent basis.</t>
    </r>
  </si>
  <si>
    <r>
      <rPr>
        <b/>
        <sz val="14"/>
        <color rgb="FFFFFFFF"/>
        <rFont val="Scotia"/>
        <family val="2"/>
      </rPr>
      <t>Business Segment Performance: International Banking (Constant Dollar)⁽¹⁾</t>
    </r>
  </si>
  <si>
    <r>
      <rPr>
        <sz val="11"/>
        <color rgb="FF000000"/>
        <rFont val="Scotia"/>
        <family val="2"/>
      </rPr>
      <t>Adjusting items (after tax)⁽²⁾</t>
    </r>
  </si>
  <si>
    <r>
      <rPr>
        <b/>
        <sz val="11"/>
        <color rgb="FF000000"/>
        <rFont val="Scotia"/>
        <family val="2"/>
      </rPr>
      <t>Adjusted net income⁽²⁾</t>
    </r>
  </si>
  <si>
    <r>
      <rPr>
        <b/>
        <sz val="11"/>
        <color rgb="FF000000"/>
        <rFont val="Scotia"/>
        <family val="2"/>
      </rPr>
      <t>Adjusted net income attributable to non-controlling interests (NCI)⁽²⁾</t>
    </r>
  </si>
  <si>
    <r>
      <rPr>
        <b/>
        <sz val="11"/>
        <color rgb="FF000000"/>
        <rFont val="Scotia"/>
        <family val="2"/>
      </rPr>
      <t>Adjusted net income attributable to equity holders of the Bank (NIAEH)⁽²⁾</t>
    </r>
  </si>
  <si>
    <r>
      <rPr>
        <b/>
        <sz val="11"/>
        <color rgb="FFFF0000"/>
        <rFont val="Scotia"/>
        <family val="2"/>
      </rPr>
      <t>Profitability Measurements⁽⁴⁾</t>
    </r>
  </si>
  <si>
    <r>
      <rPr>
        <sz val="11"/>
        <color rgb="FF000000"/>
        <rFont val="Scotia"/>
        <family val="2"/>
      </rPr>
      <t>Net interest margin⁽³⁾</t>
    </r>
  </si>
  <si>
    <t>Net write-offs as a % of average net loans and acceptances⁽⁵⁾</t>
  </si>
  <si>
    <t>Return on equity (%)⁽³⁾</t>
  </si>
  <si>
    <t>Provision for credit losses (PCL) as % of average net loans and acceptances⁽⁵⁾⁽⁶⁾</t>
  </si>
  <si>
    <t>PCL on impaired loans as % of average net loans and acceptances⁽⁵⁾⁽⁶⁾</t>
  </si>
  <si>
    <t>Productivity ratio (%)⁽⁵⁾</t>
  </si>
  <si>
    <r>
      <rPr>
        <b/>
        <sz val="11"/>
        <color rgb="FF000000"/>
        <rFont val="Scotia"/>
        <family val="2"/>
      </rPr>
      <t>Adjusted⁽³⁾</t>
    </r>
  </si>
  <si>
    <r>
      <rPr>
        <b/>
        <sz val="11"/>
        <color rgb="FFFF0000"/>
        <rFont val="Scotia"/>
        <family val="2"/>
      </rPr>
      <t xml:space="preserve">Average Balance Sheet  </t>
    </r>
    <r>
      <rPr>
        <i/>
        <sz val="11"/>
        <color rgb="FFFF0000"/>
        <rFont val="Scotia"/>
        <family val="2"/>
      </rPr>
      <t>($ billions)</t>
    </r>
  </si>
  <si>
    <r>
      <rPr>
        <sz val="11"/>
        <color rgb="FF000000"/>
        <rFont val="Scotia"/>
        <family val="2"/>
      </rPr>
      <t>Employees⁽⁷⁾</t>
    </r>
  </si>
  <si>
    <r>
      <rPr>
        <sz val="9"/>
        <color rgb="FF000000"/>
        <rFont val="Scotia"/>
        <family val="2"/>
      </rPr>
      <t xml:space="preserve">(1) Data presented on a constant FX basis. Quarterly results reflect FX rates as of Q3/25, while full-year results reflect Current Year YTD Average FX rates.  Refer to non-GAAP measures on page 11 of the Q3 2025 Quarterly Report to Shareholders, available on http://www.sedarplus.ca. </t>
    </r>
  </si>
  <si>
    <r>
      <rPr>
        <sz val="9"/>
        <color rgb="FF000000"/>
        <rFont val="Scotia"/>
        <family val="2"/>
      </rPr>
      <t xml:space="preserve">(2) Adjusting item includes amortization of acquisition-related intangible assets. Refer to non-GAAP Measures on Notes Pages 1-2 of the Supplementary Financial Information Report for details. </t>
    </r>
  </si>
  <si>
    <r>
      <rPr>
        <sz val="9"/>
        <color rgb="FF000000"/>
        <rFont val="Scotia"/>
        <family val="2"/>
      </rPr>
      <t>(3) Refer to non-GAAP measures on page 5 of the Q3 2025 Quarterly Report to Shareholders, available on http://www.sedarplus.ca for the description of the measure. Refer to Appendix 3 of the Supplementary Financial Information Report for reconciliation.</t>
    </r>
  </si>
  <si>
    <r>
      <rPr>
        <sz val="9"/>
        <color rgb="FF000000"/>
        <rFont val="Scotia"/>
        <family val="2"/>
      </rPr>
      <t>(4) Ratios are on a reported basis.</t>
    </r>
  </si>
  <si>
    <r>
      <rPr>
        <sz val="9"/>
        <color rgb="FF000000"/>
        <rFont val="Scotia"/>
        <family val="2"/>
      </rPr>
      <t>(5) Refer to page 57 of the Q3 2025 Quarterly Report to Shareholders, available on http://www.sedarplus.ca, for an explanation of the composition of the measure. Such explanation is incorporated by reference hereto.</t>
    </r>
  </si>
  <si>
    <r>
      <rPr>
        <sz val="9"/>
        <color rgb="FF000000"/>
        <rFont val="Scotia"/>
        <family val="2"/>
      </rPr>
      <t>(6) Provision for credit losses on certain financial assets - loans, acceptances and off-balance sheet exposures.</t>
    </r>
  </si>
  <si>
    <r>
      <rPr>
        <sz val="9"/>
        <color rgb="FF000000"/>
        <rFont val="Scotia"/>
        <family val="2"/>
      </rPr>
      <t>(7) Employees are reported on a full-time equivalent basis.</t>
    </r>
  </si>
  <si>
    <r>
      <rPr>
        <b/>
        <sz val="14"/>
        <color rgb="FFFFFFFF"/>
        <rFont val="Scotia"/>
        <family val="2"/>
      </rPr>
      <t>Business Segment Performance: Global Wealth Management</t>
    </r>
  </si>
  <si>
    <r>
      <rPr>
        <sz val="11"/>
        <color rgb="FF000000"/>
        <rFont val="Scotia"/>
        <family val="2"/>
      </rPr>
      <t>Provision for credit losses - Charge/(Recovery)</t>
    </r>
  </si>
  <si>
    <r>
      <rPr>
        <b/>
        <sz val="11"/>
        <color rgb="FF000000"/>
        <rFont val="Scotia"/>
        <family val="2"/>
      </rPr>
      <t xml:space="preserve">Reported NIAEH </t>
    </r>
    <r>
      <rPr>
        <sz val="11"/>
        <color rgb="FF000000"/>
        <rFont val="Scotia"/>
        <family val="2"/>
      </rPr>
      <t>by geography</t>
    </r>
  </si>
  <si>
    <r>
      <rPr>
        <sz val="11"/>
        <color rgb="FF000000"/>
        <rFont val="Scotia"/>
        <family val="2"/>
      </rPr>
      <t>Canada</t>
    </r>
  </si>
  <si>
    <r>
      <rPr>
        <sz val="11"/>
        <color rgb="FF000000"/>
        <rFont val="Scotia"/>
        <family val="2"/>
      </rPr>
      <t>International</t>
    </r>
  </si>
  <si>
    <r>
      <rPr>
        <sz val="11"/>
        <color rgb="FF000000"/>
        <rFont val="Scotia"/>
        <family val="2"/>
      </rPr>
      <t>Wealth Management</t>
    </r>
  </si>
  <si>
    <r>
      <rPr>
        <sz val="11"/>
        <color rgb="FF000000"/>
        <rFont val="Scotia"/>
        <family val="2"/>
      </rPr>
      <t>Pensions</t>
    </r>
  </si>
  <si>
    <r>
      <rPr>
        <b/>
        <sz val="11"/>
        <color rgb="FF000000"/>
        <rFont val="Scotia"/>
        <family val="2"/>
      </rPr>
      <t>Total Reported Net Income Attributable to Equity Holders of the Bank</t>
    </r>
  </si>
  <si>
    <r>
      <rPr>
        <b/>
        <sz val="11"/>
        <color rgb="FF000000"/>
        <rFont val="Scotia"/>
        <family val="2"/>
      </rPr>
      <t>Adjusted net income attributable to NCI⁽¹⁾</t>
    </r>
  </si>
  <si>
    <r>
      <rPr>
        <b/>
        <sz val="11"/>
        <color rgb="FF000000"/>
        <rFont val="Scotia"/>
        <family val="2"/>
      </rPr>
      <t>Adjusted NIAEH⁽¹⁾</t>
    </r>
  </si>
  <si>
    <r>
      <rPr>
        <b/>
        <sz val="11"/>
        <color rgb="FF000000"/>
        <rFont val="Scotia"/>
        <family val="2"/>
      </rPr>
      <t>Adjusted NIAEH</t>
    </r>
    <r>
      <rPr>
        <sz val="11"/>
        <color rgb="FF000000"/>
        <rFont val="Scotia"/>
        <family val="2"/>
      </rPr>
      <t>⁽¹⁾by geography</t>
    </r>
  </si>
  <si>
    <r>
      <rPr>
        <b/>
        <sz val="11"/>
        <color rgb="FF000000"/>
        <rFont val="Scotia"/>
        <family val="2"/>
      </rPr>
      <t>Total Adjusted Net Income Attributable to Equity Holders of the Bank⁽¹⁾</t>
    </r>
  </si>
  <si>
    <r>
      <rPr>
        <b/>
        <sz val="11"/>
        <color rgb="FF000000"/>
        <rFont val="Scotia"/>
        <family val="2"/>
      </rPr>
      <t>Revenue by geography</t>
    </r>
  </si>
  <si>
    <r>
      <rPr>
        <b/>
        <sz val="11"/>
        <color rgb="FF000000"/>
        <rFont val="Scotia"/>
        <family val="2"/>
      </rPr>
      <t>Total Revenue (TEB)</t>
    </r>
  </si>
  <si>
    <r>
      <rPr>
        <b/>
        <sz val="11"/>
        <color rgb="FFFF0000"/>
        <rFont val="Scotia"/>
        <family val="2"/>
      </rPr>
      <t>Average Balance Sheet</t>
    </r>
    <r>
      <rPr>
        <sz val="11"/>
        <color rgb="FFFF0000"/>
        <rFont val="Scotia"/>
        <family val="2"/>
      </rPr>
      <t xml:space="preserve"> </t>
    </r>
    <r>
      <rPr>
        <i/>
        <sz val="11"/>
        <color rgb="FFFF0000"/>
        <rFont val="Scotia"/>
        <family val="2"/>
      </rPr>
      <t>($ billions)</t>
    </r>
  </si>
  <si>
    <r>
      <rPr>
        <b/>
        <sz val="11"/>
        <color rgb="FFFF0000"/>
        <rFont val="Scotia"/>
        <family val="2"/>
      </rPr>
      <t>Period-End Balances</t>
    </r>
    <r>
      <rPr>
        <b/>
        <i/>
        <sz val="11"/>
        <color rgb="FFFF0000"/>
        <rFont val="Scotia"/>
        <family val="2"/>
      </rPr>
      <t xml:space="preserve"> </t>
    </r>
    <r>
      <rPr>
        <i/>
        <sz val="11"/>
        <color rgb="FFFF0000"/>
        <rFont val="Scotia"/>
        <family val="2"/>
      </rPr>
      <t>($ billions)</t>
    </r>
  </si>
  <si>
    <r>
      <rPr>
        <b/>
        <sz val="11"/>
        <color rgb="FF000000"/>
        <rFont val="Scotia"/>
        <family val="2"/>
      </rPr>
      <t>Assets under administration by geography⁽³⁾:</t>
    </r>
  </si>
  <si>
    <r>
      <rPr>
        <b/>
        <sz val="11"/>
        <color rgb="FF000000"/>
        <rFont val="Scotia"/>
        <family val="2"/>
      </rPr>
      <t>Total Assets under Administration</t>
    </r>
  </si>
  <si>
    <r>
      <rPr>
        <b/>
        <sz val="11"/>
        <color rgb="FF000000"/>
        <rFont val="Scotia"/>
        <family val="2"/>
      </rPr>
      <t>Assets under management by geography⁽³⁾:</t>
    </r>
  </si>
  <si>
    <r>
      <rPr>
        <b/>
        <sz val="11"/>
        <color rgb="FF000000"/>
        <rFont val="Scotia"/>
        <family val="2"/>
      </rPr>
      <t>Total Assets under Management</t>
    </r>
  </si>
  <si>
    <r>
      <rPr>
        <b/>
        <sz val="11"/>
        <color rgb="FF000000"/>
        <rFont val="Scotia"/>
        <family val="2"/>
      </rPr>
      <t>Employees⁽⁴⁾</t>
    </r>
  </si>
  <si>
    <r>
      <rPr>
        <sz val="11"/>
        <color rgb="FF000000"/>
        <rFont val="Scotia"/>
        <family val="2"/>
      </rPr>
      <t>In Canada</t>
    </r>
  </si>
  <si>
    <r>
      <rPr>
        <sz val="11"/>
        <color rgb="FF000000"/>
        <rFont val="Scotia"/>
        <family val="2"/>
      </rPr>
      <t>Outside Canada</t>
    </r>
  </si>
  <si>
    <r>
      <rPr>
        <sz val="11"/>
        <color rgb="FF000000"/>
        <rFont val="Scotia"/>
        <family val="2"/>
      </rPr>
      <t>Total</t>
    </r>
  </si>
  <si>
    <r>
      <rPr>
        <sz val="9"/>
        <color rgb="FF000000"/>
        <rFont val="Scotia"/>
        <family val="2"/>
      </rPr>
      <t>(3) Refer to page 57of the Q3 2025 Quarterly Report to Shareholders, available on http://www.sedarplus.ca, for an explanation of the composition of the measure. Such explanation is incorporated by reference hereto.</t>
    </r>
  </si>
  <si>
    <r>
      <rPr>
        <sz val="9"/>
        <color rgb="FF000000"/>
        <rFont val="Scotia"/>
        <family val="2"/>
      </rPr>
      <t>(4) Employees are reported on a full-time equivalent basis.</t>
    </r>
  </si>
  <si>
    <r>
      <rPr>
        <b/>
        <sz val="14"/>
        <color rgb="FFFFFFFF"/>
        <rFont val="Scotia"/>
        <family val="2"/>
      </rPr>
      <t>Business Segment Performance: Global Banking and Markets</t>
    </r>
  </si>
  <si>
    <t>2025</t>
  </si>
  <si>
    <t>Full Year</t>
  </si>
  <si>
    <r>
      <rPr>
        <b/>
        <sz val="11"/>
        <color rgb="FFFF0000"/>
        <rFont val="Scotia"/>
        <family val="2"/>
      </rPr>
      <t>Income Statement — Taxable Equivalent Basis (TEB) —</t>
    </r>
    <r>
      <rPr>
        <i/>
        <sz val="11"/>
        <color rgb="FFFF0000"/>
        <rFont val="Scotia"/>
        <family val="2"/>
      </rPr>
      <t xml:space="preserve"> ($ millions)</t>
    </r>
  </si>
  <si>
    <r>
      <rPr>
        <b/>
        <sz val="11"/>
        <color rgb="FF000000"/>
        <rFont val="Scotia"/>
        <family val="2"/>
      </rPr>
      <t>Revenue (TEB) by business and capital markets</t>
    </r>
  </si>
  <si>
    <r>
      <rPr>
        <sz val="11"/>
        <color rgb="FF000000"/>
        <rFont val="Scotia"/>
        <family val="2"/>
      </rPr>
      <t>Business banking</t>
    </r>
  </si>
  <si>
    <r>
      <rPr>
        <sz val="11"/>
        <color rgb="FF000000"/>
        <rFont val="Scotia"/>
        <family val="2"/>
      </rPr>
      <t>Capital markets</t>
    </r>
  </si>
  <si>
    <r>
      <rPr>
        <b/>
        <sz val="11"/>
        <color rgb="FF000000"/>
        <rFont val="Scotia"/>
        <family val="2"/>
      </rPr>
      <t>Capital markets revenue:</t>
    </r>
  </si>
  <si>
    <r>
      <rPr>
        <sz val="11"/>
        <color rgb="FF000000"/>
        <rFont val="Scotia"/>
        <family val="2"/>
      </rPr>
      <t>Interest rate and credit</t>
    </r>
  </si>
  <si>
    <r>
      <rPr>
        <sz val="11"/>
        <color rgb="FF000000"/>
        <rFont val="Scotia"/>
        <family val="2"/>
      </rPr>
      <t>Equities</t>
    </r>
  </si>
  <si>
    <r>
      <rPr>
        <sz val="11"/>
        <color rgb="FF000000"/>
        <rFont val="Scotia"/>
        <family val="2"/>
      </rPr>
      <t>Commodities</t>
    </r>
  </si>
  <si>
    <r>
      <rPr>
        <sz val="11"/>
        <color rgb="FF000000"/>
        <rFont val="Scotia"/>
        <family val="2"/>
      </rPr>
      <t>Foreign exchange</t>
    </r>
  </si>
  <si>
    <r>
      <rPr>
        <b/>
        <sz val="11"/>
        <color rgb="FF000000"/>
        <rFont val="Scotia"/>
        <family val="2"/>
      </rPr>
      <t>Total capital markets revenue (TEB)</t>
    </r>
  </si>
  <si>
    <t>Provision for credit losses (PCL) as % of average net loans and acceptances⁽¹⁾⁽³⁾</t>
  </si>
  <si>
    <t>PCL on impaired loans as % of average net loans and acceptances⁽¹⁾⁽³⁾</t>
  </si>
  <si>
    <r>
      <rPr>
        <sz val="11"/>
        <color rgb="FF000000"/>
        <rFont val="Scotia"/>
        <family val="2"/>
      </rPr>
      <t>Securities purchased under resale agreements</t>
    </r>
  </si>
  <si>
    <r>
      <rPr>
        <sz val="11"/>
        <color rgb="FF000000"/>
        <rFont val="Scotia"/>
        <family val="2"/>
      </rPr>
      <t>Trading Assets</t>
    </r>
  </si>
  <si>
    <r>
      <rPr>
        <sz val="11"/>
        <color rgb="FF000000"/>
        <rFont val="Scotia"/>
        <family val="2"/>
      </rPr>
      <t>Securities</t>
    </r>
  </si>
  <si>
    <r>
      <rPr>
        <sz val="11"/>
        <color rgb="FF000000"/>
        <rFont val="Scotia"/>
        <family val="2"/>
      </rPr>
      <t>Loans</t>
    </r>
  </si>
  <si>
    <r>
      <rPr>
        <sz val="11"/>
        <color rgb="FF000000"/>
        <rFont val="Scotia"/>
        <family val="2"/>
      </rPr>
      <t>Total deposits⁽⁴⁾</t>
    </r>
  </si>
  <si>
    <r>
      <rPr>
        <b/>
        <sz val="11"/>
        <color rgb="FF000000"/>
        <rFont val="Scotia"/>
        <family val="2"/>
      </rPr>
      <t>Employees⁽⁵⁾</t>
    </r>
  </si>
  <si>
    <r>
      <rPr>
        <sz val="9"/>
        <color rgb="FF000000"/>
        <rFont val="Scotia"/>
        <family val="2"/>
      </rPr>
      <t>(1) Refer to page 57 of the Q3 2025 Quarterly Report to Shareholders, available on http://www.sedarplus.ca, for an explanation of the composition of the measure. Such explanation is incorporated by reference hereto.</t>
    </r>
  </si>
  <si>
    <r>
      <rPr>
        <sz val="9"/>
        <color rgb="FF000000"/>
        <rFont val="Scotia"/>
        <family val="2"/>
      </rPr>
      <t>(3) Provision for credit losses on certain financial assets - loans, acceptances and off-balance sheet exposures.</t>
    </r>
  </si>
  <si>
    <r>
      <rPr>
        <sz val="9"/>
        <color rgb="FF000000"/>
        <rFont val="Scotia"/>
        <family val="2"/>
      </rPr>
      <t>(4) Commencing Q1 2024, certain treasury-related deposit balances that were previously reported under GBM are now reported in the Other segment of the Bank, reducing GBM deposit volumes by $7.1bn.</t>
    </r>
  </si>
  <si>
    <r>
      <rPr>
        <sz val="9"/>
        <color rgb="FF000000"/>
        <rFont val="Scotia"/>
        <family val="2"/>
      </rPr>
      <t>(5) Employees are reported on a full-time equivalent basis. Effective Q1/25, certain support groups have been transferred to the Other segment. Prior periods have been revised to reflect this change.</t>
    </r>
  </si>
  <si>
    <r>
      <rPr>
        <b/>
        <sz val="14"/>
        <color rgb="FFFFFFFF"/>
        <rFont val="Scotia"/>
        <family val="2"/>
      </rPr>
      <t>Business Segment Performance: Other⁽¹⁾</t>
    </r>
  </si>
  <si>
    <r>
      <rPr>
        <b/>
        <sz val="11"/>
        <color rgb="FFFF0000"/>
        <rFont val="Scotia"/>
        <family val="2"/>
      </rPr>
      <t xml:space="preserve">Income Statement — Taxable Equivalent Basis (TEB) </t>
    </r>
    <r>
      <rPr>
        <sz val="11"/>
        <color rgb="FFFF0000"/>
        <rFont val="Scotia"/>
        <family val="2"/>
      </rPr>
      <t xml:space="preserve">— </t>
    </r>
    <r>
      <rPr>
        <i/>
        <sz val="11"/>
        <color rgb="FFFF0000"/>
        <rFont val="Scotia"/>
        <family val="2"/>
      </rPr>
      <t>($ millions)</t>
    </r>
  </si>
  <si>
    <r>
      <rPr>
        <sz val="11"/>
        <color rgb="FF000000"/>
        <rFont val="Scotia"/>
        <family val="2"/>
      </rPr>
      <t>Net interest income (TEB)⁽²⁾</t>
    </r>
  </si>
  <si>
    <r>
      <rPr>
        <sz val="11"/>
        <color rgb="FF000000"/>
        <rFont val="Scotia"/>
        <family val="2"/>
      </rPr>
      <t>Non-interest income (TEB)⁽²⁾⁽³⁾</t>
    </r>
  </si>
  <si>
    <r>
      <rPr>
        <b/>
        <sz val="11"/>
        <color rgb="FF000000"/>
        <rFont val="Scotia"/>
        <family val="2"/>
      </rPr>
      <t>Total revenue (TEB)⁽²⁾</t>
    </r>
  </si>
  <si>
    <r>
      <rPr>
        <sz val="11"/>
        <color rgb="FF000000"/>
        <rFont val="Scotia"/>
        <family val="2"/>
      </rPr>
      <t>Non-interest expenses⁽³⁾</t>
    </r>
  </si>
  <si>
    <r>
      <rPr>
        <sz val="11"/>
        <color rgb="FF000000"/>
        <rFont val="Scotia"/>
        <family val="2"/>
      </rPr>
      <t>Income tax expense/(recovery) (TEB)⁽²⁾</t>
    </r>
  </si>
  <si>
    <r>
      <rPr>
        <b/>
        <sz val="11"/>
        <color rgb="FF000000"/>
        <rFont val="Scotia"/>
        <family val="2"/>
      </rPr>
      <t>Reported net income / (loss)</t>
    </r>
  </si>
  <si>
    <r>
      <rPr>
        <sz val="11"/>
        <color rgb="FF000000"/>
        <rFont val="Scotia"/>
        <family val="2"/>
      </rPr>
      <t>Adjusting items (before-tax)⁽⁴⁾</t>
    </r>
  </si>
  <si>
    <r>
      <rPr>
        <b/>
        <sz val="11"/>
        <color rgb="FF000000"/>
        <rFont val="Scotia"/>
        <family val="2"/>
      </rPr>
      <t>Adjusted net income before taxes⁽⁴⁾</t>
    </r>
  </si>
  <si>
    <r>
      <rPr>
        <sz val="11"/>
        <color rgb="FF000000"/>
        <rFont val="Scotia"/>
        <family val="2"/>
      </rPr>
      <t>Adjusting items (after-tax)⁽⁴⁾</t>
    </r>
  </si>
  <si>
    <r>
      <rPr>
        <b/>
        <sz val="11"/>
        <color rgb="FF000000"/>
        <rFont val="Scotia"/>
        <family val="2"/>
      </rPr>
      <t>Adjusted net income⁽⁴⁾</t>
    </r>
  </si>
  <si>
    <r>
      <rPr>
        <b/>
        <sz val="11"/>
        <color rgb="FF000000"/>
        <rFont val="Scotia"/>
        <family val="2"/>
      </rPr>
      <t>Reported net income attributable to non-controlling interests</t>
    </r>
  </si>
  <si>
    <r>
      <rPr>
        <b/>
        <sz val="11"/>
        <color rgb="FF000000"/>
        <rFont val="Scotia"/>
        <family val="2"/>
      </rPr>
      <t>Adjusted net income attributable to non-controlling interests⁽⁴⁾</t>
    </r>
  </si>
  <si>
    <r>
      <rPr>
        <b/>
        <sz val="11"/>
        <color rgb="FF000000"/>
        <rFont val="Scotia"/>
        <family val="2"/>
      </rPr>
      <t>Adjusted net income attributable to equity holders of the Bank⁽⁴⁾</t>
    </r>
  </si>
  <si>
    <r>
      <rPr>
        <b/>
        <sz val="11"/>
        <color rgb="FFFF0000"/>
        <rFont val="Scotia"/>
        <family val="2"/>
      </rPr>
      <t xml:space="preserve">Average Balances </t>
    </r>
    <r>
      <rPr>
        <sz val="11"/>
        <color rgb="FFFF0000"/>
        <rFont val="Scotia"/>
        <family val="2"/>
      </rPr>
      <t>(</t>
    </r>
    <r>
      <rPr>
        <i/>
        <sz val="11"/>
        <color rgb="FFFF0000"/>
        <rFont val="Scotia"/>
        <family val="2"/>
      </rPr>
      <t>$ billions)</t>
    </r>
  </si>
  <si>
    <r>
      <rPr>
        <b/>
        <sz val="11"/>
        <color rgb="FFFF0000"/>
        <rFont val="Scotia"/>
        <family val="2"/>
      </rPr>
      <t xml:space="preserve">Additional Information </t>
    </r>
    <r>
      <rPr>
        <i/>
        <sz val="11"/>
        <color rgb="FFFF0000"/>
        <rFont val="Scotia"/>
        <family val="2"/>
      </rPr>
      <t>($ millions)</t>
    </r>
    <r>
      <rPr>
        <sz val="11"/>
        <color rgb="FFFF0000"/>
        <rFont val="Scotia"/>
        <family val="2"/>
      </rPr>
      <t>⁽²⁾</t>
    </r>
  </si>
  <si>
    <r>
      <rPr>
        <sz val="11"/>
        <color rgb="FF000000"/>
        <rFont val="Scotia"/>
        <family val="2"/>
      </rPr>
      <t>Net interest income TEB adjustment</t>
    </r>
  </si>
  <si>
    <r>
      <rPr>
        <sz val="11"/>
        <color rgb="FF000000"/>
        <rFont val="Scotia"/>
        <family val="2"/>
      </rPr>
      <t>Non-interest income TEB adjustment</t>
    </r>
  </si>
  <si>
    <r>
      <rPr>
        <b/>
        <sz val="11"/>
        <color rgb="FF000000"/>
        <rFont val="Scotia"/>
        <family val="2"/>
      </rPr>
      <t>Total revenue TEB adjustment</t>
    </r>
  </si>
  <si>
    <r>
      <rPr>
        <b/>
        <sz val="11"/>
        <color rgb="FF000000"/>
        <rFont val="Scotia"/>
        <family val="2"/>
      </rPr>
      <t>Income tax expense TEB adjustment</t>
    </r>
  </si>
  <si>
    <r>
      <rPr>
        <sz val="9"/>
        <color rgb="FF000000"/>
        <rFont val="Scotia"/>
        <family val="2"/>
      </rPr>
      <t>(1) Represents smaller operating segments including Group Treasury, certain investments in associated corporations, and smaller operating segments and corporate items which are not allocated to a business line.</t>
    </r>
  </si>
  <si>
    <r>
      <rPr>
        <sz val="9"/>
        <color rgb="FF000000"/>
        <rFont val="Scotia"/>
        <family val="2"/>
      </rPr>
      <t>(2) The Bank analyzes revenues on a taxable equivalent basis (TEB) for the main operating segments. The elimination of the TEB gross-up is recorded in the Other segment.  The results of the Consolidated Bank are presented on a non-TEB basis. Please refer to the MD&amp;A for details of the TEB methodology. Effective January 1, 2024, the Bank no longer claims the dividend received deduction on Canadian shares that are mark-to-market property. This resulted in a lower TEB gross up.</t>
    </r>
  </si>
  <si>
    <r>
      <rPr>
        <sz val="9"/>
        <color rgb="FF000000"/>
        <rFont val="Scotia"/>
        <family val="2"/>
      </rPr>
      <t>(3) Includes elimination of fees paid to Canadian Banking by Canadian Wealth Management for administrative support and other services provided by Canadian Banking to the Global Wealth Management businesses. These are reported as revenues in Canadian Banking and operating expenses in Global Wealth Management.</t>
    </r>
  </si>
  <si>
    <r>
      <rPr>
        <b/>
        <sz val="14"/>
        <color rgb="FFFFFFFF"/>
        <rFont val="Scotia"/>
        <family val="2"/>
      </rPr>
      <t>Non-Interest Income</t>
    </r>
  </si>
  <si>
    <r>
      <rPr>
        <b/>
        <sz val="11"/>
        <color rgb="FF000000"/>
        <rFont val="Scotia"/>
        <family val="2"/>
      </rPr>
      <t>Card revenues</t>
    </r>
  </si>
  <si>
    <r>
      <rPr>
        <b/>
        <sz val="11"/>
        <color rgb="FF000000"/>
        <rFont val="Scotia"/>
        <family val="2"/>
      </rPr>
      <t>Banking services fees</t>
    </r>
  </si>
  <si>
    <r>
      <rPr>
        <b/>
        <sz val="11"/>
        <color rgb="FF000000"/>
        <rFont val="Scotia"/>
        <family val="2"/>
      </rPr>
      <t>Credit fees</t>
    </r>
  </si>
  <si>
    <r>
      <rPr>
        <b/>
        <sz val="11"/>
        <color rgb="FF000000"/>
        <rFont val="Scotia"/>
        <family val="2"/>
      </rPr>
      <t>Total banking revenues</t>
    </r>
  </si>
  <si>
    <r>
      <rPr>
        <b/>
        <sz val="11"/>
        <color rgb="FF000000"/>
        <rFont val="Scotia"/>
        <family val="2"/>
      </rPr>
      <t>Mutual funds</t>
    </r>
  </si>
  <si>
    <r>
      <rPr>
        <b/>
        <sz val="11"/>
        <color rgb="FF000000"/>
        <rFont val="Scotia"/>
        <family val="2"/>
      </rPr>
      <t>Brokerage fees</t>
    </r>
  </si>
  <si>
    <r>
      <rPr>
        <b/>
        <sz val="11"/>
        <color rgb="FF000000"/>
        <rFont val="Scotia"/>
        <family val="2"/>
      </rPr>
      <t>Investment management and trust</t>
    </r>
  </si>
  <si>
    <r>
      <rPr>
        <sz val="11"/>
        <color rgb="FF000000"/>
        <rFont val="Scotia"/>
        <family val="2"/>
      </rPr>
      <t>Investment management and custody</t>
    </r>
  </si>
  <si>
    <r>
      <rPr>
        <sz val="11"/>
        <color rgb="FF000000"/>
        <rFont val="Scotia"/>
        <family val="2"/>
      </rPr>
      <t>Personal and corporate trust</t>
    </r>
  </si>
  <si>
    <r>
      <rPr>
        <b/>
        <sz val="11"/>
        <color rgb="FF000000"/>
        <rFont val="Scotia"/>
        <family val="2"/>
      </rPr>
      <t>Total investment management and trust</t>
    </r>
  </si>
  <si>
    <r>
      <rPr>
        <b/>
        <sz val="11"/>
        <color rgb="FF000000"/>
        <rFont val="Scotia"/>
        <family val="2"/>
      </rPr>
      <t>Total wealth management revenues</t>
    </r>
  </si>
  <si>
    <r>
      <rPr>
        <b/>
        <sz val="11"/>
        <color rgb="FF000000"/>
        <rFont val="Scotia"/>
        <family val="2"/>
      </rPr>
      <t>Underwriting and advisory fees</t>
    </r>
  </si>
  <si>
    <r>
      <rPr>
        <b/>
        <sz val="11"/>
        <color rgb="FF000000"/>
        <rFont val="Scotia"/>
        <family val="2"/>
      </rPr>
      <t>Non-trading foreign exchange</t>
    </r>
  </si>
  <si>
    <r>
      <rPr>
        <b/>
        <sz val="11"/>
        <color rgb="FF000000"/>
        <rFont val="Scotia"/>
        <family val="2"/>
      </rPr>
      <t>Other fees and commissions</t>
    </r>
  </si>
  <si>
    <r>
      <rPr>
        <b/>
        <sz val="11"/>
        <color rgb="FF000000"/>
        <rFont val="Scotia"/>
        <family val="2"/>
      </rPr>
      <t>Total fee and commission revenues</t>
    </r>
  </si>
  <si>
    <r>
      <rPr>
        <b/>
        <sz val="11"/>
        <color rgb="FF000000"/>
        <rFont val="Scotia"/>
        <family val="2"/>
      </rPr>
      <t>Net income from investments in associated corporations</t>
    </r>
  </si>
  <si>
    <r>
      <rPr>
        <b/>
        <sz val="11"/>
        <color rgb="FF000000"/>
        <rFont val="Scotia"/>
        <family val="2"/>
      </rPr>
      <t>Other operating income</t>
    </r>
  </si>
  <si>
    <r>
      <rPr>
        <sz val="11"/>
        <color rgb="FF000000"/>
        <rFont val="Scotia"/>
        <family val="2"/>
      </rPr>
      <t>Trading revenues</t>
    </r>
  </si>
  <si>
    <r>
      <rPr>
        <sz val="11"/>
        <color rgb="FF000000"/>
        <rFont val="Scotia"/>
        <family val="2"/>
      </rPr>
      <t>Net gain on sale of investment securities</t>
    </r>
  </si>
  <si>
    <r>
      <rPr>
        <sz val="11"/>
        <color rgb="FF000000"/>
        <rFont val="Scotia"/>
        <family val="2"/>
      </rPr>
      <t>Insurance service results</t>
    </r>
  </si>
  <si>
    <r>
      <rPr>
        <sz val="11"/>
        <color rgb="FF000000"/>
        <rFont val="Scotia"/>
        <family val="2"/>
      </rPr>
      <t>Other</t>
    </r>
  </si>
  <si>
    <r>
      <rPr>
        <sz val="11"/>
        <color rgb="FF000000"/>
        <rFont val="Scotia"/>
        <family val="2"/>
      </rPr>
      <t>Total other operating income</t>
    </r>
  </si>
  <si>
    <r>
      <rPr>
        <b/>
        <sz val="11"/>
        <color rgb="FF000000"/>
        <rFont val="Scotia"/>
        <family val="2"/>
      </rPr>
      <t>Total non-interest income (reported)</t>
    </r>
  </si>
  <si>
    <r>
      <rPr>
        <b/>
        <sz val="11"/>
        <color rgb="FF000000"/>
        <rFont val="Scotia"/>
        <family val="2"/>
      </rPr>
      <t>Adjusting items⁽¹⁾</t>
    </r>
  </si>
  <si>
    <r>
      <rPr>
        <sz val="11"/>
        <color rgb="FF000000"/>
        <rFont val="Scotia"/>
        <family val="2"/>
      </rPr>
      <t>Divestitures and wind-down of operations⁽²⁾</t>
    </r>
  </si>
  <si>
    <r>
      <rPr>
        <sz val="11"/>
        <color rgb="FF000000"/>
        <rFont val="Scotia"/>
        <family val="2"/>
      </rPr>
      <t>Amortization of acquisition-related Intangible assets⁽³⁾</t>
    </r>
  </si>
  <si>
    <r>
      <rPr>
        <b/>
        <sz val="11"/>
        <color rgb="FF000000"/>
        <rFont val="Scotia"/>
        <family val="2"/>
      </rPr>
      <t>Total non-interest income (adjusted)⁽¹⁾</t>
    </r>
  </si>
  <si>
    <r>
      <rPr>
        <sz val="7"/>
        <color rgb="FF000000"/>
        <rFont val="Scotia"/>
        <family val="2"/>
      </rPr>
      <t>(2) Recorded in Other - Other Operating Income above.</t>
    </r>
  </si>
  <si>
    <r>
      <rPr>
        <sz val="7"/>
        <color rgb="FF000000"/>
        <rFont val="Scotia"/>
        <family val="2"/>
      </rPr>
      <t>(3) Recorded in net income from investments in associated corporations above, relates to the Bank’s investment in KeyCorp.</t>
    </r>
  </si>
  <si>
    <r>
      <rPr>
        <b/>
        <sz val="14"/>
        <color rgb="FFFFFFFF"/>
        <rFont val="Scotia"/>
        <family val="2"/>
      </rPr>
      <t>Revenue from Trading-Related Activities and Assets Under Administration and Management</t>
    </r>
  </si>
  <si>
    <r>
      <rPr>
        <b/>
        <sz val="11"/>
        <color rgb="FFFF0000"/>
        <rFont val="Scotia"/>
        <family val="2"/>
      </rPr>
      <t>Trading-related revenue (TEB)⁽¹⁾⁽²⁾</t>
    </r>
  </si>
  <si>
    <r>
      <rPr>
        <sz val="11"/>
        <color rgb="FF000000"/>
        <rFont val="Scotia"/>
        <family val="2"/>
      </rPr>
      <t>Net interest income</t>
    </r>
  </si>
  <si>
    <r>
      <rPr>
        <sz val="11"/>
        <color rgb="FF000000"/>
        <rFont val="Scotia"/>
        <family val="2"/>
      </rPr>
      <t>Other fees and commission</t>
    </r>
  </si>
  <si>
    <r>
      <rPr>
        <sz val="11"/>
        <color rgb="FF000000"/>
        <rFont val="Scotia"/>
        <family val="2"/>
      </rPr>
      <t>Total non-interest income</t>
    </r>
  </si>
  <si>
    <r>
      <rPr>
        <b/>
        <sz val="11"/>
        <color rgb="FF000000"/>
        <rFont val="Scotia"/>
        <family val="2"/>
      </rPr>
      <t>Total — Trading-related revenue⁽²⁾</t>
    </r>
  </si>
  <si>
    <r>
      <rPr>
        <b/>
        <sz val="11"/>
        <color rgb="FF000000"/>
        <rFont val="Scotia"/>
        <family val="2"/>
      </rPr>
      <t>Trading-related revenue by product (TEB)⁽²⁾</t>
    </r>
  </si>
  <si>
    <r>
      <rPr>
        <sz val="11"/>
        <color rgb="FF000000"/>
        <rFont val="Scotia"/>
        <family val="2"/>
      </rPr>
      <t>Foreign exchange and Other⁽³⁾</t>
    </r>
  </si>
  <si>
    <r>
      <rPr>
        <sz val="11"/>
        <color rgb="FF000000"/>
        <rFont val="Scotia"/>
        <family val="2"/>
      </rPr>
      <t>Taxable equivalent adjustment⁽⁴⁾</t>
    </r>
  </si>
  <si>
    <r>
      <rPr>
        <b/>
        <sz val="11"/>
        <color rgb="FF000000"/>
        <rFont val="Scotia"/>
        <family val="2"/>
      </rPr>
      <t>Total trading-related revenue by product (Non-TEB)</t>
    </r>
  </si>
  <si>
    <r>
      <rPr>
        <b/>
        <sz val="11"/>
        <color rgb="FFFF0000"/>
        <rFont val="Scotia"/>
        <family val="2"/>
      </rPr>
      <t>Assets under administration (</t>
    </r>
    <r>
      <rPr>
        <i/>
        <sz val="11"/>
        <color rgb="FFFF0000"/>
        <rFont val="Scotia"/>
        <family val="2"/>
      </rPr>
      <t>$ billions</t>
    </r>
    <r>
      <rPr>
        <b/>
        <sz val="11"/>
        <color rgb="FFFF0000"/>
        <rFont val="Scotia"/>
        <family val="2"/>
      </rPr>
      <t>)⁽⁵⁾</t>
    </r>
  </si>
  <si>
    <r>
      <rPr>
        <sz val="11"/>
        <color rgb="FF000000"/>
        <rFont val="Scotia"/>
        <family val="2"/>
      </rPr>
      <t>Retail brokerage</t>
    </r>
  </si>
  <si>
    <r>
      <rPr>
        <sz val="11"/>
        <color rgb="FF000000"/>
        <rFont val="Scotia"/>
        <family val="2"/>
      </rPr>
      <t>Investment management and trust</t>
    </r>
  </si>
  <si>
    <r>
      <rPr>
        <sz val="11"/>
        <color rgb="FF000000"/>
        <rFont val="Scotia"/>
        <family val="2"/>
      </rPr>
      <t>Personal</t>
    </r>
  </si>
  <si>
    <r>
      <rPr>
        <sz val="11"/>
        <color rgb="FF000000"/>
        <rFont val="Scotia"/>
        <family val="2"/>
      </rPr>
      <t>Mutual funds</t>
    </r>
  </si>
  <si>
    <r>
      <rPr>
        <sz val="11"/>
        <color rgb="FF000000"/>
        <rFont val="Scotia"/>
        <family val="2"/>
      </rPr>
      <t>Institutional</t>
    </r>
  </si>
  <si>
    <r>
      <rPr>
        <b/>
        <sz val="11"/>
        <color rgb="FF000000"/>
        <rFont val="Scotia"/>
        <family val="2"/>
      </rPr>
      <t>Total</t>
    </r>
  </si>
  <si>
    <r>
      <rPr>
        <b/>
        <sz val="11"/>
        <color rgb="FFFF0000"/>
        <rFont val="Scotia"/>
        <family val="2"/>
      </rPr>
      <t>Assets under management (</t>
    </r>
    <r>
      <rPr>
        <i/>
        <sz val="11"/>
        <color rgb="FFFF0000"/>
        <rFont val="Scotia"/>
        <family val="2"/>
      </rPr>
      <t>$ billions</t>
    </r>
    <r>
      <rPr>
        <b/>
        <sz val="11"/>
        <color rgb="FFFF0000"/>
        <rFont val="Scotia"/>
        <family val="2"/>
      </rPr>
      <t>)⁽⁵⁾</t>
    </r>
  </si>
  <si>
    <r>
      <rPr>
        <sz val="7"/>
        <color rgb="FF000000"/>
        <rFont val="Scotia"/>
        <family val="2"/>
      </rPr>
      <t>(1) Trading-related revenue consists of net interest income and non-interest income. Included are unrealized gains and losses on security positions held, realized gains and losses from the purchase and sale of securities, fees and commissions from securities borrowing and lending activities, and gains and losses on trading derivatives. Underwriting and advisory fees, which are shown separately in the consolidated statement of income, are excluded.</t>
    </r>
  </si>
  <si>
    <r>
      <rPr>
        <sz val="7"/>
        <color rgb="FF000000"/>
        <rFont val="Scotia"/>
        <family val="2"/>
      </rPr>
      <t xml:space="preserve">(2) Refer to non-GAAP measures on page 5 of the Q3 2025 Quarterly Report to Shareholders, available on http://www.sedarplus.ca for the description of the measure. </t>
    </r>
  </si>
  <si>
    <r>
      <rPr>
        <sz val="7"/>
        <color rgb="FF000000"/>
        <rFont val="Scotia"/>
        <family val="2"/>
      </rPr>
      <t>(3) Foreign exchange and Other includes trading-related revenues from foreign exchange, commodities and other trading activities of the Bank.</t>
    </r>
  </si>
  <si>
    <r>
      <rPr>
        <sz val="7"/>
        <color rgb="FF000000"/>
        <rFont val="Scotia"/>
        <family val="2"/>
      </rPr>
      <t>(4) Effective January 1, 2024, the Bank no longer claims the dividend received deduction on Canadian shares that are mark-to-market property. This resulted in a lower TEB gross up.</t>
    </r>
  </si>
  <si>
    <r>
      <rPr>
        <sz val="7"/>
        <color rgb="FF000000"/>
        <rFont val="Scotia"/>
        <family val="2"/>
      </rPr>
      <t>(5) Refer to page 57 of the Q3 2025 Quarterly Report to Shareholders, available on http://www.sedarplus.ca, for an explanation of the composition of the measure. Such explanation is incorporated by reference hereto.</t>
    </r>
  </si>
  <si>
    <r>
      <rPr>
        <b/>
        <sz val="14"/>
        <color rgb="FFFFFFFF"/>
        <rFont val="Scotia"/>
        <family val="2"/>
      </rPr>
      <t>Operating Expenses</t>
    </r>
  </si>
  <si>
    <r>
      <rPr>
        <b/>
        <sz val="11"/>
        <color rgb="FF000000"/>
        <rFont val="Scotia"/>
        <family val="2"/>
      </rPr>
      <t>Salaries and employee benefits</t>
    </r>
  </si>
  <si>
    <r>
      <rPr>
        <sz val="11"/>
        <color rgb="FF000000"/>
        <rFont val="Scotia"/>
        <family val="2"/>
      </rPr>
      <t>Salaries</t>
    </r>
  </si>
  <si>
    <r>
      <rPr>
        <sz val="11"/>
        <color rgb="FF000000"/>
        <rFont val="Scotia"/>
        <family val="2"/>
      </rPr>
      <t>Performance-based compensation</t>
    </r>
  </si>
  <si>
    <r>
      <rPr>
        <sz val="11"/>
        <color rgb="FF000000"/>
        <rFont val="Scotia"/>
        <family val="2"/>
      </rPr>
      <t>Share-based payment</t>
    </r>
  </si>
  <si>
    <r>
      <rPr>
        <sz val="11"/>
        <color rgb="FF000000"/>
        <rFont val="Scotia"/>
        <family val="2"/>
      </rPr>
      <t>Other employee benefits</t>
    </r>
  </si>
  <si>
    <r>
      <rPr>
        <b/>
        <sz val="11"/>
        <color rgb="FF000000"/>
        <rFont val="Scotia"/>
        <family val="2"/>
      </rPr>
      <t>Total salaries and employee benefits⁽¹⁾⁽²⁾</t>
    </r>
  </si>
  <si>
    <r>
      <rPr>
        <b/>
        <sz val="11"/>
        <color rgb="FF000000"/>
        <rFont val="Scotia"/>
        <family val="2"/>
      </rPr>
      <t>Premises</t>
    </r>
  </si>
  <si>
    <r>
      <rPr>
        <sz val="11"/>
        <color rgb="FF000000"/>
        <rFont val="Scotia"/>
        <family val="2"/>
      </rPr>
      <t>Rent</t>
    </r>
  </si>
  <si>
    <r>
      <rPr>
        <sz val="11"/>
        <color rgb="FF000000"/>
        <rFont val="Scotia"/>
        <family val="2"/>
      </rPr>
      <t>Property taxes</t>
    </r>
  </si>
  <si>
    <r>
      <rPr>
        <sz val="11"/>
        <color rgb="FF000000"/>
        <rFont val="Scotia"/>
        <family val="2"/>
      </rPr>
      <t>Other premises costs</t>
    </r>
  </si>
  <si>
    <r>
      <rPr>
        <b/>
        <sz val="11"/>
        <color rgb="FF000000"/>
        <rFont val="Scotia"/>
        <family val="2"/>
      </rPr>
      <t>Total premises</t>
    </r>
  </si>
  <si>
    <r>
      <rPr>
        <b/>
        <sz val="11"/>
        <color rgb="FF000000"/>
        <rFont val="Scotia"/>
        <family val="2"/>
      </rPr>
      <t>Technology</t>
    </r>
  </si>
  <si>
    <r>
      <rPr>
        <b/>
        <sz val="11"/>
        <color rgb="FF000000"/>
        <rFont val="Scotia"/>
        <family val="2"/>
      </rPr>
      <t>Depreciation</t>
    </r>
  </si>
  <si>
    <r>
      <rPr>
        <b/>
        <sz val="11"/>
        <color rgb="FF000000"/>
        <rFont val="Scotia"/>
        <family val="2"/>
      </rPr>
      <t>Amortization</t>
    </r>
  </si>
  <si>
    <r>
      <rPr>
        <sz val="11"/>
        <color rgb="FF000000"/>
        <rFont val="Scotia"/>
        <family val="2"/>
      </rPr>
      <t>Amortization of software intangibles</t>
    </r>
  </si>
  <si>
    <r>
      <rPr>
        <sz val="11"/>
        <color rgb="FF000000"/>
        <rFont val="Scotia"/>
        <family val="2"/>
      </rPr>
      <t>Amortization of intangibles</t>
    </r>
  </si>
  <si>
    <r>
      <rPr>
        <b/>
        <sz val="11"/>
        <color rgb="FF000000"/>
        <rFont val="Scotia"/>
        <family val="2"/>
      </rPr>
      <t>Total amortization⁽³⁾⁽⁴⁾</t>
    </r>
  </si>
  <si>
    <r>
      <rPr>
        <b/>
        <sz val="11"/>
        <color rgb="FF000000"/>
        <rFont val="Scotia"/>
        <family val="2"/>
      </rPr>
      <t>Communications</t>
    </r>
  </si>
  <si>
    <r>
      <rPr>
        <b/>
        <sz val="11"/>
        <color rgb="FF000000"/>
        <rFont val="Scotia"/>
        <family val="2"/>
      </rPr>
      <t>Advertising and business development</t>
    </r>
  </si>
  <si>
    <r>
      <rPr>
        <b/>
        <sz val="11"/>
        <color rgb="FF000000"/>
        <rFont val="Scotia"/>
        <family val="2"/>
      </rPr>
      <t>Professional</t>
    </r>
  </si>
  <si>
    <r>
      <rPr>
        <b/>
        <sz val="11"/>
        <color rgb="FF000000"/>
        <rFont val="Scotia"/>
        <family val="2"/>
      </rPr>
      <t>Business and capital taxes</t>
    </r>
  </si>
  <si>
    <r>
      <rPr>
        <sz val="11"/>
        <color rgb="FF000000"/>
        <rFont val="Scotia"/>
        <family val="2"/>
      </rPr>
      <t>Business taxes</t>
    </r>
  </si>
  <si>
    <r>
      <rPr>
        <sz val="11"/>
        <color rgb="FF000000"/>
        <rFont val="Scotia"/>
        <family val="2"/>
      </rPr>
      <t>Capital taxes</t>
    </r>
  </si>
  <si>
    <r>
      <rPr>
        <b/>
        <sz val="11"/>
        <color rgb="FF000000"/>
        <rFont val="Scotia"/>
        <family val="2"/>
      </rPr>
      <t>Total business and capital taxes</t>
    </r>
  </si>
  <si>
    <r>
      <rPr>
        <b/>
        <sz val="11"/>
        <color rgb="FF000000"/>
        <rFont val="Scotia"/>
        <family val="2"/>
      </rPr>
      <t>Other⁽¹⁾⁽²⁾⁽⁴⁾⁽⁵⁾</t>
    </r>
  </si>
  <si>
    <r>
      <rPr>
        <b/>
        <sz val="11"/>
        <color rgb="FF000000"/>
        <rFont val="Scotia"/>
        <family val="2"/>
      </rPr>
      <t>Total operating expenses</t>
    </r>
  </si>
  <si>
    <r>
      <rPr>
        <b/>
        <sz val="11"/>
        <color rgb="FF000000"/>
        <rFont val="Scotia"/>
        <family val="2"/>
      </rPr>
      <t>Adjusting items⁽⁶⁾</t>
    </r>
  </si>
  <si>
    <r>
      <rPr>
        <sz val="11"/>
        <color rgb="FF000000"/>
        <rFont val="Scotia"/>
        <family val="2"/>
      </rPr>
      <t>Divestitures and wind-down of operations</t>
    </r>
  </si>
  <si>
    <r>
      <rPr>
        <sz val="11"/>
        <color rgb="FF000000"/>
        <rFont val="Scotia"/>
        <family val="2"/>
      </rPr>
      <t>Amortization of acquisition-related intangible assets</t>
    </r>
  </si>
  <si>
    <r>
      <rPr>
        <sz val="11"/>
        <color rgb="FF000000"/>
        <rFont val="Scotia"/>
        <family val="2"/>
      </rPr>
      <t>Legal provision</t>
    </r>
  </si>
  <si>
    <r>
      <rPr>
        <sz val="11"/>
        <color rgb="FF000000"/>
        <rFont val="Scotia"/>
        <family val="2"/>
      </rPr>
      <t>Restructuring charge and severance provisions</t>
    </r>
  </si>
  <si>
    <r>
      <rPr>
        <sz val="11"/>
        <color rgb="FF000000"/>
        <rFont val="Scotia"/>
        <family val="2"/>
      </rPr>
      <t>Consolidation of real estate and contract termination costs</t>
    </r>
  </si>
  <si>
    <r>
      <rPr>
        <sz val="11"/>
        <color rgb="FF000000"/>
        <rFont val="Scotia"/>
        <family val="2"/>
      </rPr>
      <t>Impairment of non-financial assets</t>
    </r>
  </si>
  <si>
    <r>
      <rPr>
        <b/>
        <sz val="11"/>
        <color rgb="FF000000"/>
        <rFont val="Scotia"/>
        <family val="2"/>
      </rPr>
      <t>Total adjusting items</t>
    </r>
  </si>
  <si>
    <r>
      <rPr>
        <b/>
        <sz val="11"/>
        <color rgb="FF000000"/>
        <rFont val="Scotia"/>
        <family val="2"/>
      </rPr>
      <t>Adjusted operating expenses⁽⁶⁾</t>
    </r>
  </si>
  <si>
    <r>
      <rPr>
        <sz val="9"/>
        <color rgb="FF000000"/>
        <rFont val="Scotia"/>
        <family val="2"/>
      </rPr>
      <t>(1) Refer to adjusting item divestiture and wind-down of operations.</t>
    </r>
  </si>
  <si>
    <r>
      <rPr>
        <sz val="9"/>
        <color rgb="FF000000"/>
        <rFont val="Scotia"/>
        <family val="2"/>
      </rPr>
      <t xml:space="preserve">(2) Refer to adjusting item restructuring charge and severance provisions. </t>
    </r>
  </si>
  <si>
    <r>
      <rPr>
        <sz val="9"/>
        <color rgb="FF000000"/>
        <rFont val="Scotia"/>
        <family val="2"/>
      </rPr>
      <t xml:space="preserve">(3) Refer to adjusting item amortization of acquisition-related intangible asset. </t>
    </r>
  </si>
  <si>
    <r>
      <rPr>
        <sz val="9"/>
        <color rgb="FF000000"/>
        <rFont val="Scotia"/>
        <family val="2"/>
      </rPr>
      <t>(4) Refer to adjusting items consolidation of real estate and contract termination costs, and impairment of non-financial assets.</t>
    </r>
  </si>
  <si>
    <r>
      <rPr>
        <sz val="9"/>
        <color rgb="FF000000"/>
        <rFont val="Scotia"/>
        <family val="2"/>
      </rPr>
      <t>(5) Refer to adjusting items legal provision.</t>
    </r>
  </si>
  <si>
    <r>
      <rPr>
        <sz val="9"/>
        <color rgb="FF000000"/>
        <rFont val="Scotia"/>
        <family val="2"/>
      </rPr>
      <t>(6) Refer to non-GAAP Measures on Notes Pages 1-2 of the Supplementary Financial Information Report for the description of the adjusting items. Refer to Appendix 3 of the Supplementary Financial Information Report for reconciliation.</t>
    </r>
  </si>
  <si>
    <r>
      <rPr>
        <b/>
        <sz val="14"/>
        <color rgb="FFFFFFFF"/>
        <rFont val="Scotia"/>
        <family val="2"/>
      </rPr>
      <t>Consolidated Statement of Financial Position  — Assets  (Spot Balances)</t>
    </r>
  </si>
  <si>
    <r>
      <rPr>
        <i/>
        <sz val="11"/>
        <color rgb="FFFF0000"/>
        <rFont val="Scotia"/>
        <family val="2"/>
      </rPr>
      <t>($ millions)</t>
    </r>
  </si>
  <si>
    <r>
      <rPr>
        <b/>
        <sz val="11"/>
        <color rgb="FFFF0000"/>
        <rFont val="Scotia"/>
        <family val="2"/>
      </rPr>
      <t>Assets</t>
    </r>
  </si>
  <si>
    <r>
      <rPr>
        <b/>
        <sz val="11"/>
        <color rgb="FF000000"/>
        <rFont val="Scotia"/>
        <family val="2"/>
      </rPr>
      <t>Cash and deposits with financial institutions</t>
    </r>
  </si>
  <si>
    <r>
      <rPr>
        <b/>
        <sz val="11"/>
        <color rgb="FF000000"/>
        <rFont val="Scotia"/>
        <family val="2"/>
      </rPr>
      <t>Precious metals</t>
    </r>
  </si>
  <si>
    <r>
      <rPr>
        <b/>
        <sz val="11"/>
        <color rgb="FF000000"/>
        <rFont val="Scotia"/>
        <family val="2"/>
      </rPr>
      <t>Trading assets</t>
    </r>
  </si>
  <si>
    <r>
      <rPr>
        <sz val="11"/>
        <color rgb="FF000000"/>
        <rFont val="Scotia"/>
        <family val="2"/>
      </rPr>
      <t>Total trading assets</t>
    </r>
  </si>
  <si>
    <r>
      <rPr>
        <b/>
        <sz val="11"/>
        <color rgb="FF000000"/>
        <rFont val="Scotia"/>
        <family val="2"/>
      </rPr>
      <t>Securities purchased under resale agreements and securities borrowed</t>
    </r>
  </si>
  <si>
    <r>
      <rPr>
        <b/>
        <sz val="11"/>
        <color rgb="FF000000"/>
        <rFont val="Scotia"/>
        <family val="2"/>
      </rPr>
      <t>Derivative financial instruments</t>
    </r>
  </si>
  <si>
    <r>
      <rPr>
        <b/>
        <sz val="11"/>
        <color rgb="FF000000"/>
        <rFont val="Scotia"/>
        <family val="2"/>
      </rPr>
      <t>Investment securities</t>
    </r>
  </si>
  <si>
    <r>
      <rPr>
        <b/>
        <sz val="11"/>
        <color rgb="FF000000"/>
        <rFont val="Scotia"/>
        <family val="2"/>
      </rPr>
      <t>Loans to customers</t>
    </r>
  </si>
  <si>
    <r>
      <rPr>
        <sz val="11"/>
        <color rgb="FF000000"/>
        <rFont val="Scotia"/>
        <family val="2"/>
      </rPr>
      <t>Business and government</t>
    </r>
  </si>
  <si>
    <r>
      <rPr>
        <sz val="11"/>
        <color rgb="FF000000"/>
        <rFont val="Scotia"/>
        <family val="2"/>
      </rPr>
      <t>Sub-total</t>
    </r>
  </si>
  <si>
    <r>
      <rPr>
        <sz val="11"/>
        <color rgb="FF000000"/>
        <rFont val="Scotia"/>
        <family val="2"/>
      </rPr>
      <t>Allowance for credit losses</t>
    </r>
  </si>
  <si>
    <r>
      <rPr>
        <sz val="11"/>
        <color rgb="FF000000"/>
        <rFont val="Scotia"/>
        <family val="2"/>
      </rPr>
      <t>Total net loans</t>
    </r>
  </si>
  <si>
    <r>
      <rPr>
        <b/>
        <sz val="11"/>
        <color rgb="FF000000"/>
        <rFont val="Scotia"/>
        <family val="2"/>
      </rPr>
      <t>Other</t>
    </r>
  </si>
  <si>
    <r>
      <rPr>
        <sz val="11"/>
        <color rgb="FF000000"/>
        <rFont val="Scotia"/>
        <family val="2"/>
      </rPr>
      <t>Customers' liability under acceptances, net of allowance</t>
    </r>
  </si>
  <si>
    <r>
      <rPr>
        <sz val="11"/>
        <color rgb="FF000000"/>
        <rFont val="Scotia"/>
        <family val="2"/>
      </rPr>
      <t>Current tax assets</t>
    </r>
  </si>
  <si>
    <r>
      <rPr>
        <sz val="11"/>
        <color rgb="FF000000"/>
        <rFont val="Scotia"/>
        <family val="2"/>
      </rPr>
      <t>Investment property</t>
    </r>
  </si>
  <si>
    <r>
      <rPr>
        <sz val="11"/>
        <color rgb="FF000000"/>
        <rFont val="Scotia"/>
        <family val="2"/>
      </rPr>
      <t>Land, buildings and equipment</t>
    </r>
  </si>
  <si>
    <r>
      <rPr>
        <sz val="11"/>
        <color rgb="FF000000"/>
        <rFont val="Scotia"/>
        <family val="2"/>
      </rPr>
      <t>Investments in associates</t>
    </r>
  </si>
  <si>
    <r>
      <rPr>
        <sz val="11"/>
        <color rgb="FF000000"/>
        <rFont val="Scotia"/>
        <family val="2"/>
      </rPr>
      <t>Goodwill and other intangible assets</t>
    </r>
  </si>
  <si>
    <r>
      <rPr>
        <sz val="11"/>
        <color rgb="FF000000"/>
        <rFont val="Scotia"/>
        <family val="2"/>
      </rPr>
      <t>Deferred tax assets</t>
    </r>
  </si>
  <si>
    <r>
      <rPr>
        <sz val="11"/>
        <color rgb="FF000000"/>
        <rFont val="Scotia"/>
        <family val="2"/>
      </rPr>
      <t>Total other assets</t>
    </r>
  </si>
  <si>
    <r>
      <rPr>
        <b/>
        <sz val="11"/>
        <color rgb="FF000000"/>
        <rFont val="Scotia"/>
        <family val="2"/>
      </rPr>
      <t>Total Assets</t>
    </r>
  </si>
  <si>
    <r>
      <rPr>
        <b/>
        <sz val="14"/>
        <color rgb="FFFFFFFF"/>
        <rFont val="Scotia"/>
        <family val="2"/>
      </rPr>
      <t>Consolidated Statement of Financial Position  — Liabilities and Equity (Spot Balances)</t>
    </r>
  </si>
  <si>
    <r>
      <rPr>
        <b/>
        <sz val="11"/>
        <color rgb="FFFF0000"/>
        <rFont val="Scotia"/>
        <family val="2"/>
      </rPr>
      <t>Liabilities</t>
    </r>
  </si>
  <si>
    <r>
      <rPr>
        <sz val="11"/>
        <color rgb="FF000000"/>
        <rFont val="Scotia"/>
        <family val="2"/>
      </rPr>
      <t>Financial institutions</t>
    </r>
  </si>
  <si>
    <r>
      <rPr>
        <sz val="11"/>
        <color rgb="FF000000"/>
        <rFont val="Scotia"/>
        <family val="2"/>
      </rPr>
      <t>Total deposits</t>
    </r>
  </si>
  <si>
    <r>
      <rPr>
        <sz val="11"/>
        <color rgb="FF000000"/>
        <rFont val="Scotia"/>
        <family val="2"/>
      </rPr>
      <t>Financial instruments designated at fair value through profit or loss</t>
    </r>
  </si>
  <si>
    <r>
      <rPr>
        <sz val="11"/>
        <color rgb="FF000000"/>
        <rFont val="Scotia"/>
        <family val="2"/>
      </rPr>
      <t>Acceptances</t>
    </r>
  </si>
  <si>
    <r>
      <rPr>
        <sz val="11"/>
        <color rgb="FF000000"/>
        <rFont val="Scotia"/>
        <family val="2"/>
      </rPr>
      <t>Obligations related to securities sold short</t>
    </r>
  </si>
  <si>
    <r>
      <rPr>
        <sz val="11"/>
        <color rgb="FF000000"/>
        <rFont val="Scotia"/>
        <family val="2"/>
      </rPr>
      <t>Derivative financial instruments</t>
    </r>
  </si>
  <si>
    <r>
      <rPr>
        <sz val="11"/>
        <color rgb="FF000000"/>
        <rFont val="Scotia"/>
        <family val="2"/>
      </rPr>
      <t>Obligations related to securities sold under repurchase agreements and securities lent</t>
    </r>
  </si>
  <si>
    <r>
      <rPr>
        <sz val="11"/>
        <color rgb="FF000000"/>
        <rFont val="Scotia"/>
        <family val="2"/>
      </rPr>
      <t>Current tax liabilities</t>
    </r>
  </si>
  <si>
    <r>
      <rPr>
        <sz val="11"/>
        <color rgb="FF000000"/>
        <rFont val="Scotia"/>
        <family val="2"/>
      </rPr>
      <t>Subordinated debentures</t>
    </r>
  </si>
  <si>
    <r>
      <rPr>
        <sz val="11"/>
        <color rgb="FF000000"/>
        <rFont val="Scotia"/>
        <family val="2"/>
      </rPr>
      <t>Provisions for off-balance sheet credit risks and other</t>
    </r>
  </si>
  <si>
    <r>
      <rPr>
        <sz val="11"/>
        <color rgb="FF000000"/>
        <rFont val="Scotia"/>
        <family val="2"/>
      </rPr>
      <t>Deferred tax liabilities</t>
    </r>
  </si>
  <si>
    <r>
      <rPr>
        <sz val="11"/>
        <color rgb="FF000000"/>
        <rFont val="Scotia"/>
        <family val="2"/>
      </rPr>
      <t>Total other liabilities</t>
    </r>
  </si>
  <si>
    <r>
      <rPr>
        <b/>
        <sz val="11"/>
        <color rgb="FF000000"/>
        <rFont val="Scotia"/>
        <family val="2"/>
      </rPr>
      <t>Total Liabilities</t>
    </r>
  </si>
  <si>
    <r>
      <rPr>
        <b/>
        <sz val="11"/>
        <color rgb="FFFF0000"/>
        <rFont val="Scotia"/>
        <family val="2"/>
      </rPr>
      <t>Equity</t>
    </r>
  </si>
  <si>
    <r>
      <rPr>
        <b/>
        <sz val="11"/>
        <color rgb="FF000000"/>
        <rFont val="Scotia"/>
        <family val="2"/>
      </rPr>
      <t>Common equity</t>
    </r>
  </si>
  <si>
    <r>
      <rPr>
        <sz val="11"/>
        <color rgb="FF000000"/>
        <rFont val="Scotia"/>
        <family val="2"/>
      </rPr>
      <t>Common shares</t>
    </r>
  </si>
  <si>
    <r>
      <rPr>
        <sz val="11"/>
        <color rgb="FF000000"/>
        <rFont val="Scotia"/>
        <family val="2"/>
      </rPr>
      <t>Retained earnings</t>
    </r>
  </si>
  <si>
    <r>
      <rPr>
        <sz val="11"/>
        <color rgb="FF000000"/>
        <rFont val="Scotia"/>
        <family val="2"/>
      </rPr>
      <t>Accumulated other comprehensive income</t>
    </r>
  </si>
  <si>
    <r>
      <rPr>
        <sz val="11"/>
        <color rgb="FF000000"/>
        <rFont val="Scotia"/>
        <family val="2"/>
      </rPr>
      <t>Other reserves</t>
    </r>
  </si>
  <si>
    <r>
      <rPr>
        <sz val="11"/>
        <color rgb="FF000000"/>
        <rFont val="Scotia"/>
        <family val="2"/>
      </rPr>
      <t>Total common equity</t>
    </r>
  </si>
  <si>
    <r>
      <rPr>
        <sz val="11"/>
        <color rgb="FF000000"/>
        <rFont val="Scotia"/>
        <family val="2"/>
      </rPr>
      <t xml:space="preserve">Preferred shares and other equity instruments </t>
    </r>
  </si>
  <si>
    <r>
      <rPr>
        <sz val="11"/>
        <color rgb="FF000000"/>
        <rFont val="Scotia"/>
        <family val="2"/>
      </rPr>
      <t>Total equity attributable to equity holders of the Bank</t>
    </r>
  </si>
  <si>
    <r>
      <rPr>
        <sz val="11"/>
        <color rgb="FF000000"/>
        <rFont val="Scotia"/>
        <family val="2"/>
      </rPr>
      <t>Non-controlling interests in subsidiaries</t>
    </r>
  </si>
  <si>
    <r>
      <rPr>
        <b/>
        <sz val="11"/>
        <color rgb="FF000000"/>
        <rFont val="Scotia"/>
        <family val="2"/>
      </rPr>
      <t>Total Equity</t>
    </r>
  </si>
  <si>
    <r>
      <rPr>
        <b/>
        <sz val="11"/>
        <color rgb="FF000000"/>
        <rFont val="Scotia"/>
        <family val="2"/>
      </rPr>
      <t>Total Liabilities and Equity</t>
    </r>
  </si>
  <si>
    <r>
      <rPr>
        <b/>
        <sz val="14"/>
        <color rgb="FFFFFFFF"/>
        <rFont val="Scotia"/>
        <family val="2"/>
      </rPr>
      <t>Average Balance Sheet</t>
    </r>
  </si>
  <si>
    <r>
      <rPr>
        <sz val="11"/>
        <color rgb="FF000000"/>
        <rFont val="Scotia"/>
        <family val="2"/>
      </rPr>
      <t>Deposits with financial institutions</t>
    </r>
  </si>
  <si>
    <r>
      <rPr>
        <sz val="11"/>
        <color rgb="FF000000"/>
        <rFont val="Scotia"/>
        <family val="2"/>
      </rPr>
      <t xml:space="preserve">Trading assets </t>
    </r>
  </si>
  <si>
    <r>
      <rPr>
        <sz val="11"/>
        <color rgb="FF000000"/>
        <rFont val="Scotia"/>
        <family val="2"/>
      </rPr>
      <t>- Securities</t>
    </r>
  </si>
  <si>
    <r>
      <rPr>
        <sz val="11"/>
        <color rgb="FF000000"/>
        <rFont val="Scotia"/>
        <family val="2"/>
      </rPr>
      <t>- Loans</t>
    </r>
  </si>
  <si>
    <r>
      <rPr>
        <sz val="11"/>
        <color rgb="FF000000"/>
        <rFont val="Scotia"/>
        <family val="2"/>
      </rPr>
      <t>Securities purchased under resale agreements and securities borrowed</t>
    </r>
  </si>
  <si>
    <r>
      <rPr>
        <sz val="11"/>
        <color rgb="FF000000"/>
        <rFont val="Scotia"/>
        <family val="2"/>
      </rPr>
      <t>Investment securities including investments in associates</t>
    </r>
  </si>
  <si>
    <r>
      <rPr>
        <sz val="11"/>
        <color rgb="FF000000"/>
        <rFont val="Scotia"/>
        <family val="2"/>
      </rPr>
      <t>Loans to customers</t>
    </r>
  </si>
  <si>
    <r>
      <rPr>
        <sz val="11"/>
        <color rgb="FF000000"/>
        <rFont val="Scotia"/>
        <family val="2"/>
      </rPr>
      <t>- Residential mortgages</t>
    </r>
  </si>
  <si>
    <r>
      <rPr>
        <sz val="11"/>
        <color rgb="FF000000"/>
        <rFont val="Scotia"/>
        <family val="2"/>
      </rPr>
      <t>- Personal loans</t>
    </r>
  </si>
  <si>
    <r>
      <rPr>
        <sz val="11"/>
        <color rgb="FF000000"/>
        <rFont val="Scotia"/>
        <family val="2"/>
      </rPr>
      <t>- Credit cards</t>
    </r>
  </si>
  <si>
    <r>
      <rPr>
        <sz val="11"/>
        <color rgb="FF000000"/>
        <rFont val="Scotia"/>
        <family val="2"/>
      </rPr>
      <t>- Business and government</t>
    </r>
  </si>
  <si>
    <r>
      <rPr>
        <sz val="11"/>
        <color rgb="FF000000"/>
        <rFont val="Scotia"/>
        <family val="2"/>
      </rPr>
      <t>- Sub-total</t>
    </r>
  </si>
  <si>
    <r>
      <rPr>
        <sz val="11"/>
        <color rgb="FF000000"/>
        <rFont val="Scotia"/>
        <family val="2"/>
      </rPr>
      <t>- Allowance for credit losses</t>
    </r>
  </si>
  <si>
    <r>
      <rPr>
        <sz val="11"/>
        <color rgb="FF000000"/>
        <rFont val="Scotia"/>
        <family val="2"/>
      </rPr>
      <t>Total loans to customers</t>
    </r>
  </si>
  <si>
    <r>
      <rPr>
        <sz val="11"/>
        <color rgb="FF000000"/>
        <rFont val="Scotia"/>
        <family val="2"/>
      </rPr>
      <t>Customer's liability under acceptances</t>
    </r>
  </si>
  <si>
    <r>
      <rPr>
        <sz val="11"/>
        <color rgb="FF000000"/>
        <rFont val="Scotia"/>
        <family val="2"/>
      </rPr>
      <t>Total earning assets⁽¹⁾</t>
    </r>
  </si>
  <si>
    <r>
      <rPr>
        <sz val="11"/>
        <color rgb="FF000000"/>
        <rFont val="Scotia"/>
        <family val="2"/>
      </rPr>
      <t>Deposits from customers</t>
    </r>
  </si>
  <si>
    <r>
      <rPr>
        <sz val="11"/>
        <color rgb="FF000000"/>
        <rFont val="Scotia"/>
        <family val="2"/>
      </rPr>
      <t>Deposits from banks</t>
    </r>
  </si>
  <si>
    <r>
      <rPr>
        <sz val="11"/>
        <color rgb="FF000000"/>
        <rFont val="Scotia"/>
        <family val="2"/>
      </rPr>
      <t>Securities sold short</t>
    </r>
  </si>
  <si>
    <r>
      <rPr>
        <sz val="11"/>
        <color rgb="FF000000"/>
        <rFont val="Scotia"/>
        <family val="2"/>
      </rPr>
      <t>Obligations related to securities sold under repurchase</t>
    </r>
  </si>
  <si>
    <r>
      <rPr>
        <sz val="11"/>
        <color rgb="FF000000"/>
        <rFont val="Scotia"/>
        <family val="2"/>
      </rPr>
      <t>Agreements and securities lent</t>
    </r>
  </si>
  <si>
    <r>
      <rPr>
        <sz val="11"/>
        <color rgb="FF000000"/>
        <rFont val="Scotia"/>
        <family val="2"/>
      </rPr>
      <t>Shareholders' equity</t>
    </r>
  </si>
  <si>
    <r>
      <rPr>
        <sz val="11"/>
        <color rgb="FF000000"/>
        <rFont val="Scotia"/>
        <family val="2"/>
      </rPr>
      <t>- Common shares, retained earnings, accumulated other</t>
    </r>
  </si>
  <si>
    <r>
      <rPr>
        <sz val="11"/>
        <color rgb="FF000000"/>
        <rFont val="Scotia"/>
        <family val="2"/>
      </rPr>
      <t xml:space="preserve">   Comprehensive income and other reserves</t>
    </r>
  </si>
  <si>
    <r>
      <rPr>
        <sz val="11"/>
        <color rgb="FF000000"/>
        <rFont val="Scotia"/>
        <family val="2"/>
      </rPr>
      <t>- Preferred shares</t>
    </r>
  </si>
  <si>
    <r>
      <rPr>
        <sz val="11"/>
        <color rgb="FF000000"/>
        <rFont val="Scotia"/>
        <family val="2"/>
      </rPr>
      <t>- Non-controlling interests in subsidiaries</t>
    </r>
  </si>
  <si>
    <r>
      <rPr>
        <sz val="11"/>
        <color rgb="FF000000"/>
        <rFont val="Scotia"/>
        <family val="2"/>
      </rPr>
      <t>- Total shareholders' equity</t>
    </r>
  </si>
  <si>
    <r>
      <rPr>
        <b/>
        <sz val="11"/>
        <color rgb="FF000000"/>
        <rFont val="Scotia"/>
        <family val="2"/>
      </rPr>
      <t>Total liabilities and shareholders' equity</t>
    </r>
  </si>
  <si>
    <r>
      <rPr>
        <sz val="9"/>
        <color rgb="FF000000"/>
        <rFont val="Scotia"/>
        <family val="2"/>
      </rPr>
      <t>(1) Refer to non-GAAP measures on page 5 of the Q3 2025 Quarterly Report to Shareholders, available on http://www.sedarplus.ca for the description of the measure. Refer to Appendix 3 of the Supplementary Financial Information Report for reconciliation.</t>
    </r>
  </si>
  <si>
    <r>
      <rPr>
        <b/>
        <sz val="14"/>
        <color rgb="FFFFFFFF"/>
        <rFont val="Scotia"/>
        <family val="2"/>
      </rPr>
      <t>Consolidated Statement of Changes in Equity</t>
    </r>
  </si>
  <si>
    <r>
      <rPr>
        <b/>
        <sz val="11"/>
        <color rgb="FF000000"/>
        <rFont val="Scotia"/>
        <family val="2"/>
      </rPr>
      <t>Common Shares</t>
    </r>
  </si>
  <si>
    <r>
      <rPr>
        <sz val="11"/>
        <color rgb="FF000000"/>
        <rFont val="Scotia"/>
        <family val="2"/>
      </rPr>
      <t xml:space="preserve">Balance at beginning of period </t>
    </r>
  </si>
  <si>
    <r>
      <rPr>
        <sz val="11"/>
        <color rgb="FF000000"/>
        <rFont val="Scotia"/>
        <family val="2"/>
      </rPr>
      <t>Share issuance, net of repurchase/redemptions</t>
    </r>
  </si>
  <si>
    <r>
      <rPr>
        <b/>
        <sz val="11"/>
        <color rgb="FF000000"/>
        <rFont val="Scotia"/>
        <family val="2"/>
      </rPr>
      <t>Balance at end of period</t>
    </r>
  </si>
  <si>
    <r>
      <rPr>
        <b/>
        <sz val="11"/>
        <color rgb="FF000000"/>
        <rFont val="Scotia"/>
        <family val="2"/>
      </rPr>
      <t>Retained Earnings</t>
    </r>
  </si>
  <si>
    <r>
      <rPr>
        <sz val="11"/>
        <color rgb="FF000000"/>
        <rFont val="Scotia"/>
        <family val="2"/>
      </rPr>
      <t>Balance at beginning of period</t>
    </r>
  </si>
  <si>
    <r>
      <rPr>
        <sz val="11"/>
        <color rgb="FF000000"/>
        <rFont val="Scotia"/>
        <family val="2"/>
      </rPr>
      <t>Cumulative impact of adopting IFRS 17, net of tax</t>
    </r>
  </si>
  <si>
    <r>
      <rPr>
        <sz val="11"/>
        <color rgb="FF000000"/>
        <rFont val="Scotia"/>
        <family val="2"/>
      </rPr>
      <t>Restated balance as at November 1</t>
    </r>
  </si>
  <si>
    <r>
      <rPr>
        <sz val="11"/>
        <color rgb="FF000000"/>
        <rFont val="Scotia"/>
        <family val="2"/>
      </rPr>
      <t xml:space="preserve">Net income attributable to common shareholders of the Bank </t>
    </r>
  </si>
  <si>
    <r>
      <rPr>
        <sz val="11"/>
        <color rgb="FF000000"/>
        <rFont val="Scotia"/>
        <family val="2"/>
      </rPr>
      <t>Dividends paid to common shareholders of the Bank</t>
    </r>
  </si>
  <si>
    <r>
      <rPr>
        <sz val="11"/>
        <color rgb="FF000000"/>
        <rFont val="Scotia"/>
        <family val="2"/>
      </rPr>
      <t>Shares repurchased/redeemed</t>
    </r>
  </si>
  <si>
    <r>
      <rPr>
        <sz val="11"/>
        <color rgb="FF000000"/>
        <rFont val="Scotia"/>
        <family val="2"/>
      </rPr>
      <t>Foreign currency loss on redemption of Subordinated Additional Tier 1 Capital Notes</t>
    </r>
  </si>
  <si>
    <r>
      <rPr>
        <sz val="11"/>
        <color rgb="FF000000"/>
        <rFont val="Scotia"/>
        <family val="2"/>
      </rPr>
      <t xml:space="preserve">Other </t>
    </r>
  </si>
  <si>
    <r>
      <rPr>
        <b/>
        <sz val="11"/>
        <color rgb="FF000000"/>
        <rFont val="Scotia"/>
        <family val="2"/>
      </rPr>
      <t>Accumulated Other Comprehensive Income (Loss)</t>
    </r>
  </si>
  <si>
    <r>
      <rPr>
        <sz val="11"/>
        <color rgb="FF000000"/>
        <rFont val="Scotia"/>
        <family val="2"/>
      </rPr>
      <t>Other comprehensive income, net of income tax</t>
    </r>
  </si>
  <si>
    <r>
      <rPr>
        <sz val="11"/>
        <color rgb="FF000000"/>
        <rFont val="Scotia"/>
        <family val="2"/>
      </rPr>
      <t>Foreign currency translation</t>
    </r>
  </si>
  <si>
    <r>
      <rPr>
        <sz val="11"/>
        <color rgb="FF000000"/>
        <rFont val="Scotia"/>
        <family val="2"/>
      </rPr>
      <t>Debt instruments at fair value through other comprehensive income</t>
    </r>
  </si>
  <si>
    <r>
      <rPr>
        <sz val="11"/>
        <color rgb="FF000000"/>
        <rFont val="Scotia"/>
        <family val="2"/>
      </rPr>
      <t>Equity instruments at fair value through other comprehensive income</t>
    </r>
  </si>
  <si>
    <r>
      <rPr>
        <sz val="11"/>
        <color rgb="FF000000"/>
        <rFont val="Scotia"/>
        <family val="2"/>
      </rPr>
      <t>Cash flow hedges</t>
    </r>
  </si>
  <si>
    <r>
      <rPr>
        <b/>
        <sz val="11"/>
        <color rgb="FF000000"/>
        <rFont val="Scotia"/>
        <family val="2"/>
      </rPr>
      <t>Other Reserves</t>
    </r>
  </si>
  <si>
    <r>
      <rPr>
        <sz val="11"/>
        <color rgb="FF000000"/>
        <rFont val="Scotia"/>
        <family val="2"/>
      </rPr>
      <t>Share-based payments</t>
    </r>
  </si>
  <si>
    <r>
      <rPr>
        <sz val="11"/>
        <color rgb="FF000000"/>
        <rFont val="Scotia"/>
        <family val="2"/>
      </rPr>
      <t>Shares issued</t>
    </r>
  </si>
  <si>
    <r>
      <rPr>
        <b/>
        <sz val="11"/>
        <color rgb="FF000000"/>
        <rFont val="Scotia"/>
        <family val="2"/>
      </rPr>
      <t>Total Common Equity at End of Period</t>
    </r>
  </si>
  <si>
    <r>
      <rPr>
        <b/>
        <sz val="11"/>
        <color rgb="FF000000"/>
        <rFont val="Scotia"/>
        <family val="2"/>
      </rPr>
      <t>Composition of Accumulated Other Comprehensive Income (Loss)</t>
    </r>
  </si>
  <si>
    <r>
      <rPr>
        <b/>
        <sz val="14"/>
        <color rgb="FFFFFFFF"/>
        <rFont val="Scotia"/>
        <family val="2"/>
      </rPr>
      <t xml:space="preserve">Consolidated Statement of Changes in Equity </t>
    </r>
    <r>
      <rPr>
        <sz val="14"/>
        <color rgb="FFFFFFFF"/>
        <rFont val="Scotia"/>
        <family val="2"/>
      </rPr>
      <t>(Continued)</t>
    </r>
  </si>
  <si>
    <r>
      <rPr>
        <b/>
        <sz val="11"/>
        <color rgb="FF000000"/>
        <rFont val="Scotia"/>
        <family val="2"/>
      </rPr>
      <t>Preferred Shares and other Equity Instruments</t>
    </r>
  </si>
  <si>
    <r>
      <rPr>
        <sz val="11"/>
        <color rgb="FF000000"/>
        <rFont val="Scotia"/>
        <family val="2"/>
      </rPr>
      <t>Issued</t>
    </r>
  </si>
  <si>
    <r>
      <rPr>
        <sz val="11"/>
        <color rgb="FF000000"/>
        <rFont val="Scotia"/>
        <family val="2"/>
      </rPr>
      <t>Repurchased/redeemed</t>
    </r>
  </si>
  <si>
    <r>
      <rPr>
        <sz val="11"/>
        <color rgb="FF000000"/>
        <rFont val="Scotia"/>
        <family val="2"/>
      </rPr>
      <t xml:space="preserve">Net income attributable to preferred shareholders and other equity instrument holders of the Bank </t>
    </r>
  </si>
  <si>
    <r>
      <rPr>
        <sz val="11"/>
        <color rgb="FF000000"/>
        <rFont val="Scotia"/>
        <family val="2"/>
      </rPr>
      <t>Dividends paid to preferred shareholders and other equity instrument holders of the Bank</t>
    </r>
  </si>
  <si>
    <r>
      <rPr>
        <b/>
        <sz val="11"/>
        <color rgb="FF000000"/>
        <rFont val="Scotia"/>
        <family val="2"/>
      </rPr>
      <t>Non-Controlling Interests: Non-Controlling Interests in Subsidiaries</t>
    </r>
  </si>
  <si>
    <r>
      <rPr>
        <sz val="11"/>
        <color rgb="FF000000"/>
        <rFont val="Scotia"/>
        <family val="2"/>
      </rPr>
      <t>Net income attributable to non-controlling interests in subsidiaries</t>
    </r>
  </si>
  <si>
    <r>
      <rPr>
        <sz val="11"/>
        <color rgb="FF000000"/>
        <rFont val="Scotia"/>
        <family val="2"/>
      </rPr>
      <t>Distributions to non-controlling interests</t>
    </r>
  </si>
  <si>
    <r>
      <rPr>
        <b/>
        <sz val="11"/>
        <color rgb="FF000000"/>
        <rFont val="Scotia"/>
        <family val="2"/>
      </rPr>
      <t>Total Equity at End of Period</t>
    </r>
  </si>
  <si>
    <r>
      <rPr>
        <b/>
        <sz val="14"/>
        <color rgb="FFFFFFFF"/>
        <rFont val="Scotia"/>
        <family val="2"/>
      </rPr>
      <t>Loans and Acceptances by Type of Borrower</t>
    </r>
  </si>
  <si>
    <r>
      <rPr>
        <i/>
        <sz val="11"/>
        <color rgb="FFFF0000"/>
        <rFont val="Scotia"/>
        <family val="2"/>
      </rPr>
      <t xml:space="preserve">($ billions) </t>
    </r>
  </si>
  <si>
    <r>
      <rPr>
        <b/>
        <sz val="11"/>
        <color rgb="FF000000"/>
        <rFont val="Scotia"/>
        <family val="2"/>
      </rPr>
      <t>July 31, 2025</t>
    </r>
  </si>
  <si>
    <t>April 30, 2025</t>
  </si>
  <si>
    <t>January 31, 2025</t>
  </si>
  <si>
    <t>October 31, 2024</t>
  </si>
  <si>
    <t>July 31, 2024</t>
  </si>
  <si>
    <r>
      <rPr>
        <b/>
        <sz val="11"/>
        <color rgb="FF000000"/>
        <rFont val="Scotia"/>
        <family val="2"/>
      </rPr>
      <t>Balance</t>
    </r>
  </si>
  <si>
    <t>% of Total</t>
  </si>
  <si>
    <r>
      <rPr>
        <sz val="11"/>
        <color rgb="FF000000"/>
        <rFont val="Scotia"/>
        <family val="2"/>
      </rPr>
      <t>Balance</t>
    </r>
  </si>
  <si>
    <r>
      <rPr>
        <b/>
        <sz val="11"/>
        <color rgb="FF000000"/>
        <rFont val="Scotia"/>
        <family val="2"/>
      </rPr>
      <t>Personal</t>
    </r>
  </si>
  <si>
    <r>
      <rPr>
        <sz val="11"/>
        <color rgb="FF000000"/>
        <rFont val="Scotia"/>
        <family val="2"/>
      </rPr>
      <t>Financial services</t>
    </r>
  </si>
  <si>
    <r>
      <rPr>
        <sz val="11"/>
        <color rgb="FF000000"/>
        <rFont val="Scotia"/>
        <family val="2"/>
      </rPr>
      <t>Non-bank</t>
    </r>
  </si>
  <si>
    <r>
      <rPr>
        <sz val="11"/>
        <color rgb="FF000000"/>
        <rFont val="Scotia"/>
        <family val="2"/>
      </rPr>
      <t>Bank⁽¹⁾</t>
    </r>
  </si>
  <si>
    <r>
      <rPr>
        <sz val="11"/>
        <color rgb="FF000000"/>
        <rFont val="Scotia"/>
        <family val="2"/>
      </rPr>
      <t>Wholesale and retail</t>
    </r>
  </si>
  <si>
    <r>
      <rPr>
        <sz val="11"/>
        <color rgb="FF000000"/>
        <rFont val="Scotia"/>
        <family val="2"/>
      </rPr>
      <t>Real estate and contractors</t>
    </r>
  </si>
  <si>
    <r>
      <rPr>
        <sz val="11"/>
        <color rgb="FF000000"/>
        <rFont val="Scotia"/>
        <family val="2"/>
      </rPr>
      <t>Energy</t>
    </r>
  </si>
  <si>
    <r>
      <rPr>
        <sz val="11"/>
        <color rgb="FF000000"/>
        <rFont val="Scotia"/>
        <family val="2"/>
      </rPr>
      <t>Transportation</t>
    </r>
  </si>
  <si>
    <r>
      <rPr>
        <sz val="11"/>
        <color rgb="FF000000"/>
        <rFont val="Scotia"/>
        <family val="2"/>
      </rPr>
      <t>Automotive</t>
    </r>
  </si>
  <si>
    <r>
      <rPr>
        <sz val="11"/>
        <color rgb="FF000000"/>
        <rFont val="Scotia"/>
        <family val="2"/>
      </rPr>
      <t>Agriculture</t>
    </r>
  </si>
  <si>
    <r>
      <rPr>
        <sz val="11"/>
        <color rgb="FF000000"/>
        <rFont val="Scotia"/>
        <family val="2"/>
      </rPr>
      <t>Hospitality and leisure</t>
    </r>
  </si>
  <si>
    <r>
      <rPr>
        <sz val="11"/>
        <color rgb="FF000000"/>
        <rFont val="Scotia"/>
        <family val="2"/>
      </rPr>
      <t>Mining</t>
    </r>
  </si>
  <si>
    <r>
      <rPr>
        <sz val="11"/>
        <color rgb="FF000000"/>
        <rFont val="Scotia"/>
        <family val="2"/>
      </rPr>
      <t>Metals</t>
    </r>
  </si>
  <si>
    <r>
      <rPr>
        <sz val="11"/>
        <color rgb="FF000000"/>
        <rFont val="Scotia"/>
        <family val="2"/>
      </rPr>
      <t>Utilities</t>
    </r>
  </si>
  <si>
    <r>
      <rPr>
        <sz val="11"/>
        <color rgb="FF000000"/>
        <rFont val="Scotia"/>
        <family val="2"/>
      </rPr>
      <t>Health care</t>
    </r>
  </si>
  <si>
    <r>
      <rPr>
        <sz val="11"/>
        <color rgb="FF000000"/>
        <rFont val="Scotia"/>
        <family val="2"/>
      </rPr>
      <t>Technology and media</t>
    </r>
  </si>
  <si>
    <r>
      <rPr>
        <sz val="11"/>
        <color rgb="FF000000"/>
        <rFont val="Scotia"/>
        <family val="2"/>
      </rPr>
      <t>Chemicals</t>
    </r>
  </si>
  <si>
    <r>
      <rPr>
        <sz val="11"/>
        <color rgb="FF000000"/>
        <rFont val="Scotia"/>
        <family val="2"/>
      </rPr>
      <t>Food and beverage</t>
    </r>
  </si>
  <si>
    <r>
      <rPr>
        <sz val="11"/>
        <color rgb="FF000000"/>
        <rFont val="Scotia"/>
        <family val="2"/>
      </rPr>
      <t>Forest products</t>
    </r>
  </si>
  <si>
    <r>
      <rPr>
        <sz val="11"/>
        <color rgb="FF000000"/>
        <rFont val="Scotia"/>
        <family val="2"/>
      </rPr>
      <t>Other⁽²⁾</t>
    </r>
  </si>
  <si>
    <r>
      <rPr>
        <sz val="11"/>
        <color rgb="FF000000"/>
        <rFont val="Scotia"/>
        <family val="2"/>
      </rPr>
      <t>Sovereign⁽³⁾</t>
    </r>
  </si>
  <si>
    <r>
      <rPr>
        <b/>
        <sz val="11"/>
        <color rgb="FF000000"/>
        <rFont val="Scotia"/>
        <family val="2"/>
      </rPr>
      <t>Business and Government</t>
    </r>
  </si>
  <si>
    <r>
      <rPr>
        <sz val="11"/>
        <color rgb="FF000000"/>
        <rFont val="Scotia"/>
        <family val="2"/>
      </rPr>
      <t>Loans and acceptances</t>
    </r>
  </si>
  <si>
    <r>
      <rPr>
        <sz val="11"/>
        <color rgb="FF000000"/>
        <rFont val="Scotia"/>
        <family val="2"/>
      </rPr>
      <t>Allowance for credit losses on loans and acceptances</t>
    </r>
  </si>
  <si>
    <r>
      <rPr>
        <b/>
        <sz val="11"/>
        <color rgb="FF000000"/>
        <rFont val="Scotia"/>
        <family val="2"/>
      </rPr>
      <t>Loans and Acceptances Net of Allowance for Credit Losses</t>
    </r>
  </si>
  <si>
    <r>
      <rPr>
        <sz val="9"/>
        <color rgb="FF000000"/>
        <rFont val="Scotia"/>
        <family val="2"/>
      </rPr>
      <t>(1) Deposit taking institutions and securities firms.</t>
    </r>
  </si>
  <si>
    <r>
      <rPr>
        <sz val="9"/>
        <color rgb="FF000000"/>
        <rFont val="Scotia"/>
        <family val="2"/>
      </rPr>
      <t>(2) Other includes $9.4 billion in wealth management, $3.6 billion in services and $3.3 billion in financing products.</t>
    </r>
  </si>
  <si>
    <r>
      <rPr>
        <sz val="9"/>
        <color rgb="FF000000"/>
        <rFont val="Scotia"/>
        <family val="2"/>
      </rPr>
      <t>(3) Includes central banks, regional and local governments, supra-national agencies.</t>
    </r>
  </si>
  <si>
    <r>
      <rPr>
        <b/>
        <sz val="14"/>
        <color rgb="FFFFFFFF"/>
        <rFont val="Scotia"/>
        <family val="2"/>
      </rPr>
      <t>Impaired Loans by Business Segment</t>
    </r>
  </si>
  <si>
    <r>
      <rPr>
        <b/>
        <sz val="11"/>
        <color rgb="FF000000"/>
        <rFont val="Scotia"/>
        <family val="2"/>
      </rPr>
      <t>Gross Impaired Loans</t>
    </r>
  </si>
  <si>
    <r>
      <rPr>
        <sz val="11"/>
        <color rgb="FF000000"/>
        <rFont val="Scotia"/>
        <family val="2"/>
      </rPr>
      <t>Retail</t>
    </r>
  </si>
  <si>
    <r>
      <rPr>
        <sz val="11"/>
        <color rgb="FF000000"/>
        <rFont val="Scotia"/>
        <family val="2"/>
      </rPr>
      <t>Commercial⁽¹⁾</t>
    </r>
  </si>
  <si>
    <r>
      <rPr>
        <b/>
        <sz val="11"/>
        <color rgb="FF000000"/>
        <rFont val="Scotia"/>
        <family val="2"/>
      </rPr>
      <t>Canadian Banking</t>
    </r>
  </si>
  <si>
    <r>
      <rPr>
        <sz val="11"/>
        <color rgb="FF000000"/>
        <rFont val="Scotia"/>
        <family val="2"/>
      </rPr>
      <t xml:space="preserve">Caribbean &amp; Central America </t>
    </r>
  </si>
  <si>
    <r>
      <rPr>
        <sz val="11"/>
        <color rgb="FF000000"/>
        <rFont val="Scotia"/>
        <family val="2"/>
      </rPr>
      <t xml:space="preserve">Mexico </t>
    </r>
  </si>
  <si>
    <r>
      <rPr>
        <sz val="11"/>
        <color rgb="FF000000"/>
        <rFont val="Scotia"/>
        <family val="2"/>
      </rPr>
      <t xml:space="preserve">Peru </t>
    </r>
  </si>
  <si>
    <r>
      <rPr>
        <sz val="11"/>
        <color rgb="FF000000"/>
        <rFont val="Scotia"/>
        <family val="2"/>
      </rPr>
      <t>Chile</t>
    </r>
  </si>
  <si>
    <r>
      <rPr>
        <sz val="11"/>
        <color rgb="FF000000"/>
        <rFont val="Scotia"/>
        <family val="2"/>
      </rPr>
      <t xml:space="preserve">Colombia </t>
    </r>
  </si>
  <si>
    <r>
      <rPr>
        <sz val="11"/>
        <color rgb="FF000000"/>
        <rFont val="Scotia"/>
        <family val="2"/>
      </rPr>
      <t>Commercial⁽³⁾</t>
    </r>
  </si>
  <si>
    <r>
      <rPr>
        <sz val="11"/>
        <color rgb="FF000000"/>
        <rFont val="Scotia"/>
        <family val="2"/>
      </rPr>
      <t>Other⁽⁴⁾</t>
    </r>
  </si>
  <si>
    <r>
      <rPr>
        <b/>
        <sz val="11"/>
        <color rgb="FF000000"/>
        <rFont val="Scotia"/>
        <family val="2"/>
      </rPr>
      <t>International Banking</t>
    </r>
  </si>
  <si>
    <r>
      <rPr>
        <b/>
        <sz val="11"/>
        <color rgb="FF000000"/>
        <rFont val="Scotia"/>
        <family val="2"/>
      </rPr>
      <t>Global Wealth Management</t>
    </r>
  </si>
  <si>
    <r>
      <rPr>
        <sz val="11"/>
        <color rgb="FF000000"/>
        <rFont val="Scotia"/>
        <family val="2"/>
      </rPr>
      <t>U.S.A.</t>
    </r>
  </si>
  <si>
    <r>
      <rPr>
        <sz val="11"/>
        <color rgb="FF000000"/>
        <rFont val="Scotia"/>
        <family val="2"/>
      </rPr>
      <t>Europe</t>
    </r>
  </si>
  <si>
    <r>
      <rPr>
        <sz val="11"/>
        <color rgb="FF000000"/>
        <rFont val="Scotia"/>
        <family val="2"/>
      </rPr>
      <t>Asia</t>
    </r>
  </si>
  <si>
    <r>
      <rPr>
        <b/>
        <sz val="11"/>
        <color rgb="FF000000"/>
        <rFont val="Scotia"/>
        <family val="2"/>
      </rPr>
      <t>Global Banking and Markets</t>
    </r>
  </si>
  <si>
    <r>
      <rPr>
        <b/>
        <sz val="11"/>
        <color rgb="FF000000"/>
        <rFont val="Scotia"/>
        <family val="2"/>
      </rPr>
      <t>Total gross impaired loans</t>
    </r>
  </si>
  <si>
    <r>
      <rPr>
        <b/>
        <sz val="11"/>
        <color rgb="FF000000"/>
        <rFont val="Scotia"/>
        <family val="2"/>
      </rPr>
      <t>Net Impaired Loans</t>
    </r>
  </si>
  <si>
    <r>
      <rPr>
        <b/>
        <sz val="11"/>
        <color rgb="FF000000"/>
        <rFont val="Scotia"/>
        <family val="2"/>
      </rPr>
      <t>Total Net Impaired Loans</t>
    </r>
  </si>
  <si>
    <r>
      <rPr>
        <sz val="9"/>
        <color rgb="FF000000"/>
        <rFont val="Scotia"/>
        <family val="2"/>
      </rPr>
      <t>(1) Includes small business.</t>
    </r>
  </si>
  <si>
    <r>
      <rPr>
        <sz val="9"/>
        <color rgb="FF000000"/>
        <rFont val="Scotia"/>
        <family val="2"/>
      </rPr>
      <t>(2) Includes Uruguay.</t>
    </r>
  </si>
  <si>
    <r>
      <rPr>
        <sz val="9"/>
        <color rgb="FF000000"/>
        <rFont val="Scotia"/>
        <family val="2"/>
      </rPr>
      <t>(3) Includes small business and corporate.</t>
    </r>
  </si>
  <si>
    <r>
      <rPr>
        <sz val="9"/>
        <color rgb="FF000000"/>
        <rFont val="Scotia"/>
        <family val="2"/>
      </rPr>
      <t>(4) Includes Brazil and Uruguay.</t>
    </r>
  </si>
  <si>
    <r>
      <rPr>
        <b/>
        <sz val="14"/>
        <color rgb="FFFFFFFF"/>
        <rFont val="Scotia"/>
        <family val="2"/>
      </rPr>
      <t>Changes in Gross Impaired Loans by Business Segment</t>
    </r>
  </si>
  <si>
    <r>
      <rPr>
        <b/>
        <sz val="11"/>
        <color rgb="FF000000"/>
        <rFont val="Scotia"/>
        <family val="2"/>
      </rPr>
      <t>Balance at Beginning of Period</t>
    </r>
  </si>
  <si>
    <r>
      <rPr>
        <b/>
        <sz val="11"/>
        <color rgb="FF000000"/>
        <rFont val="Scotia"/>
        <family val="2"/>
      </rPr>
      <t>Net Classifications</t>
    </r>
  </si>
  <si>
    <r>
      <rPr>
        <b/>
        <sz val="11"/>
        <color rgb="FF000000"/>
        <rFont val="Scotia"/>
        <family val="2"/>
      </rPr>
      <t>Canadian Retail</t>
    </r>
  </si>
  <si>
    <r>
      <rPr>
        <sz val="11"/>
        <color rgb="FF000000"/>
        <rFont val="Scotia"/>
        <family val="2"/>
      </rPr>
      <t>New classifications</t>
    </r>
  </si>
  <si>
    <r>
      <rPr>
        <sz val="11"/>
        <color rgb="FF000000"/>
        <rFont val="Scotia"/>
        <family val="2"/>
      </rPr>
      <t>Declassifications</t>
    </r>
  </si>
  <si>
    <r>
      <rPr>
        <sz val="11"/>
        <color rgb="FF000000"/>
        <rFont val="Scotia"/>
        <family val="2"/>
      </rPr>
      <t>Payments</t>
    </r>
  </si>
  <si>
    <r>
      <rPr>
        <sz val="11"/>
        <color rgb="FF000000"/>
        <rFont val="Scotia"/>
        <family val="2"/>
      </rPr>
      <t>Sales</t>
    </r>
  </si>
  <si>
    <r>
      <rPr>
        <sz val="11"/>
        <color rgb="FF000000"/>
        <rFont val="Scotia"/>
        <family val="2"/>
      </rPr>
      <t>Net classifications</t>
    </r>
  </si>
  <si>
    <r>
      <rPr>
        <b/>
        <sz val="11"/>
        <color rgb="FF000000"/>
        <rFont val="Scotia"/>
        <family val="2"/>
      </rPr>
      <t>Canadian Commercial⁽¹⁾</t>
    </r>
  </si>
  <si>
    <r>
      <rPr>
        <b/>
        <sz val="11"/>
        <color rgb="FF000000"/>
        <rFont val="Scotia"/>
        <family val="2"/>
      </rPr>
      <t>International Retail</t>
    </r>
  </si>
  <si>
    <r>
      <rPr>
        <b/>
        <sz val="11"/>
        <color rgb="FF000000"/>
        <rFont val="Scotia"/>
        <family val="2"/>
      </rPr>
      <t>International Commercial⁽²⁾</t>
    </r>
  </si>
  <si>
    <r>
      <rPr>
        <b/>
        <sz val="11"/>
        <color rgb="FF000000"/>
        <rFont val="Scotia"/>
        <family val="2"/>
      </rPr>
      <t>Write-offs</t>
    </r>
  </si>
  <si>
    <r>
      <rPr>
        <sz val="11"/>
        <color rgb="FF000000"/>
        <rFont val="Scotia"/>
        <family val="2"/>
      </rPr>
      <t>Canadian retail</t>
    </r>
  </si>
  <si>
    <r>
      <rPr>
        <sz val="11"/>
        <color rgb="FF000000"/>
        <rFont val="Scotia"/>
        <family val="2"/>
      </rPr>
      <t>Canadian commercial⁽¹⁾</t>
    </r>
  </si>
  <si>
    <r>
      <rPr>
        <sz val="11"/>
        <color rgb="FF000000"/>
        <rFont val="Scotia"/>
        <family val="2"/>
      </rPr>
      <t>International retail</t>
    </r>
  </si>
  <si>
    <r>
      <rPr>
        <sz val="11"/>
        <color rgb="FF000000"/>
        <rFont val="Scotia"/>
        <family val="2"/>
      </rPr>
      <t>International commercial⁽²⁾</t>
    </r>
  </si>
  <si>
    <r>
      <rPr>
        <sz val="11"/>
        <color rgb="FF000000"/>
        <rFont val="Scotia"/>
        <family val="2"/>
      </rPr>
      <t>Global Wealth Management</t>
    </r>
  </si>
  <si>
    <r>
      <rPr>
        <sz val="11"/>
        <color rgb="FF000000"/>
        <rFont val="Scotia"/>
        <family val="2"/>
      </rPr>
      <t>Global Banking and Markets</t>
    </r>
  </si>
  <si>
    <r>
      <rPr>
        <b/>
        <sz val="11"/>
        <color rgb="FF000000"/>
        <rFont val="Scotia"/>
        <family val="2"/>
      </rPr>
      <t>Forex</t>
    </r>
    <r>
      <rPr>
        <b/>
        <vertAlign val="superscript"/>
        <sz val="11"/>
        <color rgb="FF000000"/>
        <rFont val="Scotia"/>
        <family val="2"/>
      </rPr>
      <t>⁽3⁾</t>
    </r>
    <r>
      <rPr>
        <b/>
        <sz val="11"/>
        <color rgb="FF000000"/>
        <rFont val="Scotia"/>
        <family val="2"/>
      </rPr>
      <t xml:space="preserve"> / Other</t>
    </r>
  </si>
  <si>
    <r>
      <rPr>
        <b/>
        <sz val="11"/>
        <color rgb="FF000000"/>
        <rFont val="Scotia"/>
        <family val="2"/>
      </rPr>
      <t>Balance at End of Period</t>
    </r>
  </si>
  <si>
    <r>
      <rPr>
        <sz val="9"/>
        <color rgb="FF000000"/>
        <rFont val="Scotia"/>
        <family val="2"/>
      </rPr>
      <t>(2) Includes small business and corporate.</t>
    </r>
  </si>
  <si>
    <r>
      <rPr>
        <sz val="9"/>
        <color rgb="FF000000"/>
        <rFont val="Scotia"/>
        <family val="2"/>
      </rPr>
      <t>(3) Includes divestiture impact for GILs in Forex / Other in International Banking.</t>
    </r>
  </si>
  <si>
    <r>
      <rPr>
        <b/>
        <sz val="14"/>
        <color rgb="FFFFFFFF"/>
        <rFont val="Scotia"/>
        <family val="2"/>
      </rPr>
      <t>Allowance for Credit Losses &amp; Other Reserves</t>
    </r>
  </si>
  <si>
    <r>
      <rPr>
        <b/>
        <sz val="11"/>
        <color rgb="FF000000"/>
        <rFont val="Scotia"/>
        <family val="2"/>
      </rPr>
      <t>Impaired Loans — Stage 3</t>
    </r>
  </si>
  <si>
    <r>
      <rPr>
        <sz val="11"/>
        <color rgb="FF000000"/>
        <rFont val="Scotia"/>
        <family val="2"/>
      </rPr>
      <t>Balance beginning of period</t>
    </r>
  </si>
  <si>
    <r>
      <rPr>
        <sz val="11"/>
        <color rgb="FF000000"/>
        <rFont val="Scotia"/>
        <family val="2"/>
      </rPr>
      <t>Provision for credit losses⁽¹⁾⁽²⁾</t>
    </r>
  </si>
  <si>
    <r>
      <rPr>
        <sz val="11"/>
        <color rgb="FF000000"/>
        <rFont val="Scotia"/>
        <family val="2"/>
      </rPr>
      <t>Write-offs</t>
    </r>
  </si>
  <si>
    <r>
      <rPr>
        <sz val="11"/>
        <color rgb="FF000000"/>
        <rFont val="Scotia"/>
        <family val="2"/>
      </rPr>
      <t>Recoveries</t>
    </r>
  </si>
  <si>
    <r>
      <rPr>
        <sz val="11"/>
        <color rgb="FF000000"/>
        <rFont val="Scotia"/>
        <family val="2"/>
      </rPr>
      <t>Foreign currency adjustment and other</t>
    </r>
  </si>
  <si>
    <r>
      <rPr>
        <sz val="11"/>
        <color rgb="FF000000"/>
        <rFont val="Scotia"/>
        <family val="2"/>
      </rPr>
      <t>Balance end of period</t>
    </r>
  </si>
  <si>
    <r>
      <rPr>
        <b/>
        <sz val="11"/>
        <color rgb="FF000000"/>
        <rFont val="Scotia"/>
        <family val="2"/>
      </rPr>
      <t>Performing Loans — Stage 1 and 2</t>
    </r>
  </si>
  <si>
    <r>
      <rPr>
        <sz val="11"/>
        <color rgb="FF000000"/>
        <rFont val="Scotia"/>
        <family val="2"/>
      </rPr>
      <t>Provision for credit losses⁽³⁾</t>
    </r>
  </si>
  <si>
    <r>
      <rPr>
        <sz val="11"/>
        <color rgb="FF000000"/>
        <rFont val="Scotia"/>
        <family val="2"/>
      </rPr>
      <t>Allowance for credit losses on loans</t>
    </r>
  </si>
  <si>
    <r>
      <rPr>
        <sz val="11"/>
        <color rgb="FF000000"/>
        <rFont val="Scotia"/>
        <family val="2"/>
      </rPr>
      <t>Allowance for credit losses on off-balance sheet exposures</t>
    </r>
  </si>
  <si>
    <r>
      <rPr>
        <sz val="11"/>
        <color rgb="FF000000"/>
        <rFont val="Scotia"/>
        <family val="2"/>
      </rPr>
      <t>Allowance for Credit Losses on acceptances and other financial assets⁽⁴⁾</t>
    </r>
  </si>
  <si>
    <r>
      <rPr>
        <b/>
        <sz val="11"/>
        <color rgb="FF000000"/>
        <rFont val="Scotia"/>
        <family val="2"/>
      </rPr>
      <t>Total allowance for credit losses</t>
    </r>
  </si>
  <si>
    <r>
      <rPr>
        <b/>
        <sz val="11"/>
        <color rgb="FF000000"/>
        <rFont val="Scotia"/>
        <family val="2"/>
      </rPr>
      <t>Allowance for Credit Losses by Business Segment</t>
    </r>
  </si>
  <si>
    <r>
      <rPr>
        <sz val="11"/>
        <color rgb="FF000000"/>
        <rFont val="Scotia"/>
        <family val="2"/>
      </rPr>
      <t>Commercial⁽⁵⁾</t>
    </r>
  </si>
  <si>
    <r>
      <rPr>
        <b/>
        <sz val="11"/>
        <color rgb="FF000000"/>
        <rFont val="Scotia"/>
        <family val="2"/>
      </rPr>
      <t>Retail</t>
    </r>
  </si>
  <si>
    <r>
      <rPr>
        <sz val="11"/>
        <color rgb="FF000000"/>
        <rFont val="Scotia"/>
        <family val="2"/>
      </rPr>
      <t>Caribbean &amp; Central America</t>
    </r>
  </si>
  <si>
    <r>
      <rPr>
        <sz val="11"/>
        <color rgb="FF000000"/>
        <rFont val="Scotia"/>
        <family val="2"/>
      </rPr>
      <t>Mexico</t>
    </r>
  </si>
  <si>
    <r>
      <rPr>
        <sz val="11"/>
        <color rgb="FF000000"/>
        <rFont val="Scotia"/>
        <family val="2"/>
      </rPr>
      <t>Peru</t>
    </r>
  </si>
  <si>
    <r>
      <rPr>
        <sz val="11"/>
        <color rgb="FF000000"/>
        <rFont val="Scotia"/>
        <family val="2"/>
      </rPr>
      <t>Colombia</t>
    </r>
  </si>
  <si>
    <r>
      <rPr>
        <sz val="11"/>
        <color rgb="FF000000"/>
        <rFont val="Scotia"/>
        <family val="2"/>
      </rPr>
      <t>Other⁽⁶⁾</t>
    </r>
  </si>
  <si>
    <r>
      <rPr>
        <b/>
        <sz val="11"/>
        <color rgb="FF000000"/>
        <rFont val="Scotia"/>
        <family val="2"/>
      </rPr>
      <t>Commercial⁽⁷⁾</t>
    </r>
  </si>
  <si>
    <r>
      <rPr>
        <sz val="11"/>
        <color rgb="FF000000"/>
        <rFont val="Scotia"/>
        <family val="2"/>
      </rPr>
      <t>Other⁽⁸⁾</t>
    </r>
  </si>
  <si>
    <r>
      <rPr>
        <b/>
        <sz val="11"/>
        <color rgb="FF000000"/>
        <rFont val="Scotia"/>
        <family val="2"/>
      </rPr>
      <t>Total allowance for credit losses by business segment</t>
    </r>
  </si>
  <si>
    <r>
      <rPr>
        <b/>
        <sz val="11"/>
        <color rgb="FF000000"/>
        <rFont val="Scotia"/>
        <family val="2"/>
      </rPr>
      <t>Allowance for Credit Losses on Loans by Type of Borrower</t>
    </r>
  </si>
  <si>
    <r>
      <rPr>
        <b/>
        <sz val="11"/>
        <color rgb="FF000000"/>
        <rFont val="Scotia"/>
        <family val="2"/>
      </rPr>
      <t>Allowance for Credit Losses on Loans</t>
    </r>
  </si>
  <si>
    <r>
      <rPr>
        <sz val="9"/>
        <color rgb="FF000000"/>
        <rFont val="Scotia"/>
        <family val="2"/>
      </rPr>
      <t>(1) Includes provision for credit losses on certain financial assets-loans, acceptances and off-balance sheet exposures.</t>
    </r>
  </si>
  <si>
    <r>
      <rPr>
        <sz val="9"/>
        <color rgb="FF000000"/>
        <rFont val="Scotia"/>
        <family val="2"/>
      </rPr>
      <t>(2) Q2 2024 excludes amounts associated with reversal of impairment losses of $(4) million. The Provision for credit losses, net of these amounts is $975 million.</t>
    </r>
  </si>
  <si>
    <r>
      <rPr>
        <sz val="9"/>
        <color rgb="FF000000"/>
        <rFont val="Scotia"/>
        <family val="2"/>
      </rPr>
      <t>(3) Includes provision for credit losses on all performing financial assets except amounts associated with other assets $4 million (Q2 2025: nil, Q1 2025: $-18 million; Q4 2024: $ -1 million). The Provision for credit losses, net of these amounts is $66 million (Q2 2025: $346 million; Q1 2025: $ 98 million; Q4 2024: $-13 million).</t>
    </r>
  </si>
  <si>
    <r>
      <rPr>
        <sz val="9"/>
        <color rgb="FF000000"/>
        <rFont val="Scotia"/>
        <family val="2"/>
      </rPr>
      <t>(4) Other financial assets include debt securities, deposits with financial institutions, accrued interest and reverse repos.</t>
    </r>
  </si>
  <si>
    <r>
      <rPr>
        <sz val="9"/>
        <color rgb="FF000000"/>
        <rFont val="Scotia"/>
        <family val="2"/>
      </rPr>
      <t>(5) Includes small business.</t>
    </r>
  </si>
  <si>
    <r>
      <rPr>
        <sz val="9"/>
        <color rgb="FF000000"/>
        <rFont val="Scotia"/>
        <family val="2"/>
      </rPr>
      <t>(6) Includes Uruguay.</t>
    </r>
  </si>
  <si>
    <r>
      <rPr>
        <sz val="9"/>
        <color rgb="FF000000"/>
        <rFont val="Scotia"/>
        <family val="2"/>
      </rPr>
      <t>(7) Includes small business and corporate.</t>
    </r>
  </si>
  <si>
    <r>
      <rPr>
        <sz val="9"/>
        <color rgb="FF000000"/>
        <rFont val="Scotia"/>
        <family val="2"/>
      </rPr>
      <t>(8) Includes Brazil and Uruguay.</t>
    </r>
  </si>
  <si>
    <r>
      <rPr>
        <b/>
        <sz val="14"/>
        <color rgb="FFFFFFFF"/>
        <rFont val="Scotia"/>
        <family val="2"/>
      </rPr>
      <t>Impaired Loans by Type of Borrower</t>
    </r>
  </si>
  <si>
    <r>
      <rPr>
        <b/>
        <sz val="10"/>
        <color rgb="FF000000"/>
        <rFont val="Scotia"/>
        <family val="2"/>
      </rPr>
      <t>Allowance for Credit Losses</t>
    </r>
  </si>
  <si>
    <r>
      <rPr>
        <sz val="10"/>
        <color rgb="FF000000"/>
        <rFont val="Scotia"/>
        <family val="2"/>
      </rPr>
      <t>Allowance for Credit Losses</t>
    </r>
  </si>
  <si>
    <r>
      <rPr>
        <b/>
        <sz val="11"/>
        <color rgb="FF000000"/>
        <rFont val="Scotia"/>
        <family val="2"/>
      </rPr>
      <t>Gross</t>
    </r>
  </si>
  <si>
    <r>
      <rPr>
        <b/>
        <sz val="11"/>
        <color rgb="FF000000"/>
        <rFont val="Scotia"/>
        <family val="2"/>
      </rPr>
      <t>Stage 3</t>
    </r>
  </si>
  <si>
    <r>
      <rPr>
        <b/>
        <sz val="11"/>
        <color rgb="FF000000"/>
        <rFont val="Scotia"/>
        <family val="2"/>
      </rPr>
      <t>Net</t>
    </r>
  </si>
  <si>
    <r>
      <rPr>
        <sz val="11"/>
        <color rgb="FF000000"/>
        <rFont val="Scotia"/>
        <family val="2"/>
      </rPr>
      <t>Gross</t>
    </r>
  </si>
  <si>
    <r>
      <rPr>
        <sz val="11"/>
        <color rgb="FF000000"/>
        <rFont val="Scotia"/>
        <family val="2"/>
      </rPr>
      <t>Stage 3</t>
    </r>
  </si>
  <si>
    <r>
      <rPr>
        <sz val="11"/>
        <color rgb="FF000000"/>
        <rFont val="Scotia"/>
        <family val="2"/>
      </rPr>
      <t>Net</t>
    </r>
  </si>
  <si>
    <r>
      <rPr>
        <sz val="11"/>
        <color rgb="FF000000"/>
        <rFont val="Scotia"/>
        <family val="2"/>
      </rPr>
      <t>Credit cards⁽¹⁾</t>
    </r>
  </si>
  <si>
    <r>
      <rPr>
        <sz val="11"/>
        <color rgb="FF000000"/>
        <rFont val="Scotia"/>
        <family val="2"/>
      </rPr>
      <t>Bank</t>
    </r>
  </si>
  <si>
    <r>
      <rPr>
        <sz val="11"/>
        <color rgb="FF000000"/>
        <rFont val="Scotia"/>
        <family val="2"/>
      </rPr>
      <t>Real Estate and Contractors</t>
    </r>
  </si>
  <si>
    <r>
      <rPr>
        <sz val="11"/>
        <color rgb="FF000000"/>
        <rFont val="Scotia"/>
        <family val="2"/>
      </rPr>
      <t>Sovereign</t>
    </r>
  </si>
  <si>
    <r>
      <rPr>
        <b/>
        <sz val="11"/>
        <color rgb="FF000000"/>
        <rFont val="Scotia"/>
        <family val="2"/>
      </rPr>
      <t>Business &amp; Government</t>
    </r>
  </si>
  <si>
    <r>
      <rPr>
        <b/>
        <sz val="11"/>
        <color rgb="FF000000"/>
        <rFont val="Scotia"/>
        <family val="2"/>
      </rPr>
      <t>Impaired Loans, Net of Related Allowances</t>
    </r>
  </si>
  <si>
    <r>
      <rPr>
        <sz val="9"/>
        <color rgb="FF000000"/>
        <rFont val="Scotia"/>
        <family val="2"/>
      </rPr>
      <t>(1) The Bank writes off credit card receivables at 180 days, on transfer from performing loans to impaired.</t>
    </r>
  </si>
  <si>
    <r>
      <rPr>
        <b/>
        <sz val="14"/>
        <color rgb="FFFFFFFF"/>
        <rFont val="Scotia"/>
        <family val="2"/>
      </rPr>
      <t>Provision for Credit Losses (PCL) by Business Segment</t>
    </r>
  </si>
  <si>
    <r>
      <rPr>
        <b/>
        <sz val="11"/>
        <color rgb="FF000000"/>
        <rFont val="Scotia"/>
        <family val="2"/>
      </rPr>
      <t>Q3/25</t>
    </r>
  </si>
  <si>
    <r>
      <rPr>
        <sz val="11"/>
        <color rgb="FF000000"/>
        <rFont val="Scotia"/>
        <family val="2"/>
      </rPr>
      <t>Q2/25</t>
    </r>
  </si>
  <si>
    <r>
      <rPr>
        <sz val="11"/>
        <color rgb="FF000000"/>
        <rFont val="Scotia"/>
        <family val="2"/>
      </rPr>
      <t>Q1/25</t>
    </r>
  </si>
  <si>
    <r>
      <rPr>
        <sz val="11"/>
        <color rgb="FF000000"/>
        <rFont val="Scotia"/>
        <family val="2"/>
      </rPr>
      <t>Q4/24</t>
    </r>
  </si>
  <si>
    <r>
      <rPr>
        <sz val="11"/>
        <color rgb="FF000000"/>
        <rFont val="Scotia"/>
        <family val="2"/>
      </rPr>
      <t>Q3/24</t>
    </r>
  </si>
  <si>
    <r>
      <rPr>
        <b/>
        <sz val="11"/>
        <color rgb="FF000000"/>
        <rFont val="Scotia"/>
        <family val="2"/>
      </rPr>
      <t>Stage</t>
    </r>
  </si>
  <si>
    <r>
      <rPr>
        <sz val="11"/>
        <color rgb="FF000000"/>
        <rFont val="Scotia"/>
        <family val="2"/>
      </rPr>
      <t>Stage</t>
    </r>
  </si>
  <si>
    <r>
      <rPr>
        <b/>
        <sz val="11"/>
        <color rgb="FF000000"/>
        <rFont val="Scotia"/>
        <family val="2"/>
      </rPr>
      <t xml:space="preserve"> 1 &amp; 2</t>
    </r>
  </si>
  <si>
    <r>
      <rPr>
        <b/>
        <sz val="11"/>
        <color rgb="FF000000"/>
        <rFont val="Scotia"/>
        <family val="2"/>
      </rPr>
      <t>PCL</t>
    </r>
  </si>
  <si>
    <r>
      <rPr>
        <sz val="11"/>
        <color rgb="FF000000"/>
        <rFont val="Scotia"/>
        <family val="2"/>
      </rPr>
      <t xml:space="preserve"> 1 &amp; 2</t>
    </r>
  </si>
  <si>
    <r>
      <rPr>
        <sz val="11"/>
        <color rgb="FF000000"/>
        <rFont val="Scotia"/>
        <family val="2"/>
      </rPr>
      <t>PCL</t>
    </r>
  </si>
  <si>
    <r>
      <rPr>
        <b/>
        <sz val="11"/>
        <color rgb="FF000000"/>
        <rFont val="Scotia"/>
        <family val="2"/>
      </rPr>
      <t xml:space="preserve">Total PCL </t>
    </r>
    <r>
      <rPr>
        <i/>
        <sz val="11"/>
        <color rgb="FFFF0000"/>
        <rFont val="Scotia"/>
        <family val="2"/>
      </rPr>
      <t>($ millions)</t>
    </r>
  </si>
  <si>
    <r>
      <rPr>
        <sz val="11"/>
        <color rgb="FF000000"/>
        <rFont val="Scotia"/>
        <family val="2"/>
      </rPr>
      <t>Commercial⁽²⁾</t>
    </r>
  </si>
  <si>
    <r>
      <rPr>
        <b/>
        <sz val="11"/>
        <color rgb="FF000000"/>
        <rFont val="Scotia"/>
        <family val="2"/>
      </rPr>
      <t>PCL on loans, acceptances and off-balance sheet exposures</t>
    </r>
  </si>
  <si>
    <r>
      <rPr>
        <sz val="11"/>
        <color rgb="FF000000"/>
        <rFont val="Scotia"/>
        <family val="2"/>
      </rPr>
      <t>Canadian Banking</t>
    </r>
  </si>
  <si>
    <r>
      <rPr>
        <sz val="11"/>
        <color rgb="FF000000"/>
        <rFont val="Scotia"/>
        <family val="2"/>
      </rPr>
      <t xml:space="preserve">International Banking </t>
    </r>
  </si>
  <si>
    <r>
      <rPr>
        <sz val="11"/>
        <color rgb="FF000000"/>
        <rFont val="Scotia"/>
        <family val="2"/>
      </rPr>
      <t xml:space="preserve">Global Wealth Management </t>
    </r>
  </si>
  <si>
    <r>
      <rPr>
        <b/>
        <sz val="11"/>
        <color rgb="FF000000"/>
        <rFont val="Scotia"/>
        <family val="2"/>
      </rPr>
      <t>PCL on other financial assets⁽³⁾</t>
    </r>
  </si>
  <si>
    <r>
      <rPr>
        <b/>
        <sz val="11"/>
        <color rgb="FF000000"/>
        <rFont val="Scotia"/>
        <family val="2"/>
      </rPr>
      <t>Total PCL</t>
    </r>
  </si>
  <si>
    <t>Provision for Credit Losses as a % of Net Loans and Acceptances (bps)⁽⁴⁾</t>
  </si>
  <si>
    <t xml:space="preserve">Provision for Credit Losses as a % of Net Loans and Acceptances </t>
  </si>
  <si>
    <t>Net write-offs as a % of Net Loans and Acceptances (bps)⁽⁴⁾</t>
  </si>
  <si>
    <t xml:space="preserve">Net write-offs as a % of Net Loans and Acceptances </t>
  </si>
  <si>
    <r>
      <rPr>
        <sz val="9"/>
        <color rgb="FF000000"/>
        <rFont val="Scotia"/>
        <family val="2"/>
      </rPr>
      <t>(3) Other financial assets include debt securities, deposits with financial institutions, accrued interest and reverse repos.</t>
    </r>
  </si>
  <si>
    <r>
      <rPr>
        <sz val="9"/>
        <color rgb="FF000000"/>
        <rFont val="Scotia"/>
        <family val="2"/>
      </rPr>
      <t>(4) Refer to page 57 of the Q3 2025 Quarterly Report to Shareholders, available on http://www.sedarplus.ca, for an explanation of the composition of the measure. Such explanation is incorporated by reference hereto.</t>
    </r>
  </si>
  <si>
    <r>
      <rPr>
        <b/>
        <sz val="14"/>
        <color rgb="FFFFFFFF"/>
        <rFont val="Scotia"/>
        <family val="2"/>
      </rPr>
      <t>Provision for Credit Losses (PCL) by Type of Borrower</t>
    </r>
  </si>
  <si>
    <r>
      <rPr>
        <b/>
        <sz val="11"/>
        <color rgb="FF000000"/>
        <rFont val="Scotia"/>
        <family val="2"/>
      </rPr>
      <t>PCL on Impaired Loans (Stage 3)</t>
    </r>
  </si>
  <si>
    <r>
      <rPr>
        <sz val="11"/>
        <color rgb="FF000000"/>
        <rFont val="Scotia"/>
        <family val="2"/>
      </rPr>
      <t>Financial Services</t>
    </r>
  </si>
  <si>
    <r>
      <rPr>
        <b/>
        <sz val="11"/>
        <color rgb="FF000000"/>
        <rFont val="Scotia"/>
        <family val="2"/>
      </rPr>
      <t>Total PCL on Impaired Loans (Stage 3)⁽¹⁾</t>
    </r>
  </si>
  <si>
    <r>
      <rPr>
        <b/>
        <sz val="11"/>
        <color rgb="FF000000"/>
        <rFont val="Scotia"/>
        <family val="2"/>
      </rPr>
      <t>PCL on Performing Loans (Stage 1 and 2)⁽²⁾</t>
    </r>
  </si>
  <si>
    <r>
      <rPr>
        <sz val="11"/>
        <color rgb="FF000000"/>
        <rFont val="Scotia"/>
        <family val="2"/>
      </rPr>
      <t xml:space="preserve">Personal </t>
    </r>
  </si>
  <si>
    <r>
      <rPr>
        <sz val="11"/>
        <color rgb="FF000000"/>
        <rFont val="Scotia"/>
        <family val="2"/>
      </rPr>
      <t xml:space="preserve">Business &amp; Government </t>
    </r>
  </si>
  <si>
    <r>
      <rPr>
        <b/>
        <sz val="11"/>
        <color rgb="FF000000"/>
        <rFont val="Scotia"/>
        <family val="2"/>
      </rPr>
      <t>Total PCL on Performing Loans (Stage 1 and 2)⁽²⁾</t>
    </r>
  </si>
  <si>
    <r>
      <rPr>
        <sz val="9"/>
        <color rgb="FF000000"/>
        <rFont val="Scotia"/>
        <family val="2"/>
      </rPr>
      <t>(2) Includes provision for credit losses on all performing financial assets.</t>
    </r>
  </si>
  <si>
    <r>
      <rPr>
        <b/>
        <sz val="14"/>
        <color rgb="FFFFFFFF"/>
        <rFont val="Scotia"/>
        <family val="2"/>
      </rPr>
      <t>Financial Investments — Unrealized Gains (Losses)</t>
    </r>
  </si>
  <si>
    <r>
      <rPr>
        <b/>
        <sz val="11"/>
        <color rgb="FF000000"/>
        <rFont val="Scotia"/>
        <family val="2"/>
      </rPr>
      <t>Investment securities measured at fair value through Other Comprehensive Income (OCI)  — unrealized gains (losses)</t>
    </r>
  </si>
  <si>
    <r>
      <rPr>
        <sz val="11"/>
        <color rgb="FF000000"/>
        <rFont val="Scotia"/>
        <family val="2"/>
      </rPr>
      <t>Canadian and U.S. sovereign debt</t>
    </r>
  </si>
  <si>
    <r>
      <rPr>
        <sz val="11"/>
        <color rgb="FF000000"/>
        <rFont val="Scotia"/>
        <family val="2"/>
      </rPr>
      <t>Other foreign government debt</t>
    </r>
  </si>
  <si>
    <r>
      <rPr>
        <sz val="11"/>
        <color rgb="FF000000"/>
        <rFont val="Scotia"/>
        <family val="2"/>
      </rPr>
      <t>Other debt</t>
    </r>
  </si>
  <si>
    <r>
      <rPr>
        <sz val="11"/>
        <color rgb="FF000000"/>
        <rFont val="Scotia"/>
        <family val="2"/>
      </rPr>
      <t>Equity securities at fair value through OCI</t>
    </r>
  </si>
  <si>
    <r>
      <rPr>
        <b/>
        <sz val="11"/>
        <color rgb="FF000000"/>
        <rFont val="Scotia"/>
        <family val="2"/>
      </rPr>
      <t>Total investment securities measured at fair value through Other Comprehensive Income (OCI) — unrealized gains (losses)</t>
    </r>
  </si>
  <si>
    <r>
      <rPr>
        <b/>
        <sz val="11"/>
        <color rgb="FF000000"/>
        <rFont val="Scotia"/>
        <family val="2"/>
      </rPr>
      <t>Net fair value of derivative instruments and other hedge amounts</t>
    </r>
  </si>
  <si>
    <r>
      <rPr>
        <b/>
        <sz val="11"/>
        <color rgb="FF000000"/>
        <rFont val="Scotia"/>
        <family val="2"/>
      </rPr>
      <t>Net unrealized gains (losses)</t>
    </r>
  </si>
  <si>
    <r>
      <rPr>
        <b/>
        <sz val="14"/>
        <color rgb="FFFFFFFF"/>
        <rFont val="Scotia"/>
        <family val="2"/>
      </rPr>
      <t>Regulatory Capital Highlights</t>
    </r>
  </si>
  <si>
    <r>
      <rPr>
        <b/>
        <sz val="11"/>
        <color rgb="FF000000"/>
        <rFont val="Scotia"/>
        <family val="2"/>
      </rPr>
      <t>Common Equity Tier 1 capital⁽¹⁾⁽²⁾</t>
    </r>
  </si>
  <si>
    <r>
      <rPr>
        <b/>
        <sz val="11"/>
        <color rgb="FF000000"/>
        <rFont val="Scotia"/>
        <family val="2"/>
      </rPr>
      <t>Tier 1 capital⁽¹⁾⁽²⁾</t>
    </r>
  </si>
  <si>
    <r>
      <rPr>
        <b/>
        <sz val="11"/>
        <color rgb="FF000000"/>
        <rFont val="Scotia"/>
        <family val="2"/>
      </rPr>
      <t>Total capital⁽¹⁾⁽²⁾</t>
    </r>
  </si>
  <si>
    <r>
      <rPr>
        <b/>
        <sz val="11"/>
        <color rgb="FF000000"/>
        <rFont val="Scotia"/>
        <family val="2"/>
      </rPr>
      <t>Total loss absorbing capacity (TLAC)⁽³⁾</t>
    </r>
  </si>
  <si>
    <r>
      <rPr>
        <b/>
        <sz val="11"/>
        <color rgb="FF000000"/>
        <rFont val="Scotia"/>
        <family val="2"/>
      </rPr>
      <t>Risk-weighted assets⁽¹⁾⁽²⁾⁽⁴⁾</t>
    </r>
  </si>
  <si>
    <r>
      <rPr>
        <sz val="11"/>
        <color rgb="FF000000"/>
        <rFont val="Scotia"/>
        <family val="2"/>
      </rPr>
      <t>Capital risk-weighted assets</t>
    </r>
  </si>
  <si>
    <t>Capital ratios (%)⁽¹⁾⁽²⁾</t>
  </si>
  <si>
    <r>
      <rPr>
        <sz val="11"/>
        <color rgb="FF000000"/>
        <rFont val="Scotia"/>
        <family val="2"/>
      </rPr>
      <t>Common Equity Tier 1 (as a percentage of risk-weighted assets)</t>
    </r>
  </si>
  <si>
    <r>
      <rPr>
        <sz val="11"/>
        <color rgb="FF000000"/>
        <rFont val="Scotia"/>
        <family val="2"/>
      </rPr>
      <t>Tier 1 (as a percentage of risk-weighted assets)</t>
    </r>
  </si>
  <si>
    <r>
      <rPr>
        <sz val="11"/>
        <color rgb="FF000000"/>
        <rFont val="Scotia"/>
        <family val="2"/>
      </rPr>
      <t>Total capital (as a percentage of risk-weighted assets)</t>
    </r>
  </si>
  <si>
    <r>
      <rPr>
        <sz val="11"/>
        <color rgb="FF000000"/>
        <rFont val="Scotia"/>
        <family val="2"/>
      </rPr>
      <t>Total loss absorbing capacity (as a percentage of risk-weighted assets)⁽³⁾</t>
    </r>
  </si>
  <si>
    <r>
      <rPr>
        <b/>
        <sz val="11"/>
        <color rgb="FF000000"/>
        <rFont val="Scotia"/>
        <family val="2"/>
      </rPr>
      <t>Leverage⁽⁵⁾</t>
    </r>
  </si>
  <si>
    <r>
      <rPr>
        <sz val="11"/>
        <color rgb="FF000000"/>
        <rFont val="Scotia"/>
        <family val="2"/>
      </rPr>
      <t>Leverage exposures</t>
    </r>
  </si>
  <si>
    <t>Leverage ratio (%)</t>
  </si>
  <si>
    <t>TLAC Leverage ratio (%)⁽³⁾</t>
  </si>
  <si>
    <t>OSFI Pillar 1 target (%)</t>
  </si>
  <si>
    <r>
      <rPr>
        <sz val="11"/>
        <color rgb="FF000000"/>
        <rFont val="Scotia"/>
        <family val="2"/>
      </rPr>
      <t>Common Equity Tier 1 minimum ratio</t>
    </r>
  </si>
  <si>
    <r>
      <rPr>
        <sz val="11"/>
        <color rgb="FF000000"/>
        <rFont val="Scotia"/>
        <family val="2"/>
      </rPr>
      <t>Tier 1 capital minimum ratio</t>
    </r>
  </si>
  <si>
    <r>
      <rPr>
        <sz val="11"/>
        <color rgb="FF000000"/>
        <rFont val="Scotia"/>
        <family val="2"/>
      </rPr>
      <t>Total capital minimum ratio</t>
    </r>
  </si>
  <si>
    <r>
      <rPr>
        <sz val="11"/>
        <color rgb="FF000000"/>
        <rFont val="Scotia"/>
        <family val="2"/>
      </rPr>
      <t>Leverage minimum ratio</t>
    </r>
  </si>
  <si>
    <r>
      <rPr>
        <sz val="11"/>
        <color rgb="FF000000"/>
        <rFont val="Scotia"/>
        <family val="2"/>
      </rPr>
      <t>Total loss absorbing capacity minimum ratio</t>
    </r>
  </si>
  <si>
    <r>
      <rPr>
        <sz val="11"/>
        <color rgb="FF000000"/>
        <rFont val="Scotia"/>
        <family val="2"/>
      </rPr>
      <t>TLAC Leverage minimum ratio</t>
    </r>
  </si>
  <si>
    <r>
      <rPr>
        <sz val="9"/>
        <color rgb="FF000000"/>
        <rFont val="Scotia"/>
        <family val="2"/>
      </rPr>
      <t xml:space="preserve">(1) Regulatory ratios and amounts reported effective Q2 2023 are under Revised Basel III requirements. </t>
    </r>
  </si>
  <si>
    <r>
      <rPr>
        <sz val="9"/>
        <color rgb="FF000000"/>
        <rFont val="Scotia"/>
        <family val="2"/>
      </rPr>
      <t xml:space="preserve">(2) Effective Q1 2024, regulatory capital ratios are based on Basel III requirements as determined in accordance with OSFI Guideline - Capital Adequacy Requirements (November 2023).  For prior periods reported above, regulatory capital ratios were based on Basel III requirements as determined in accordance with OSFI Guideline - Capital Adequacy Requirements (February 2023).  </t>
    </r>
  </si>
  <si>
    <r>
      <rPr>
        <sz val="9"/>
        <color rgb="FF000000"/>
        <rFont val="Scotia"/>
        <family val="2"/>
      </rPr>
      <t>(3) This measure has been disclosed in this document in accordance with OSFI Guideline - Total Loss Absorbing Capacity (September 2018).</t>
    </r>
  </si>
  <si>
    <r>
      <rPr>
        <sz val="9"/>
        <color rgb="FF000000"/>
        <rFont val="Scotia"/>
        <family val="2"/>
      </rPr>
      <t xml:space="preserve">(4) As at July 31, 2025, the Bank did not have a regulatory capital floor add-on for CET1, Tier 1, Total Capital and TLAC risk-weighted assets (RWA) (as at April 30, 2025, January 31, 2025, October 31, 2024, July 31, 2024, and April 30, 2024, the Bank did not have a regulatory capital floor add-on for CET1, Tier 1, Total Capital and TLAC risk-weighted assets (RWA); as at January 31, 2024, the Bank reported a Basel III floor adjustment for CET1, Tier 1, Total Capital and TLAC risk-weighted assets (RWA) of $7.8 billion; as at October 31, 2023, the Bank did not have a regulatory capital floor add-on for CET1, Tier 1, Total Capital and TLAC risk-weighted assets (RWA); as at July 31, 2023 - $1.4 billion).  </t>
    </r>
  </si>
  <si>
    <r>
      <rPr>
        <sz val="9"/>
        <color rgb="FF000000"/>
        <rFont val="Scotia"/>
        <family val="2"/>
      </rPr>
      <t xml:space="preserve">(5) The leverage ratios are based on Basel III requirements as determined in accordance with OSFI Guideline - Leverage Requirements (February 2023).  </t>
    </r>
  </si>
  <si>
    <r>
      <rPr>
        <b/>
        <sz val="14"/>
        <color rgb="FFFFFFFF"/>
        <rFont val="Scotia"/>
        <family val="2"/>
      </rPr>
      <t>Appendix 1: Global Banking and Markets (Reported Including International Banking)</t>
    </r>
  </si>
  <si>
    <r>
      <rPr>
        <b/>
        <sz val="11"/>
        <color rgb="FFFF0000"/>
        <rFont val="Scotia"/>
        <family val="2"/>
      </rPr>
      <t>Global Banking and Markets</t>
    </r>
  </si>
  <si>
    <r>
      <rPr>
        <b/>
        <sz val="11"/>
        <color rgb="FF000000"/>
        <rFont val="Scotia"/>
        <family val="2"/>
      </rPr>
      <t>Revenue by Business</t>
    </r>
  </si>
  <si>
    <r>
      <rPr>
        <b/>
        <sz val="11"/>
        <color rgb="FF000000"/>
        <rFont val="Scotia"/>
        <family val="2"/>
      </rPr>
      <t>Reported Total Revenue (TEB)</t>
    </r>
  </si>
  <si>
    <r>
      <rPr>
        <sz val="11"/>
        <color rgb="FF000000"/>
        <rFont val="Scotia"/>
        <family val="2"/>
      </rPr>
      <t>Reported net income</t>
    </r>
  </si>
  <si>
    <r>
      <rPr>
        <sz val="11"/>
        <color rgb="FF000000"/>
        <rFont val="Scotia"/>
        <family val="2"/>
      </rPr>
      <t>Reported net income attributable to non-controlling interests</t>
    </r>
  </si>
  <si>
    <r>
      <rPr>
        <b/>
        <sz val="11"/>
        <color rgb="FF000000"/>
        <rFont val="Scotia"/>
        <family val="2"/>
      </rPr>
      <t>Reported net income attributable to equity holders of the bank</t>
    </r>
  </si>
  <si>
    <r>
      <rPr>
        <b/>
        <sz val="11"/>
        <color rgb="FFFF0000"/>
        <rFont val="Scotia"/>
        <family val="2"/>
      </rPr>
      <t xml:space="preserve">Average Balances </t>
    </r>
    <r>
      <rPr>
        <i/>
        <sz val="11"/>
        <color rgb="FFFF0000"/>
        <rFont val="Scotia"/>
        <family val="2"/>
      </rPr>
      <t>($ billions)</t>
    </r>
  </si>
  <si>
    <r>
      <rPr>
        <sz val="11"/>
        <color rgb="FF000000"/>
        <rFont val="Scotia"/>
        <family val="2"/>
      </rPr>
      <t>Total assets</t>
    </r>
  </si>
  <si>
    <r>
      <rPr>
        <sz val="11"/>
        <color rgb="FF000000"/>
        <rFont val="Scotia"/>
        <family val="2"/>
      </rPr>
      <t>Total liabilities</t>
    </r>
  </si>
  <si>
    <r>
      <rPr>
        <b/>
        <sz val="11"/>
        <color rgb="FFFF0000"/>
        <rFont val="Scotia"/>
        <family val="2"/>
      </rPr>
      <t>Global Banking and Markets — International Banking⁽¹⁾</t>
    </r>
  </si>
  <si>
    <r>
      <rPr>
        <b/>
        <sz val="11"/>
        <color rgb="FF000000"/>
        <rFont val="Scotia"/>
        <family val="2"/>
      </rPr>
      <t>Revenue by Business:</t>
    </r>
  </si>
  <si>
    <r>
      <rPr>
        <b/>
        <sz val="11"/>
        <color rgb="FF000000"/>
        <rFont val="Scotia"/>
        <family val="2"/>
      </rPr>
      <t>Net income</t>
    </r>
  </si>
  <si>
    <r>
      <rPr>
        <sz val="11"/>
        <color rgb="FF000000"/>
        <rFont val="Scotia"/>
        <family val="2"/>
      </rPr>
      <t>Net income attributable to non-controlling interests</t>
    </r>
  </si>
  <si>
    <r>
      <rPr>
        <b/>
        <sz val="11"/>
        <color rgb="FF000000"/>
        <rFont val="Scotia"/>
        <family val="2"/>
      </rPr>
      <t>Net income attributable to equity holders of the bank</t>
    </r>
  </si>
  <si>
    <r>
      <rPr>
        <b/>
        <sz val="11"/>
        <color rgb="FFFF0000"/>
        <rFont val="Scotia"/>
        <family val="2"/>
      </rPr>
      <t>Global Banking and Markets — Including International Banking</t>
    </r>
  </si>
  <si>
    <r>
      <rPr>
        <sz val="9"/>
        <color rgb="FF000000"/>
        <rFont val="Scotia"/>
        <family val="2"/>
      </rPr>
      <t xml:space="preserve">(1) Includes results of Mexico, Peru, Colombia, Chile, Brazil, Caribbean, along with results of smaller operations in the region. </t>
    </r>
  </si>
  <si>
    <r>
      <rPr>
        <b/>
        <sz val="14"/>
        <color rgb="FFFFFFFF"/>
        <rFont val="Scotia"/>
        <family val="2"/>
      </rPr>
      <t>Appendix 2: International Banking by Region — Latin America</t>
    </r>
  </si>
  <si>
    <r>
      <rPr>
        <b/>
        <sz val="11"/>
        <color rgb="FFFF0000"/>
        <rFont val="Scotia"/>
        <family val="2"/>
      </rPr>
      <t>Latin America⁽¹⁾</t>
    </r>
    <r>
      <rPr>
        <i/>
        <sz val="11"/>
        <color rgb="FFFF0000"/>
        <rFont val="Scotia"/>
        <family val="2"/>
      </rPr>
      <t>($ millions)</t>
    </r>
  </si>
  <si>
    <r>
      <rPr>
        <sz val="11"/>
        <color rgb="FF000000"/>
        <rFont val="Scotia"/>
        <family val="2"/>
      </rPr>
      <t>Total revenue (TEB)</t>
    </r>
  </si>
  <si>
    <r>
      <rPr>
        <sz val="11"/>
        <color rgb="FF000000"/>
        <rFont val="Scotia"/>
        <family val="2"/>
      </rPr>
      <t>Net income before tax</t>
    </r>
  </si>
  <si>
    <r>
      <rPr>
        <sz val="11"/>
        <color rgb="FF000000"/>
        <rFont val="Scotia"/>
        <family val="2"/>
      </rPr>
      <t xml:space="preserve">Adjusting items (after tax)⁽²⁾ </t>
    </r>
  </si>
  <si>
    <r>
      <rPr>
        <b/>
        <sz val="11"/>
        <color rgb="FF000000"/>
        <rFont val="Scotia"/>
        <family val="2"/>
      </rPr>
      <t xml:space="preserve">Adjusted net income⁽²⁾ </t>
    </r>
  </si>
  <si>
    <r>
      <rPr>
        <sz val="11"/>
        <color rgb="FF000000"/>
        <rFont val="Scotia"/>
        <family val="2"/>
      </rPr>
      <t>Net income attributable to non-controlling interests (NCI)</t>
    </r>
  </si>
  <si>
    <r>
      <rPr>
        <b/>
        <sz val="11"/>
        <color rgb="FF000000"/>
        <rFont val="Scotia"/>
        <family val="2"/>
      </rPr>
      <t>Net income attributable to equity holders of the Bank (NIAEH)</t>
    </r>
  </si>
  <si>
    <r>
      <rPr>
        <b/>
        <sz val="11"/>
        <color rgb="FF000000"/>
        <rFont val="Scotia"/>
        <family val="2"/>
      </rPr>
      <t>Net income attributable to equity holders of the Bank (NIAEH) - constant dollar basis⁽³⁾</t>
    </r>
  </si>
  <si>
    <r>
      <rPr>
        <sz val="11"/>
        <color rgb="FF000000"/>
        <rFont val="Scotia"/>
        <family val="2"/>
      </rPr>
      <t>Impact of FX Translation</t>
    </r>
  </si>
  <si>
    <r>
      <rPr>
        <b/>
        <sz val="11"/>
        <color rgb="FF000000"/>
        <rFont val="Scotia"/>
        <family val="2"/>
      </rPr>
      <t>Net income attributable to equity holders of the bank (NIAEH)</t>
    </r>
  </si>
  <si>
    <r>
      <rPr>
        <sz val="11"/>
        <color rgb="FF000000"/>
        <rFont val="Scotia"/>
        <family val="2"/>
      </rPr>
      <t>Impact of FX translation</t>
    </r>
  </si>
  <si>
    <r>
      <rPr>
        <sz val="11"/>
        <color rgb="FF000000"/>
        <rFont val="Scotia"/>
        <family val="2"/>
      </rPr>
      <t>Net interest margin⁽⁵⁾</t>
    </r>
  </si>
  <si>
    <r>
      <rPr>
        <b/>
        <sz val="11"/>
        <color rgb="FF000000"/>
        <rFont val="Scotia"/>
        <family val="2"/>
      </rPr>
      <t>Reported⁽⁶⁾</t>
    </r>
  </si>
  <si>
    <t>Provision for credit losses (PCL) as % of average net loans and acceptances⁽⁷⁾</t>
  </si>
  <si>
    <t>PCL on impaired loans as % of average net loans and acceptances⁽⁷⁾</t>
  </si>
  <si>
    <r>
      <rPr>
        <b/>
        <sz val="11"/>
        <color rgb="FF000000"/>
        <rFont val="Scotia"/>
        <family val="2"/>
      </rPr>
      <t>Total Deposits</t>
    </r>
  </si>
  <si>
    <r>
      <rPr>
        <sz val="9"/>
        <color rgb="FF000000"/>
        <rFont val="Scotia"/>
        <family val="2"/>
      </rPr>
      <t xml:space="preserve">(1) Includes results of Mexico, Peru, Colombia, Chile, Brazil, along with results of smaller operations in the region and unallocated expenses. </t>
    </r>
  </si>
  <si>
    <r>
      <rPr>
        <sz val="9"/>
        <color rgb="FF000000"/>
        <rFont val="Scotia"/>
        <family val="2"/>
      </rPr>
      <t>(2) Adjusting item includes amortization of acquisition-related intangible assets. Refer to non-GAAP Measures on Notes Pages 1-2 of the Supplementary Financial Information Report for details.</t>
    </r>
  </si>
  <si>
    <r>
      <rPr>
        <sz val="9"/>
        <color rgb="FF000000"/>
        <rFont val="Scotia"/>
        <family val="2"/>
      </rPr>
      <t xml:space="preserve">(3)  Data presented on a constant FX basis. Quarterly results reflect FX rates as of Q3/25, while full-year results reflect Current Year YTD Average FX rates.  Refer to non-GAAP measures on page 11 of the Q3 2025 Quarterly Report to Shareholders, available on http://www.sedarplus.ca. </t>
    </r>
  </si>
  <si>
    <r>
      <rPr>
        <sz val="9"/>
        <color rgb="FF000000"/>
        <rFont val="Scotia"/>
        <family val="2"/>
      </rPr>
      <t>(4) Ratios are on a reported currency basis.</t>
    </r>
  </si>
  <si>
    <r>
      <rPr>
        <sz val="9"/>
        <color rgb="FF000000"/>
        <rFont val="Scotia"/>
        <family val="2"/>
      </rPr>
      <t>(5) Refer to non-GAAP measures on page 5 of the Q3 2025 Quarterly Report to Shareholders, available on http://www.sedarplus.ca for a description of the measure. Refer to Appendix 3 of the Supplementary Financial Information Report for reconciliation.</t>
    </r>
  </si>
  <si>
    <r>
      <rPr>
        <sz val="9"/>
        <color rgb="FF000000"/>
        <rFont val="Scotia"/>
        <family val="2"/>
      </rPr>
      <t>(6) Refer to page 57 of the Q3 2025 Quarterly Report to Shareholders, available on http://www.sedarplus.ca, for an explanation of the composition of the measure. Such explanation is incorporated by reference hereto.</t>
    </r>
  </si>
  <si>
    <r>
      <rPr>
        <sz val="9"/>
        <color rgb="FF000000"/>
        <rFont val="Scotia"/>
        <family val="2"/>
      </rPr>
      <t>(7) Provision for credit losses on certain financial assets - loans, acceptances and off-balance sheet exposures.</t>
    </r>
  </si>
  <si>
    <r>
      <rPr>
        <b/>
        <sz val="14"/>
        <color rgb="FFFFFFFF"/>
        <rFont val="Scotia"/>
        <family val="2"/>
      </rPr>
      <t>Appendix 2: International Banking by Region — Caribbean</t>
    </r>
  </si>
  <si>
    <r>
      <rPr>
        <b/>
        <sz val="11"/>
        <color rgb="FFFF0000"/>
        <rFont val="Scotia"/>
        <family val="2"/>
      </rPr>
      <t>Caribbean</t>
    </r>
    <r>
      <rPr>
        <i/>
        <sz val="11"/>
        <color rgb="FFFF0000"/>
        <rFont val="Scotia"/>
        <family val="2"/>
      </rPr>
      <t xml:space="preserve"> ($ millions)</t>
    </r>
  </si>
  <si>
    <r>
      <rPr>
        <b/>
        <sz val="11"/>
        <color rgb="FF000000"/>
        <rFont val="Scotia"/>
        <family val="2"/>
      </rPr>
      <t>Net income attributable to equity holders of the Bank (NIAEH) - constant dollar basis⁽²⁾</t>
    </r>
  </si>
  <si>
    <r>
      <rPr>
        <b/>
        <sz val="11"/>
        <color rgb="FF000000"/>
        <rFont val="Scotia"/>
        <family val="2"/>
      </rPr>
      <t>Adjusted⁽¹⁾</t>
    </r>
  </si>
  <si>
    <r>
      <rPr>
        <b/>
        <sz val="11"/>
        <color rgb="FFFF0000"/>
        <rFont val="Scotia"/>
        <family val="2"/>
      </rPr>
      <t>Profitability Measurements⁽³⁾</t>
    </r>
  </si>
  <si>
    <r>
      <rPr>
        <sz val="11"/>
        <color rgb="FF000000"/>
        <rFont val="Scotia"/>
        <family val="2"/>
      </rPr>
      <t>Net interest margin⁽⁴⁾</t>
    </r>
  </si>
  <si>
    <r>
      <rPr>
        <b/>
        <sz val="11"/>
        <color rgb="FF000000"/>
        <rFont val="Scotia"/>
        <family val="2"/>
      </rPr>
      <t>Reported⁽⁵⁾</t>
    </r>
  </si>
  <si>
    <t>Provision for credit losses (PCL) as % of average net loans and acceptances⁽⁶⁾</t>
  </si>
  <si>
    <t>PCL on impaired loans as % of average net loans and acceptances⁽⁶⁾</t>
  </si>
  <si>
    <r>
      <rPr>
        <sz val="9"/>
        <color rgb="FF000000"/>
        <rFont val="Scotia"/>
        <family val="2"/>
      </rPr>
      <t xml:space="preserve">(2) Data presented on a constant FX basis. Quarterly results reflect FX rates as of Q3/25, while full-year results reflect Current Year YTD Average FX rates.  Refer to non-GAAP measures on page 11 of the Q3 2025 Quarterly Report to Shareholders, available on http://www.sedarplus.ca. </t>
    </r>
  </si>
  <si>
    <r>
      <rPr>
        <sz val="9"/>
        <color rgb="FF000000"/>
        <rFont val="Scotia"/>
        <family val="2"/>
      </rPr>
      <t>(3) Ratios are on a reported currency basis.</t>
    </r>
  </si>
  <si>
    <r>
      <rPr>
        <sz val="9"/>
        <color rgb="FF000000"/>
        <rFont val="Scotia"/>
        <family val="2"/>
      </rPr>
      <t>(4)  Refer to non-GAAP measures on page 5 of the Q3 2025 Quarterly Report to Shareholders, available on http://www.sedarplus.ca for a description of the measure. Refer to Appendix 3 of the Supplementary Financial Information Report for reconciliation.</t>
    </r>
  </si>
  <si>
    <r>
      <rPr>
        <b/>
        <sz val="14"/>
        <color rgb="FFFFFFFF"/>
        <rFont val="Scotia"/>
        <family val="2"/>
      </rPr>
      <t>Appendix 2: International Banking by Region — Central America</t>
    </r>
  </si>
  <si>
    <r>
      <rPr>
        <b/>
        <sz val="11"/>
        <color rgb="FFFF0000"/>
        <rFont val="Scotia"/>
        <family val="2"/>
      </rPr>
      <t>Central America</t>
    </r>
    <r>
      <rPr>
        <i/>
        <sz val="11"/>
        <color rgb="FFFF0000"/>
        <rFont val="Scotia"/>
        <family val="2"/>
      </rPr>
      <t xml:space="preserve"> ($ millions)</t>
    </r>
  </si>
  <si>
    <r>
      <rPr>
        <b/>
        <sz val="14"/>
        <color rgb="FFFFFFFF"/>
        <rFont val="Scotia"/>
        <family val="2"/>
      </rPr>
      <t>Appendix 3: Reconciliation of non-GAAP Financial Measures</t>
    </r>
  </si>
  <si>
    <r>
      <rPr>
        <b/>
        <sz val="9"/>
        <color rgb="FF000000"/>
        <rFont val="Scotia"/>
        <family val="2"/>
      </rPr>
      <t>Reconciliation of reported and adjusted results</t>
    </r>
  </si>
  <si>
    <r>
      <rPr>
        <b/>
        <sz val="9"/>
        <color rgb="FF000000"/>
        <rFont val="Scotia"/>
        <family val="2"/>
      </rPr>
      <t>2025</t>
    </r>
  </si>
  <si>
    <r>
      <rPr>
        <sz val="9"/>
        <color rgb="FF000000"/>
        <rFont val="Scotia"/>
        <family val="2"/>
      </rPr>
      <t>Year-To-Date</t>
    </r>
  </si>
  <si>
    <r>
      <rPr>
        <sz val="9"/>
        <color rgb="FF000000"/>
        <rFont val="Scotia"/>
        <family val="2"/>
      </rPr>
      <t>Full Year</t>
    </r>
  </si>
  <si>
    <r>
      <rPr>
        <i/>
        <sz val="9"/>
        <color rgb="FFFF0000"/>
        <rFont val="Scotia"/>
        <family val="2"/>
      </rPr>
      <t>($ millions)</t>
    </r>
  </si>
  <si>
    <r>
      <rPr>
        <b/>
        <sz val="9"/>
        <color rgb="FF000000"/>
        <rFont val="Scotia"/>
        <family val="2"/>
      </rPr>
      <t>Q3</t>
    </r>
  </si>
  <si>
    <r>
      <rPr>
        <sz val="9"/>
        <color rgb="FF000000"/>
        <rFont val="Scotia"/>
        <family val="2"/>
      </rPr>
      <t>Q2</t>
    </r>
  </si>
  <si>
    <r>
      <rPr>
        <sz val="9"/>
        <color rgb="FF000000"/>
        <rFont val="Scotia"/>
        <family val="2"/>
      </rPr>
      <t>Q1</t>
    </r>
  </si>
  <si>
    <r>
      <rPr>
        <sz val="9"/>
        <color rgb="FF000000"/>
        <rFont val="Scotia"/>
        <family val="2"/>
      </rPr>
      <t>Q4</t>
    </r>
  </si>
  <si>
    <r>
      <rPr>
        <sz val="9"/>
        <color rgb="FF000000"/>
        <rFont val="Scotia"/>
        <family val="2"/>
      </rPr>
      <t>Q3</t>
    </r>
  </si>
  <si>
    <r>
      <rPr>
        <sz val="9"/>
        <color rgb="FF000000"/>
        <rFont val="Scotia"/>
        <family val="2"/>
      </rPr>
      <t>2025</t>
    </r>
  </si>
  <si>
    <r>
      <rPr>
        <sz val="9"/>
        <color rgb="FF000000"/>
        <rFont val="Scotia"/>
        <family val="2"/>
      </rPr>
      <t>2024</t>
    </r>
  </si>
  <si>
    <r>
      <rPr>
        <b/>
        <sz val="9"/>
        <color rgb="FFFF0000"/>
        <rFont val="Scotia"/>
        <family val="2"/>
      </rPr>
      <t>Reported Results</t>
    </r>
  </si>
  <si>
    <r>
      <rPr>
        <sz val="9"/>
        <color rgb="FF231F20"/>
        <rFont val="Scotia"/>
        <family val="2"/>
      </rPr>
      <t>Net interest income</t>
    </r>
  </si>
  <si>
    <r>
      <rPr>
        <sz val="9"/>
        <color rgb="FF000000"/>
        <rFont val="Scotia"/>
        <family val="2"/>
      </rPr>
      <t>Non-interest income</t>
    </r>
  </si>
  <si>
    <r>
      <rPr>
        <b/>
        <sz val="9"/>
        <color rgb="FF231F20"/>
        <rFont val="Scotia"/>
        <family val="2"/>
      </rPr>
      <t>Total revenue</t>
    </r>
  </si>
  <si>
    <r>
      <rPr>
        <sz val="9"/>
        <color rgb="FF231F20"/>
        <rFont val="Scotia"/>
        <family val="2"/>
      </rPr>
      <t>Provision for credit losses</t>
    </r>
  </si>
  <si>
    <r>
      <rPr>
        <sz val="9"/>
        <color rgb="FF000000"/>
        <rFont val="Scotia"/>
        <family val="2"/>
      </rPr>
      <t>Non-interest expenses</t>
    </r>
  </si>
  <si>
    <r>
      <rPr>
        <sz val="9"/>
        <color rgb="FF231F20"/>
        <rFont val="Scotia"/>
        <family val="2"/>
      </rPr>
      <t>Income before taxes</t>
    </r>
  </si>
  <si>
    <r>
      <rPr>
        <sz val="9"/>
        <color rgb="FF000000"/>
        <rFont val="Scotia"/>
        <family val="2"/>
      </rPr>
      <t>Income tax expense</t>
    </r>
  </si>
  <si>
    <r>
      <rPr>
        <b/>
        <sz val="9"/>
        <color rgb="FF231F20"/>
        <rFont val="Scotia"/>
        <family val="2"/>
      </rPr>
      <t>Net income</t>
    </r>
  </si>
  <si>
    <r>
      <rPr>
        <sz val="9"/>
        <color rgb="FF231F20"/>
        <rFont val="Scotia"/>
        <family val="2"/>
      </rPr>
      <t>Net income attributable to non-controlling interests in subsidiaries (NCI)</t>
    </r>
  </si>
  <si>
    <r>
      <rPr>
        <sz val="9"/>
        <color rgb="FF231F20"/>
        <rFont val="Scotia"/>
        <family val="2"/>
      </rPr>
      <t>Net income attributable to equity holders</t>
    </r>
  </si>
  <si>
    <r>
      <rPr>
        <sz val="9"/>
        <color rgb="FF000000"/>
        <rFont val="Scotia"/>
        <family val="2"/>
      </rPr>
      <t>Net income attributable to preferred shareholders and other equity instrument holders</t>
    </r>
  </si>
  <si>
    <r>
      <rPr>
        <sz val="9"/>
        <color rgb="FF231F20"/>
        <rFont val="Scotia"/>
        <family val="2"/>
      </rPr>
      <t>Net income attributable to common shareholders</t>
    </r>
  </si>
  <si>
    <r>
      <rPr>
        <b/>
        <sz val="9"/>
        <color rgb="FFFF0000"/>
        <rFont val="Scotia"/>
        <family val="2"/>
      </rPr>
      <t>Adjustments</t>
    </r>
  </si>
  <si>
    <r>
      <rPr>
        <sz val="9"/>
        <color rgb="FF231F20"/>
        <rFont val="Scotia"/>
        <family val="2"/>
      </rPr>
      <t>Adjusting items impacting non-interest income and total revenue (Pre-tax)</t>
    </r>
  </si>
  <si>
    <r>
      <rPr>
        <sz val="9"/>
        <color rgb="FF231F20"/>
        <rFont val="Scotia"/>
        <family val="2"/>
      </rPr>
      <t>Divestitures and wind-down of operations</t>
    </r>
  </si>
  <si>
    <r>
      <rPr>
        <sz val="9"/>
        <color rgb="FF231F20"/>
        <rFont val="Scotia"/>
        <family val="2"/>
      </rPr>
      <t>Amortization of acquisition-related intangible assets</t>
    </r>
  </si>
  <si>
    <r>
      <rPr>
        <sz val="9"/>
        <color rgb="FF231F20"/>
        <rFont val="Scotia"/>
        <family val="2"/>
      </rPr>
      <t>Total non-interest income and total revenue adjusting items (Pre-tax)</t>
    </r>
  </si>
  <si>
    <r>
      <rPr>
        <sz val="9"/>
        <color rgb="FF231F20"/>
        <rFont val="Scotia"/>
        <family val="2"/>
      </rPr>
      <t>Adjusting items impacting non-interest expense (Pre-tax)</t>
    </r>
  </si>
  <si>
    <r>
      <rPr>
        <sz val="9"/>
        <color rgb="FF231F20"/>
        <rFont val="Scotia"/>
        <family val="2"/>
      </rPr>
      <t>Restructuring charge and severance provisions</t>
    </r>
  </si>
  <si>
    <r>
      <rPr>
        <sz val="9"/>
        <color rgb="FF231F20"/>
        <rFont val="Scotia"/>
        <family val="2"/>
      </rPr>
      <t>Impairment of non-financial assets</t>
    </r>
  </si>
  <si>
    <r>
      <rPr>
        <sz val="9"/>
        <color rgb="FF231F20"/>
        <rFont val="Scotia"/>
        <family val="2"/>
      </rPr>
      <t>Legal provision</t>
    </r>
  </si>
  <si>
    <r>
      <rPr>
        <sz val="9"/>
        <color rgb="FF231F20"/>
        <rFont val="Scotia"/>
        <family val="2"/>
      </rPr>
      <t>Consolidation of real estate and contract termination costs</t>
    </r>
  </si>
  <si>
    <r>
      <rPr>
        <sz val="9"/>
        <color rgb="FF231F20"/>
        <rFont val="Scotia"/>
        <family val="2"/>
      </rPr>
      <t>Total non-interest expense adjusting items (Pre-tax)</t>
    </r>
  </si>
  <si>
    <r>
      <rPr>
        <b/>
        <sz val="9"/>
        <color rgb="FF231F20"/>
        <rFont val="Scotia"/>
        <family val="2"/>
      </rPr>
      <t>Total impact of adjusting items on net income before taxes</t>
    </r>
  </si>
  <si>
    <r>
      <rPr>
        <sz val="9"/>
        <color rgb="FF231F20"/>
        <rFont val="Scotia"/>
        <family val="2"/>
      </rPr>
      <t>Impact of adjusting items on income tax expense</t>
    </r>
  </si>
  <si>
    <r>
      <rPr>
        <sz val="9"/>
        <color rgb="FF231F20"/>
        <rFont val="Scotia"/>
        <family val="2"/>
      </rPr>
      <t>Canada recovery dividend</t>
    </r>
  </si>
  <si>
    <r>
      <rPr>
        <b/>
        <sz val="9"/>
        <color rgb="FF231F20"/>
        <rFont val="Scotia"/>
        <family val="2"/>
      </rPr>
      <t>Total impact of adjusting items on income tax expense</t>
    </r>
  </si>
  <si>
    <r>
      <rPr>
        <b/>
        <sz val="9"/>
        <color rgb="FF231F20"/>
        <rFont val="Scotia"/>
        <family val="2"/>
      </rPr>
      <t>Total impact of adjusting items on net income</t>
    </r>
  </si>
  <si>
    <r>
      <rPr>
        <sz val="9"/>
        <color rgb="FF231F20"/>
        <rFont val="Scotia"/>
        <family val="2"/>
      </rPr>
      <t>Impact of adjusting items on NCI</t>
    </r>
  </si>
  <si>
    <r>
      <rPr>
        <b/>
        <sz val="9"/>
        <color rgb="FF231F20"/>
        <rFont val="Scotia"/>
        <family val="2"/>
      </rPr>
      <t>Total impact of adjusting items on net income attributable to equity holders and common shareholders</t>
    </r>
  </si>
  <si>
    <r>
      <rPr>
        <b/>
        <sz val="9"/>
        <color rgb="FFFF0000"/>
        <rFont val="Scotia"/>
        <family val="2"/>
      </rPr>
      <t>Adjusted Results</t>
    </r>
    <r>
      <rPr>
        <sz val="9"/>
        <color rgb="FFFF0000"/>
        <rFont val="Scotia"/>
        <family val="2"/>
      </rPr>
      <t xml:space="preserve"> </t>
    </r>
  </si>
  <si>
    <r>
      <rPr>
        <sz val="9"/>
        <color rgb="FF231F20"/>
        <rFont val="Scotia"/>
        <family val="2"/>
      </rPr>
      <t>Adjusted Net interest income</t>
    </r>
  </si>
  <si>
    <r>
      <rPr>
        <sz val="9"/>
        <color rgb="FF000000"/>
        <rFont val="Scotia"/>
        <family val="2"/>
      </rPr>
      <t>Adjusted Non-interest income</t>
    </r>
  </si>
  <si>
    <r>
      <rPr>
        <b/>
        <sz val="9"/>
        <color rgb="FF231F20"/>
        <rFont val="Scotia"/>
        <family val="2"/>
      </rPr>
      <t>Adjusted Total revenue</t>
    </r>
  </si>
  <si>
    <r>
      <rPr>
        <sz val="9"/>
        <color rgb="FF231F20"/>
        <rFont val="Scotia"/>
        <family val="2"/>
      </rPr>
      <t>Adjusted Provision for credit losses</t>
    </r>
  </si>
  <si>
    <r>
      <rPr>
        <sz val="9"/>
        <color rgb="FF000000"/>
        <rFont val="Scotia"/>
        <family val="2"/>
      </rPr>
      <t>Adjusted Non-interest expenses</t>
    </r>
  </si>
  <si>
    <r>
      <rPr>
        <sz val="9"/>
        <color rgb="FF231F20"/>
        <rFont val="Scotia"/>
        <family val="2"/>
      </rPr>
      <t>Adjusted Income before taxes</t>
    </r>
  </si>
  <si>
    <r>
      <rPr>
        <sz val="9"/>
        <color rgb="FF000000"/>
        <rFont val="Scotia"/>
        <family val="2"/>
      </rPr>
      <t>Adjusted Income tax expense</t>
    </r>
  </si>
  <si>
    <r>
      <rPr>
        <b/>
        <sz val="9"/>
        <color rgb="FF231F20"/>
        <rFont val="Scotia"/>
        <family val="2"/>
      </rPr>
      <t>Adjusted Net income</t>
    </r>
  </si>
  <si>
    <r>
      <rPr>
        <sz val="9"/>
        <color rgb="FF231F20"/>
        <rFont val="Scotia"/>
        <family val="2"/>
      </rPr>
      <t>Adjusted Net income attributable to NCI</t>
    </r>
  </si>
  <si>
    <r>
      <rPr>
        <sz val="9"/>
        <color rgb="FF231F20"/>
        <rFont val="Scotia"/>
        <family val="2"/>
      </rPr>
      <t>Adjusted Net income attributable to equity holders</t>
    </r>
  </si>
  <si>
    <r>
      <rPr>
        <sz val="9"/>
        <color rgb="FF231F20"/>
        <rFont val="Scotia"/>
        <family val="2"/>
      </rPr>
      <t>Adjusted Net income attributable to preferred shareholders and other equity instrument holders</t>
    </r>
  </si>
  <si>
    <r>
      <rPr>
        <sz val="9"/>
        <color rgb="FF231F20"/>
        <rFont val="Scotia"/>
        <family val="2"/>
      </rPr>
      <t>Adjusted Net income attributable to common shareholders</t>
    </r>
  </si>
  <si>
    <r>
      <rPr>
        <b/>
        <sz val="9"/>
        <color rgb="FF000000"/>
        <rFont val="Scotia"/>
        <family val="2"/>
      </rPr>
      <t>Reported and adjusted diluted earnings per common share</t>
    </r>
  </si>
  <si>
    <r>
      <rPr>
        <sz val="9"/>
        <color rgb="FF000000"/>
        <rFont val="Scotia"/>
        <family val="2"/>
      </rPr>
      <t>Foreign currency loss on redemption of subordinated additional Tier 1 capital notes</t>
    </r>
  </si>
  <si>
    <r>
      <rPr>
        <sz val="9"/>
        <color rgb="FF231F20"/>
        <rFont val="Scotia"/>
        <family val="2"/>
      </rPr>
      <t>Net income attributable to common shareholders used to calculate basic earnings per common share</t>
    </r>
  </si>
  <si>
    <r>
      <rPr>
        <sz val="9"/>
        <color rgb="FF000000"/>
        <rFont val="Scotia"/>
        <family val="2"/>
      </rPr>
      <t>Dilutive impact of share-based payment options and others</t>
    </r>
  </si>
  <si>
    <r>
      <rPr>
        <b/>
        <sz val="9"/>
        <color rgb="FF231F20"/>
        <rFont val="Scotia"/>
        <family val="2"/>
      </rPr>
      <t>Net income attributable to common shareholders (diluted)</t>
    </r>
  </si>
  <si>
    <r>
      <rPr>
        <sz val="9"/>
        <color rgb="FF231F20"/>
        <rFont val="Scotia"/>
        <family val="2"/>
      </rPr>
      <t>Weighted average number of diluted common shares outstanding (millions)</t>
    </r>
  </si>
  <si>
    <r>
      <rPr>
        <b/>
        <sz val="9"/>
        <color rgb="FF231F20"/>
        <rFont val="Scotia"/>
        <family val="2"/>
      </rPr>
      <t>Diluted earnings per common share (in dollars)</t>
    </r>
  </si>
  <si>
    <r>
      <rPr>
        <sz val="9"/>
        <color rgb="FF000000"/>
        <rFont val="Scotia"/>
        <family val="2"/>
      </rPr>
      <t>Impact of adjusting items on net income attributable to common shareholders⁽¹⁾</t>
    </r>
  </si>
  <si>
    <r>
      <rPr>
        <sz val="9"/>
        <color rgb="FF231F20"/>
        <rFont val="Scotia"/>
        <family val="2"/>
      </rPr>
      <t>Foreign currency loss on redemption of Subordinated Additional Tier 1 Capital Notes</t>
    </r>
  </si>
  <si>
    <r>
      <rPr>
        <sz val="9"/>
        <color rgb="FF231F20"/>
        <rFont val="Scotia"/>
        <family val="2"/>
      </rPr>
      <t>Adjusted net income attributable to common shareholders used to calculate adjusted basic earnings per common share</t>
    </r>
  </si>
  <si>
    <r>
      <rPr>
        <b/>
        <sz val="9"/>
        <color rgb="FF231F20"/>
        <rFont val="Scotia"/>
        <family val="2"/>
      </rPr>
      <t>Adjusted net income attributable to common shareholders (diluted)</t>
    </r>
  </si>
  <si>
    <r>
      <rPr>
        <sz val="9"/>
        <color rgb="FF000000"/>
        <rFont val="Scotia"/>
        <family val="2"/>
      </rPr>
      <t>Weighted average number of diluted common shares outstanding (millions)</t>
    </r>
  </si>
  <si>
    <r>
      <rPr>
        <sz val="9"/>
        <color rgb="FF231F20"/>
        <rFont val="Scotia"/>
        <family val="2"/>
      </rPr>
      <t>Adjusted diluted earnings per common share (in dollars)</t>
    </r>
  </si>
  <si>
    <r>
      <rPr>
        <b/>
        <sz val="9"/>
        <color rgb="FF231F20"/>
        <rFont val="Scotia"/>
        <family val="2"/>
      </rPr>
      <t>Impact of adjustments on diluted earnings per share (in dollars)</t>
    </r>
  </si>
  <si>
    <r>
      <rPr>
        <sz val="7"/>
        <color rgb="FF000000"/>
        <rFont val="Scotia"/>
        <family val="2"/>
      </rPr>
      <t>(1) Refer to non-GAAP Measures on Notes Pages 1-2 of the Supplementary Financial Information Report for the description of the adjusting items. Refer to Page 31 of the Supplementary Financial Information Report for reconciliation.</t>
    </r>
  </si>
  <si>
    <r>
      <rPr>
        <b/>
        <sz val="11"/>
        <color rgb="FF000000"/>
        <rFont val="Scotia"/>
        <family val="2"/>
      </rPr>
      <t>Return on equity reported and adjusted results by operating segment</t>
    </r>
  </si>
  <si>
    <r>
      <rPr>
        <b/>
        <sz val="11"/>
        <color rgb="FFFF0000"/>
        <rFont val="Scotia"/>
        <family val="2"/>
      </rPr>
      <t>All Bank</t>
    </r>
  </si>
  <si>
    <r>
      <rPr>
        <sz val="11"/>
        <color rgb="FF000000"/>
        <rFont val="Scotia"/>
        <family val="2"/>
      </rPr>
      <t>Total average common equity⁽¹⁾</t>
    </r>
  </si>
  <si>
    <r>
      <rPr>
        <sz val="11"/>
        <color rgb="FF000000"/>
        <rFont val="Scotia"/>
        <family val="2"/>
      </rPr>
      <t>Return on equity</t>
    </r>
  </si>
  <si>
    <r>
      <rPr>
        <b/>
        <sz val="11"/>
        <color rgb="FFFF0000"/>
        <rFont val="Scotia"/>
        <family val="2"/>
      </rPr>
      <t>Canadian Banking</t>
    </r>
  </si>
  <si>
    <r>
      <rPr>
        <b/>
        <sz val="11"/>
        <color rgb="FFFF0000"/>
        <rFont val="Scotia"/>
        <family val="2"/>
      </rPr>
      <t>International Banking</t>
    </r>
  </si>
  <si>
    <r>
      <rPr>
        <b/>
        <sz val="11"/>
        <color rgb="FFFF0000"/>
        <rFont val="Scotia"/>
        <family val="2"/>
      </rPr>
      <t>Global Wealth Management</t>
    </r>
  </si>
  <si>
    <r>
      <rPr>
        <sz val="9"/>
        <color rgb="FF000000"/>
        <rFont val="Scotia"/>
        <family val="2"/>
      </rPr>
      <t>(1) Average amounts calculated using methods intended to approximate the daily average balances for the period.</t>
    </r>
  </si>
  <si>
    <r>
      <rPr>
        <sz val="9"/>
        <color rgb="FF000000"/>
        <rFont val="Scotia"/>
        <family val="2"/>
      </rPr>
      <t>(2) Refer to non-GAAP Measures on Notes Pages 1-2 of the Supplementary Financial Information Report for the description of the adjusting items. Refer to Page 31 of the Supplementary Financial Information Report for reconciliation.</t>
    </r>
  </si>
  <si>
    <r>
      <rPr>
        <b/>
        <sz val="11"/>
        <color rgb="FF000000"/>
        <rFont val="Scotia"/>
        <family val="2"/>
      </rPr>
      <t>Net Interest Margin by operating segment</t>
    </r>
  </si>
  <si>
    <r>
      <rPr>
        <b/>
        <sz val="11"/>
        <color rgb="FF000000"/>
        <rFont val="Scotia"/>
        <family val="2"/>
      </rPr>
      <t>Average total assets</t>
    </r>
    <r>
      <rPr>
        <b/>
        <vertAlign val="superscript"/>
        <sz val="11"/>
        <color rgb="FF333333"/>
        <rFont val="Scotia"/>
        <family val="2"/>
      </rPr>
      <t>⁽¹⁾</t>
    </r>
  </si>
  <si>
    <r>
      <rPr>
        <sz val="11"/>
        <color rgb="FF000000"/>
        <rFont val="Scotia"/>
        <family val="2"/>
      </rPr>
      <t>Less: Non-earning assets</t>
    </r>
  </si>
  <si>
    <r>
      <rPr>
        <sz val="11"/>
        <color rgb="FF000000"/>
        <rFont val="Scotia"/>
        <family val="2"/>
      </rPr>
      <t>Average total earning assets</t>
    </r>
    <r>
      <rPr>
        <vertAlign val="superscript"/>
        <sz val="11"/>
        <color rgb="FF333333"/>
        <rFont val="Scotia"/>
        <family val="2"/>
      </rPr>
      <t>⁽¹⁾</t>
    </r>
  </si>
  <si>
    <r>
      <rPr>
        <sz val="11"/>
        <color rgb="FF000000"/>
        <rFont val="Scotia"/>
        <family val="2"/>
      </rPr>
      <t>Less:</t>
    </r>
  </si>
  <si>
    <r>
      <rPr>
        <sz val="11"/>
        <color rgb="FF000000"/>
        <rFont val="Scotia"/>
        <family val="2"/>
      </rPr>
      <t>Other deductions</t>
    </r>
  </si>
  <si>
    <r>
      <rPr>
        <b/>
        <sz val="11"/>
        <color rgb="FF000000"/>
        <rFont val="Scotia"/>
        <family val="2"/>
      </rPr>
      <t>Average core earning assets</t>
    </r>
    <r>
      <rPr>
        <b/>
        <vertAlign val="superscript"/>
        <sz val="11"/>
        <color rgb="FF333333"/>
        <rFont val="Scotia"/>
        <family val="2"/>
      </rPr>
      <t>⁽¹⁾</t>
    </r>
  </si>
  <si>
    <r>
      <rPr>
        <b/>
        <sz val="11"/>
        <color rgb="FF000000"/>
        <rFont val="Scotia"/>
        <family val="2"/>
      </rPr>
      <t>Net Interest Income</t>
    </r>
  </si>
  <si>
    <r>
      <rPr>
        <sz val="11"/>
        <color rgb="FF000000"/>
        <rFont val="Scotia"/>
        <family val="2"/>
      </rPr>
      <t>Less: Non-core net interest income</t>
    </r>
  </si>
  <si>
    <r>
      <rPr>
        <b/>
        <sz val="11"/>
        <color rgb="FF000000"/>
        <rFont val="Scotia"/>
        <family val="2"/>
      </rPr>
      <t>Net interest income on core earning assets</t>
    </r>
  </si>
  <si>
    <t>Net  Interest Margin (%)⁽²⁾</t>
  </si>
  <si>
    <r>
      <rPr>
        <sz val="9"/>
        <color rgb="FF000000"/>
        <rFont val="Scotia"/>
        <family val="2"/>
      </rPr>
      <t>(1) Average balances represents the average of daily balance for the period.</t>
    </r>
  </si>
  <si>
    <r>
      <rPr>
        <sz val="9"/>
        <color rgb="FF000000"/>
        <rFont val="Scotia"/>
        <family val="2"/>
      </rPr>
      <t>(2) Refer to non-GAAP measures on page 5 of the Q3 2025 Quarterly Report to Shareholders, available on http://www.sedarplus.ca for a description of the measure.</t>
    </r>
  </si>
  <si>
    <r>
      <rPr>
        <b/>
        <sz val="11"/>
        <color rgb="FF000000"/>
        <rFont val="Scotia"/>
        <family val="2"/>
      </rPr>
      <t>Net Interest Margin by International Banking Region</t>
    </r>
  </si>
  <si>
    <r>
      <rPr>
        <b/>
        <sz val="11"/>
        <color rgb="FFFF0000"/>
        <rFont val="Scotia"/>
        <family val="2"/>
      </rPr>
      <t>Latin America</t>
    </r>
  </si>
  <si>
    <r>
      <rPr>
        <sz val="11"/>
        <color rgb="FF000000"/>
        <rFont val="Scotia"/>
        <family val="2"/>
      </rPr>
      <t>Non-core net interest income</t>
    </r>
  </si>
  <si>
    <t>Net Interest Margin (%)⁽²⁾</t>
  </si>
  <si>
    <r>
      <rPr>
        <b/>
        <sz val="11"/>
        <color rgb="FFFF0000"/>
        <rFont val="Scotia"/>
        <family val="2"/>
      </rPr>
      <t>Caribbean</t>
    </r>
  </si>
  <si>
    <r>
      <rPr>
        <b/>
        <sz val="11"/>
        <color rgb="FFFF0000"/>
        <rFont val="Scotia"/>
        <family val="2"/>
      </rPr>
      <t>Central America</t>
    </r>
  </si>
  <si>
    <r>
      <rPr>
        <sz val="9"/>
        <color rgb="FF000000"/>
        <rFont val="Scotia"/>
        <family val="2"/>
      </rPr>
      <t>(1) Average balances represents the average of daily balance for the period</t>
    </r>
  </si>
  <si>
    <t xml:space="preserve">(4) Adjustments for non-interest income include net (gain)/loss on divestitures and wind-down of operations of $9 in Q2 2025, $143 in Q3 2024 and $(367) in Q4 2023, and amortization of acquisition-related intangible assets of $8 in Q3 2025 and $9 in Q2 2025. Adjustments for non-interest expenses include net (gain)/loss on divestitures and wind-down of operations of $(23) in Q3 2025, $26 in Q2 2025, $1,362 in Q1 2025, $(7) in Q3 2024, restructuring charge and severance provision of $53 and impairment of non-financial assets of $440 in Q4 2024, legal provision of $176 in Q3 2024, restructuring charge and severance provisions $354 in Q4 2023, consolidation of real estate and contract termination costs $87 in Q4 2023, and impairment of non-financial assets $346 in Q4 2023. Refer to non-GAAP Measures on Notes Pages 1-2 of the Supplementary Financial Information Report for the description of the adjusting items. </t>
  </si>
  <si>
    <t>(8) The LCR and NSFR are calculated in accordance with OSFI Guideline – Liquidity Adequacy Requirements (LAR).</t>
  </si>
  <si>
    <r>
      <rPr>
        <sz val="7"/>
        <color rgb="FF000000"/>
        <rFont val="Scotia"/>
        <family val="2"/>
      </rPr>
      <t>55-58, 100-103,</t>
    </r>
    <r>
      <rPr>
        <sz val="7"/>
        <color rgb="FF000000"/>
        <rFont val="Scotia"/>
        <family val="2"/>
      </rPr>
      <t>_x000D_</t>
    </r>
    <r>
      <rPr>
        <sz val="7"/>
        <color rgb="FF000000"/>
        <rFont val="Scotia"/>
        <family val="2"/>
      </rPr>
      <t>_x000D_</t>
    </r>
    <r>
      <rPr>
        <sz val="7"/>
        <color rgb="FF000000"/>
        <rFont val="Scotia"/>
        <family val="2"/>
      </rPr>
      <t xml:space="preserve">
1</t>
    </r>
    <r>
      <rPr>
        <sz val="7"/>
        <color rgb="FF000000"/>
        <rFont val="Scotia"/>
        <family val="2"/>
      </rPr>
      <t>16</t>
    </r>
  </si>
  <si>
    <t>54, 86-87</t>
  </si>
  <si>
    <t>42, 88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</si>
</sst>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3" formatCode="_(* #,##0.00_);_(* \(#,##0.00\);_(* &quot;-&quot;??_);_(@_)"/>
    <numFmt numFmtId="164" formatCode="* 0_);_(* \(0\);_(* &quot;-&quot;_);_(@_)"/>
    <numFmt numFmtId="165" formatCode="_(* #,##0_);_(* \(#,##0\);_(* &quot;-&quot;_);_(* @_)"/>
    <numFmt numFmtId="166" formatCode="* 0_);_(* \(0\);_(* &quot;-&quot;_);_(* @_)"/>
    <numFmt numFmtId="167" formatCode="_(* #,##0.00_);_(* \(#,##0.00\);_(* &quot;-&quot;_);_(* @_)"/>
    <numFmt numFmtId="168" formatCode="_(* #,##0.0_);_(* \(#,##0.0\);_(* &quot;-&quot;_);_(* @_)"/>
    <numFmt numFmtId="169" formatCode="_(* #,##0.0_);_(* \(#,##0.0\);_(* &quot;-&quot;_);_(@_)"/>
    <numFmt numFmtId="170" formatCode="_(* #,##0.00_);_(* \(#,##0.00\);_(* &quot;-&quot;_);_(@_)"/>
    <numFmt numFmtId="171" formatCode="#,##0;\(#,##0\);* &quot;-&quot;;@"/>
    <numFmt numFmtId="172" formatCode="#,##0.00;\(#,##0.00\);* &quot;-&quot;;@"/>
    <numFmt numFmtId="173" formatCode="_(* #,##0_);_(* \(#,##0\);_(* &quot;-&quot;??_);_(@_)"/>
    <numFmt numFmtId="174" formatCode="#,##0,,;\(#,##0,,\);* &quot;-&quot;;@"/>
    <numFmt numFmtId="175" formatCode="_(* 0_);_(* \(0\);_(* &quot;-&quot;_);* @_)"/>
    <numFmt numFmtId="176" formatCode="* #,##0_);_(* \(#,##0\);_(* &quot;-&quot;_);_(* @_)"/>
    <numFmt numFmtId="177" formatCode="* #,##0_);_(* \(#,##0\);_(* &quot;-&quot;??_);_(@_)"/>
    <numFmt numFmtId="178" formatCode="#,##0.0,,,;\(#,##0.0,,,\);* &quot;-&quot;;@"/>
    <numFmt numFmtId="179" formatCode="* #,##0_);_(* \(#,##0\);_(* &quot;-&quot;_);_(@_)"/>
    <numFmt numFmtId="180" formatCode="#,##0,,;\-#,##0,,;* &quot;-&quot;;@"/>
    <numFmt numFmtId="181" formatCode="#,##0;\-#,##0;* &quot;-&quot;;@"/>
    <numFmt numFmtId="182" formatCode="[&lt;=9999999]###\-####;###\-###\-####"/>
    <numFmt numFmtId="183" formatCode="mmmm\ d\,\ yyyy"/>
    <numFmt numFmtId="184" formatCode="0.0%"/>
    <numFmt numFmtId="185" formatCode="_(* #,##0.00_);_(* \(#,##0.0\);_(* &quot;-&quot;_);_(@_)"/>
    <numFmt numFmtId="186" formatCode="_(* #,##0.0%_);_(* \(#,##0.0%\);_(* &quot;-&quot;_);_(* @_)"/>
  </numFmts>
  <fonts count="63" x14ac:knownFonts="1">
    <font>
      <sz val="11"/>
      <color theme="1"/>
      <name val="Calibri"/>
      <family val="2"/>
      <scheme val="minor"/>
    </font>
    <font>
      <u/>
      <sz val="11"/>
      <color theme="10"/>
      <name val="Calibri"/>
      <family val="2"/>
      <scheme val="minor"/>
    </font>
    <font>
      <sz val="9"/>
      <color theme="1"/>
      <name val="Courier New"/>
      <family val="3"/>
    </font>
    <font>
      <i/>
      <sz val="9"/>
      <color rgb="FF0070C0"/>
      <name val="Courier New"/>
      <family val="3"/>
    </font>
    <font>
      <sz val="11"/>
      <color theme="1"/>
      <name val="Scotia"/>
      <family val="2"/>
    </font>
    <font>
      <sz val="60"/>
      <color rgb="FFEC101A"/>
      <name val="Scotia Headline"/>
      <family val="2"/>
    </font>
    <font>
      <sz val="48"/>
      <color rgb="FFEC101A"/>
      <name val="Scotia Headline"/>
      <family val="2"/>
    </font>
    <font>
      <sz val="36"/>
      <color rgb="FF000000"/>
      <name val="Scotia Headline"/>
      <family val="2"/>
    </font>
    <font>
      <sz val="18"/>
      <color rgb="FF000000"/>
      <name val="Scotia Headline"/>
      <family val="2"/>
    </font>
    <font>
      <sz val="12"/>
      <color rgb="FF000000"/>
      <name val="Scotia"/>
      <family val="2"/>
    </font>
    <font>
      <b/>
      <sz val="18"/>
      <color rgb="FF000000"/>
      <name val="Scotia Headline"/>
      <family val="2"/>
    </font>
    <font>
      <u/>
      <sz val="12"/>
      <color theme="10"/>
      <name val="Scotia"/>
      <family val="2"/>
    </font>
    <font>
      <b/>
      <sz val="11"/>
      <color theme="0"/>
      <name val="Scotia"/>
      <family val="2"/>
    </font>
    <font>
      <b/>
      <sz val="9"/>
      <color theme="0"/>
      <name val="Scotia"/>
      <family val="2"/>
    </font>
    <font>
      <b/>
      <sz val="11"/>
      <color rgb="FFFF0000"/>
      <name val="Scotia"/>
      <family val="2"/>
    </font>
    <font>
      <sz val="11"/>
      <color rgb="FF0000FF"/>
      <name val="Scotia"/>
      <family val="2"/>
    </font>
    <font>
      <sz val="11"/>
      <name val="Scotia"/>
      <family val="2"/>
    </font>
    <font>
      <b/>
      <sz val="11"/>
      <name val="Scotia"/>
      <family val="2"/>
    </font>
    <font>
      <sz val="11"/>
      <color theme="10"/>
      <name val="Scotia"/>
      <family val="2"/>
    </font>
    <font>
      <b/>
      <sz val="9"/>
      <color theme="1"/>
      <name val="Scotia"/>
      <family val="2"/>
    </font>
    <font>
      <sz val="9"/>
      <color theme="1"/>
      <name val="Scotia"/>
      <family val="2"/>
    </font>
    <font>
      <sz val="10"/>
      <color theme="1"/>
      <name val="Arial"/>
      <family val="2"/>
    </font>
    <font>
      <b/>
      <sz val="14"/>
      <color rgb="FFFFFFFF"/>
      <name val="Scotia"/>
      <family val="2"/>
    </font>
    <font>
      <b/>
      <sz val="11"/>
      <color rgb="FF000000"/>
      <name val="Scotia"/>
      <family val="2"/>
    </font>
    <font>
      <sz val="11"/>
      <color rgb="FF000000"/>
      <name val="Scotia"/>
      <family val="2"/>
    </font>
    <font>
      <sz val="10"/>
      <color rgb="FF000000"/>
      <name val="Scotia"/>
      <family val="2"/>
    </font>
    <font>
      <b/>
      <sz val="10"/>
      <color rgb="FF000000"/>
      <name val="Scotia"/>
      <family val="2"/>
    </font>
    <font>
      <i/>
      <sz val="10"/>
      <color rgb="FFFF0000"/>
      <name val="Scotia"/>
      <family val="2"/>
    </font>
    <font>
      <b/>
      <sz val="10"/>
      <color rgb="FFFF0000"/>
      <name val="Scotia"/>
      <family val="2"/>
    </font>
    <font>
      <b/>
      <sz val="6"/>
      <color rgb="FF000000"/>
      <name val="Scotia"/>
      <family val="2"/>
    </font>
    <font>
      <sz val="6"/>
      <color rgb="FF000000"/>
      <name val="Scotia"/>
      <family val="2"/>
    </font>
    <font>
      <sz val="7"/>
      <color rgb="FF000000"/>
      <name val="Scotia"/>
      <family val="2"/>
    </font>
    <font>
      <vertAlign val="superscript"/>
      <sz val="7"/>
      <color rgb="FF000000"/>
      <name val="Scotia"/>
      <family val="2"/>
    </font>
    <font>
      <sz val="9"/>
      <color rgb="FF000000"/>
      <name val="Scotia"/>
      <family val="2"/>
    </font>
    <font>
      <b/>
      <sz val="7"/>
      <color rgb="FF000000"/>
      <name val="Scotia"/>
      <family val="2"/>
    </font>
    <font>
      <i/>
      <sz val="11"/>
      <color rgb="FFFF0000"/>
      <name val="Scotia"/>
      <family val="2"/>
    </font>
    <font>
      <sz val="11"/>
      <color rgb="FFFFFFFF"/>
      <name val="Scotia"/>
      <family val="2"/>
    </font>
    <font>
      <sz val="10"/>
      <color rgb="FF000000"/>
      <name val="Arial"/>
      <family val="2"/>
    </font>
    <font>
      <sz val="7"/>
      <name val="Scotia"/>
      <family val="2"/>
    </font>
    <font>
      <b/>
      <i/>
      <sz val="11"/>
      <color rgb="FFFF0000"/>
      <name val="Scotia"/>
      <family val="2"/>
    </font>
    <font>
      <sz val="11"/>
      <color rgb="FF000000"/>
      <name val="Calibri"/>
      <family val="2"/>
      <scheme val="minor"/>
    </font>
    <font>
      <sz val="14"/>
      <color rgb="FF000000"/>
      <name val="Calibri"/>
      <family val="2"/>
      <scheme val="minor"/>
    </font>
    <font>
      <b/>
      <sz val="9"/>
      <color rgb="FF000000"/>
      <name val="Scotia"/>
      <family val="2"/>
    </font>
    <font>
      <sz val="11"/>
      <color rgb="FFFF0000"/>
      <name val="Scotia"/>
      <family val="2"/>
    </font>
    <font>
      <sz val="6"/>
      <name val="Scotia"/>
      <family val="2"/>
    </font>
    <font>
      <b/>
      <sz val="6"/>
      <name val="Scotia"/>
      <family val="2"/>
    </font>
    <font>
      <b/>
      <sz val="11"/>
      <color rgb="FFFFFFFF"/>
      <name val="Scotia"/>
      <family val="2"/>
    </font>
    <font>
      <b/>
      <sz val="7"/>
      <name val="Scotia"/>
      <family val="2"/>
    </font>
    <font>
      <sz val="9"/>
      <name val="Scotia"/>
      <family val="2"/>
    </font>
    <font>
      <sz val="14"/>
      <color rgb="FFFFFFFF"/>
      <name val="Scotia"/>
      <family val="2"/>
    </font>
    <font>
      <b/>
      <vertAlign val="superscript"/>
      <sz val="11"/>
      <color rgb="FF000000"/>
      <name val="Scotia"/>
      <family val="2"/>
    </font>
    <font>
      <u/>
      <sz val="11"/>
      <color rgb="FF000000"/>
      <name val="Scotia"/>
      <family val="2"/>
    </font>
    <font>
      <sz val="6"/>
      <color rgb="FF000000"/>
      <name val="Calibri"/>
      <family val="2"/>
      <scheme val="minor"/>
    </font>
    <font>
      <b/>
      <sz val="9"/>
      <name val="Scotia"/>
      <family val="2"/>
    </font>
    <font>
      <sz val="10"/>
      <color rgb="FF000000"/>
      <name val="Times New Roman"/>
      <family val="1"/>
    </font>
    <font>
      <i/>
      <sz val="9"/>
      <color rgb="FFFF0000"/>
      <name val="Scotia"/>
      <family val="2"/>
    </font>
    <font>
      <b/>
      <sz val="9"/>
      <color rgb="FFFF0000"/>
      <name val="Scotia"/>
      <family val="2"/>
    </font>
    <font>
      <sz val="9"/>
      <color rgb="FF231F20"/>
      <name val="Scotia"/>
      <family val="2"/>
    </font>
    <font>
      <b/>
      <sz val="9"/>
      <color rgb="FF231F20"/>
      <name val="Scotia"/>
      <family val="2"/>
    </font>
    <font>
      <sz val="9"/>
      <color rgb="FFFF0000"/>
      <name val="Scotia"/>
      <family val="2"/>
    </font>
    <font>
      <b/>
      <vertAlign val="superscript"/>
      <sz val="11"/>
      <color rgb="FF333333"/>
      <name val="Scotia"/>
      <family val="2"/>
    </font>
    <font>
      <vertAlign val="superscript"/>
      <sz val="11"/>
      <color rgb="FF333333"/>
      <name val="Scotia"/>
      <family val="2"/>
    </font>
    <font>
      <b/>
      <sz val="11"/>
      <color rgb="FF000000"/>
      <name val="Calibri"/>
      <family val="2"/>
      <scheme val="minor"/>
    </font>
  </fonts>
  <fills count="14">
    <fill>
      <patternFill patternType="none"/>
    </fill>
    <fill>
      <patternFill patternType="gray125"/>
    </fill>
    <fill>
      <patternFill patternType="solid">
        <fgColor rgb="FFFF0000"/>
        <bgColor indexed="64"/>
      </patternFill>
    </fill>
    <fill>
      <patternFill patternType="solid">
        <fgColor indexed="65"/>
        <bgColor indexed="64"/>
      </patternFill>
    </fill>
    <fill>
      <patternFill patternType="solid">
        <fgColor rgb="FFFFFFFF"/>
        <bgColor indexed="64"/>
      </patternFill>
    </fill>
    <fill>
      <patternFill patternType="solid">
        <fgColor rgb="FFF9F9F9"/>
        <bgColor indexed="64"/>
      </patternFill>
    </fill>
    <fill>
      <patternFill patternType="solid">
        <fgColor rgb="FFF8F8F8"/>
        <bgColor indexed="64"/>
      </patternFill>
    </fill>
    <fill>
      <patternFill patternType="solid">
        <fgColor rgb="FFFAFAFA"/>
        <bgColor indexed="64"/>
      </patternFill>
    </fill>
    <fill>
      <patternFill patternType="solid">
        <fgColor rgb="FFF7F7F7"/>
        <bgColor indexed="64"/>
      </patternFill>
    </fill>
    <fill>
      <patternFill patternType="solid">
        <fgColor rgb="FFF6F6F6"/>
        <bgColor indexed="64"/>
      </patternFill>
    </fill>
    <fill>
      <patternFill patternType="solid">
        <fgColor rgb="FFF4F4F4"/>
        <bgColor indexed="64"/>
      </patternFill>
    </fill>
    <fill>
      <patternFill patternType="solid">
        <fgColor rgb="FFF5F5F5"/>
        <bgColor indexed="64"/>
      </patternFill>
    </fill>
    <fill>
      <patternFill patternType="solid">
        <fgColor rgb="FFF3F3F3"/>
        <bgColor indexed="64"/>
      </patternFill>
    </fill>
    <fill>
      <patternFill patternType="solid">
        <fgColor rgb="FFF2F2F2"/>
        <bgColor indexed="64"/>
      </patternFill>
    </fill>
  </fills>
  <borders count="985">
    <border>
      <left/>
      <right/>
      <top/>
      <bottom/>
      <diagonal/>
    </border>
    <border>
      <left/>
      <right/>
      <top/>
      <bottom style="thin">
        <color theme="0" tint="-4.5716727195043792E-2"/>
      </bottom>
      <diagonal/>
    </border>
    <border>
      <left/>
      <right/>
      <top style="thin">
        <color theme="0" tint="-4.5716727195043792E-2"/>
      </top>
      <bottom style="thin">
        <color theme="0" tint="-4.5716727195043792E-2"/>
      </bottom>
      <diagonal/>
    </border>
    <border>
      <left/>
      <right/>
      <top/>
      <bottom style="thin">
        <color theme="0" tint="-0.13971373638111514"/>
      </bottom>
      <diagonal/>
    </border>
    <border>
      <left/>
      <right style="thin">
        <color theme="0" tint="-0.13968321787163915"/>
      </right>
      <top style="thin">
        <color theme="0" tint="-0.13971373638111514"/>
      </top>
      <bottom style="thin">
        <color theme="0" tint="-0.13971373638111514"/>
      </bottom>
      <diagonal/>
    </border>
    <border>
      <left/>
      <right/>
      <top style="thin">
        <color theme="0" tint="-0.13971373638111514"/>
      </top>
      <bottom style="thin">
        <color theme="0" tint="-0.13971373638111514"/>
      </bottom>
      <diagonal/>
    </border>
    <border>
      <left/>
      <right style="thin">
        <color theme="0" tint="-0.13971373638111514"/>
      </right>
      <top style="thin">
        <color theme="0" tint="-0.13971373638111514"/>
      </top>
      <bottom style="thin">
        <color theme="0" tint="-0.13971373638111514"/>
      </bottom>
      <diagonal/>
    </border>
    <border>
      <left style="thin">
        <color theme="0" tint="-0.13971373638111514"/>
      </left>
      <right/>
      <top style="thin">
        <color theme="0" tint="-0.13971373638111514"/>
      </top>
      <bottom style="thin">
        <color theme="0" tint="-0.13971373638111514"/>
      </bottom>
      <diagonal/>
    </border>
    <border>
      <left/>
      <right style="thin">
        <color theme="0" tint="-0.13968321787163915"/>
      </right>
      <top style="thin">
        <color theme="0" tint="-0.13971373638111514"/>
      </top>
      <bottom style="thin">
        <color theme="0" tint="-3.9735099337748346E-2"/>
      </bottom>
      <diagonal/>
    </border>
    <border>
      <left/>
      <right/>
      <top style="thin">
        <color theme="0" tint="-0.13971373638111514"/>
      </top>
      <bottom style="thin">
        <color theme="0" tint="-3.9735099337748346E-2"/>
      </bottom>
      <diagonal/>
    </border>
    <border>
      <left/>
      <right style="thin">
        <color theme="0" tint="-0.13971373638111514"/>
      </right>
      <top style="thin">
        <color theme="0" tint="-0.13971373638111514"/>
      </top>
      <bottom style="thin">
        <color theme="0" tint="-3.9735099337748346E-2"/>
      </bottom>
      <diagonal/>
    </border>
    <border>
      <left style="thin">
        <color theme="0" tint="-0.13971373638111514"/>
      </left>
      <right/>
      <top style="thin">
        <color theme="0" tint="-0.13971373638111514"/>
      </top>
      <bottom style="thin">
        <color theme="0" tint="-3.9735099337748346E-2"/>
      </bottom>
      <diagonal/>
    </border>
    <border>
      <left/>
      <right style="thin">
        <color theme="0" tint="-0.13968321787163915"/>
      </right>
      <top style="thin">
        <color theme="0" tint="-3.9735099337748346E-2"/>
      </top>
      <bottom style="thin">
        <color theme="0" tint="-3.9735099337748346E-2"/>
      </bottom>
      <diagonal/>
    </border>
    <border>
      <left/>
      <right/>
      <top style="thin">
        <color theme="0" tint="-3.9735099337748346E-2"/>
      </top>
      <bottom style="thin">
        <color theme="0" tint="-3.9735099337748346E-2"/>
      </bottom>
      <diagonal/>
    </border>
    <border>
      <left/>
      <right style="thin">
        <color theme="0" tint="-0.13971373638111514"/>
      </right>
      <top style="thin">
        <color theme="0" tint="-3.9735099337748346E-2"/>
      </top>
      <bottom style="thin">
        <color theme="0" tint="-3.9735099337748346E-2"/>
      </bottom>
      <diagonal/>
    </border>
    <border>
      <left style="thin">
        <color rgb="FFDBDBDB"/>
      </left>
      <right/>
      <top style="thin">
        <color rgb="FFF5F5F5"/>
      </top>
      <bottom style="thin">
        <color rgb="FFF5F5F5"/>
      </bottom>
      <diagonal/>
    </border>
    <border>
      <left style="thin">
        <color theme="0" tint="-0.13971373638111514"/>
      </left>
      <right/>
      <top style="thin">
        <color theme="0" tint="-3.9735099337748346E-2"/>
      </top>
      <bottom style="thin">
        <color theme="0" tint="-3.9735099337748346E-2"/>
      </bottom>
      <diagonal/>
    </border>
    <border>
      <left style="thin">
        <color rgb="FFDBDBDB"/>
      </left>
      <right/>
      <top style="thin">
        <color rgb="FFDBDBDB"/>
      </top>
      <bottom style="thin">
        <color rgb="FFDBDBDB"/>
      </bottom>
      <diagonal/>
    </border>
    <border>
      <left style="thin">
        <color rgb="FFDBDBDB"/>
      </left>
      <right/>
      <top style="thin">
        <color rgb="FFDBDBDB"/>
      </top>
      <bottom style="thin">
        <color rgb="FFF5F5F5"/>
      </bottom>
      <diagonal/>
    </border>
    <border>
      <left/>
      <right/>
      <top style="thin">
        <color rgb="FFF5F5F5"/>
      </top>
      <bottom style="thin">
        <color rgb="FFF5F5F5"/>
      </bottom>
      <diagonal/>
    </border>
    <border>
      <left/>
      <right/>
      <top style="thin">
        <color rgb="FFDBDBDB"/>
      </top>
      <bottom/>
      <diagonal/>
    </border>
    <border>
      <left/>
      <right/>
      <top/>
      <bottom style="thin">
        <color rgb="FFD9D9D9"/>
      </bottom>
      <diagonal/>
    </border>
    <border>
      <left/>
      <right/>
      <top style="thin">
        <color theme="0" tint="-0.14783165990173039"/>
      </top>
      <bottom style="thin">
        <color theme="0" tint="-0.14783165990173039"/>
      </bottom>
      <diagonal/>
    </border>
    <border>
      <left/>
      <right style="thin">
        <color rgb="FFD9D9D9"/>
      </right>
      <top style="thin">
        <color rgb="FFD9D9D9"/>
      </top>
      <bottom style="thin">
        <color rgb="FFD9D9D9"/>
      </bottom>
      <diagonal/>
    </border>
    <border>
      <left style="thin">
        <color theme="0" tint="-0.14780114139225439"/>
      </left>
      <right/>
      <top style="thin">
        <color theme="0" tint="-0.14783165990173039"/>
      </top>
      <bottom style="thin">
        <color theme="0" tint="-0.14783165990173039"/>
      </bottom>
      <diagonal/>
    </border>
    <border>
      <left style="thin">
        <color theme="0" tint="-0.1477706228827784"/>
      </left>
      <right/>
      <top style="thin">
        <color theme="0" tint="-0.14783165990173039"/>
      </top>
      <bottom style="thin">
        <color theme="0" tint="-0.14783165990173039"/>
      </bottom>
      <diagonal/>
    </border>
    <border>
      <left/>
      <right/>
      <top style="thin">
        <color rgb="FFD9D9D9"/>
      </top>
      <bottom style="thin">
        <color rgb="FFD9D9D9"/>
      </bottom>
      <diagonal/>
    </border>
    <border>
      <left style="thin">
        <color theme="0" tint="-0.14786217841120639"/>
      </left>
      <right style="thin">
        <color theme="0" tint="-0.14786217841120639"/>
      </right>
      <top style="thin">
        <color theme="0" tint="-0.14783165990173039"/>
      </top>
      <bottom style="thin">
        <color theme="0" tint="-0.14783165990173039"/>
      </bottom>
      <diagonal/>
    </border>
    <border>
      <left style="thin">
        <color rgb="FFD9D9D9"/>
      </left>
      <right style="thin">
        <color rgb="FFD9D9D9"/>
      </right>
      <top style="thin">
        <color rgb="FFD9D9D9"/>
      </top>
      <bottom style="thin">
        <color rgb="FFD9D9D9"/>
      </bottom>
      <diagonal/>
    </border>
    <border>
      <left style="thin">
        <color rgb="FFD9D9D9"/>
      </left>
      <right style="thin">
        <color rgb="FFF3F3F3"/>
      </right>
      <top style="thin">
        <color rgb="FFD9D9D9"/>
      </top>
      <bottom style="thin">
        <color rgb="FFD9D9D9"/>
      </bottom>
      <diagonal/>
    </border>
    <border>
      <left style="thin">
        <color rgb="FFF3F3F3"/>
      </left>
      <right style="thin">
        <color rgb="FFD9D9D9"/>
      </right>
      <top style="thin">
        <color rgb="FFD9D9D9"/>
      </top>
      <bottom style="thin">
        <color rgb="FFD9D9D9"/>
      </bottom>
      <diagonal/>
    </border>
    <border>
      <left style="thin">
        <color theme="0" tint="-4.7883541367839594E-2"/>
      </left>
      <right/>
      <top style="thin">
        <color theme="0" tint="-0.14783165990173039"/>
      </top>
      <bottom style="thin">
        <color theme="0" tint="-0.14783165990173039"/>
      </bottom>
      <diagonal/>
    </border>
    <border>
      <left/>
      <right style="thin">
        <color rgb="FFD9D9D9"/>
      </right>
      <top style="thin">
        <color rgb="FFD9D9D9"/>
      </top>
      <bottom/>
      <diagonal/>
    </border>
    <border>
      <left style="thin">
        <color theme="0" tint="-0.14786217841120639"/>
      </left>
      <right style="thin">
        <color theme="0" tint="-0.14786217841120639"/>
      </right>
      <top style="thin">
        <color theme="0" tint="-0.14783165990173039"/>
      </top>
      <bottom style="thin">
        <color theme="0" tint="-4.7883541367839594E-2"/>
      </bottom>
      <diagonal/>
    </border>
    <border>
      <left style="thin">
        <color rgb="FFD9D9D9"/>
      </left>
      <right style="thin">
        <color rgb="FFD9D9D9"/>
      </right>
      <top style="thin">
        <color rgb="FFD9D9D9"/>
      </top>
      <bottom style="thin">
        <color rgb="FFF3F3F3"/>
      </bottom>
      <diagonal/>
    </border>
    <border>
      <left style="thin">
        <color rgb="FFD9D9D9"/>
      </left>
      <right style="thin">
        <color rgb="FFF3F3F3"/>
      </right>
      <top style="thin">
        <color rgb="FFD9D9D9"/>
      </top>
      <bottom style="thin">
        <color rgb="FFF3F3F3"/>
      </bottom>
      <diagonal/>
    </border>
    <border>
      <left style="thin">
        <color rgb="FFF3F3F3"/>
      </left>
      <right style="thin">
        <color rgb="FFD9D9D9"/>
      </right>
      <top style="thin">
        <color rgb="FFD9D9D9"/>
      </top>
      <bottom style="thin">
        <color rgb="FFF3F3F3"/>
      </bottom>
      <diagonal/>
    </border>
    <border>
      <left/>
      <right style="thin">
        <color rgb="FFD9D9D9"/>
      </right>
      <top/>
      <bottom/>
      <diagonal/>
    </border>
    <border>
      <left style="thin">
        <color theme="0" tint="-0.14786217841120639"/>
      </left>
      <right style="thin">
        <color theme="0" tint="-0.14786217841120639"/>
      </right>
      <top style="thin">
        <color theme="0" tint="-4.7883541367839594E-2"/>
      </top>
      <bottom style="thin">
        <color theme="0" tint="-4.7883541367839594E-2"/>
      </bottom>
      <diagonal/>
    </border>
    <border>
      <left style="thin">
        <color rgb="FFD9D9D9"/>
      </left>
      <right style="thin">
        <color rgb="FFD9D9D9"/>
      </right>
      <top style="thin">
        <color rgb="FFF3F3F3"/>
      </top>
      <bottom style="thin">
        <color rgb="FFF3F3F3"/>
      </bottom>
      <diagonal/>
    </border>
    <border>
      <left style="thin">
        <color rgb="FFD9D9D9"/>
      </left>
      <right style="thin">
        <color rgb="FFF3F3F3"/>
      </right>
      <top style="thin">
        <color rgb="FFF3F3F3"/>
      </top>
      <bottom style="thin">
        <color rgb="FFF3F3F3"/>
      </bottom>
      <diagonal/>
    </border>
    <border>
      <left style="thin">
        <color rgb="FFF3F3F3"/>
      </left>
      <right style="thin">
        <color rgb="FFD9D9D9"/>
      </right>
      <top style="thin">
        <color rgb="FFF3F3F3"/>
      </top>
      <bottom style="thin">
        <color rgb="FFF3F3F3"/>
      </bottom>
      <diagonal/>
    </border>
    <border>
      <left/>
      <right style="thin">
        <color rgb="FFD9D9D9"/>
      </right>
      <top/>
      <bottom style="thin">
        <color rgb="FFD9D9D9"/>
      </bottom>
      <diagonal/>
    </border>
    <border>
      <left style="thin">
        <color theme="0" tint="-0.14786217841120639"/>
      </left>
      <right style="thin">
        <color theme="0" tint="-0.14786217841120639"/>
      </right>
      <top style="thin">
        <color theme="0" tint="-4.7883541367839594E-2"/>
      </top>
      <bottom style="thin">
        <color theme="0" tint="-0.14783165990173039"/>
      </bottom>
      <diagonal/>
    </border>
    <border>
      <left style="thin">
        <color rgb="FFD9D9D9"/>
      </left>
      <right style="thin">
        <color rgb="FFD9D9D9"/>
      </right>
      <top style="thin">
        <color rgb="FFF3F3F3"/>
      </top>
      <bottom style="thin">
        <color rgb="FFD9D9D9"/>
      </bottom>
      <diagonal/>
    </border>
    <border>
      <left style="thin">
        <color rgb="FFD9D9D9"/>
      </left>
      <right style="thin">
        <color rgb="FFF3F3F3"/>
      </right>
      <top style="thin">
        <color rgb="FFF3F3F3"/>
      </top>
      <bottom style="thin">
        <color rgb="FFD9D9D9"/>
      </bottom>
      <diagonal/>
    </border>
    <border>
      <left style="thin">
        <color rgb="FFF3F3F3"/>
      </left>
      <right style="thin">
        <color rgb="FFD9D9D9"/>
      </right>
      <top style="thin">
        <color rgb="FFF3F3F3"/>
      </top>
      <bottom style="thin">
        <color rgb="FFD9D9D9"/>
      </bottom>
      <diagonal/>
    </border>
    <border>
      <left/>
      <right style="thin">
        <color theme="0" tint="-0.14786217841120639"/>
      </right>
      <top style="thin">
        <color theme="0" tint="-0.14786217841120639"/>
      </top>
      <bottom/>
      <diagonal/>
    </border>
    <border>
      <left/>
      <right style="thin">
        <color theme="0" tint="-0.14786217841120639"/>
      </right>
      <top/>
      <bottom/>
      <diagonal/>
    </border>
    <border>
      <left/>
      <right style="thin">
        <color theme="0" tint="-0.14786217841120639"/>
      </right>
      <top/>
      <bottom style="thin">
        <color theme="0" tint="-0.14786217841120639"/>
      </bottom>
      <diagonal/>
    </border>
    <border>
      <left/>
      <right/>
      <top style="thin">
        <color rgb="FFD9D9D9"/>
      </top>
      <bottom/>
      <diagonal/>
    </border>
    <border>
      <left/>
      <right/>
      <top/>
      <bottom style="thin">
        <color theme="0" tint="-0.13312173833429974"/>
      </bottom>
      <diagonal/>
    </border>
    <border>
      <left/>
      <right style="thin">
        <color theme="0" tint="-0.13309121982482375"/>
      </right>
      <top style="thin">
        <color theme="0" tint="-0.13312173833429974"/>
      </top>
      <bottom style="thin">
        <color theme="0" tint="-0.13312173833429974"/>
      </bottom>
      <diagonal/>
    </border>
    <border>
      <left/>
      <right/>
      <top style="thin">
        <color theme="0" tint="-0.13312173833429974"/>
      </top>
      <bottom style="thin">
        <color theme="0" tint="-0.13312173833429974"/>
      </bottom>
      <diagonal/>
    </border>
    <border>
      <left/>
      <right style="thin">
        <color theme="0" tint="-0.13312173833429974"/>
      </right>
      <top style="thin">
        <color theme="0" tint="-0.13312173833429974"/>
      </top>
      <bottom style="thin">
        <color theme="0" tint="-0.13312173833429974"/>
      </bottom>
      <diagonal/>
    </border>
    <border>
      <left style="thin">
        <color theme="0" tint="-0.13312173833429974"/>
      </left>
      <right/>
      <top style="thin">
        <color theme="0" tint="-0.13312173833429974"/>
      </top>
      <bottom style="thin">
        <color theme="0" tint="-0.13312173833429974"/>
      </bottom>
      <diagonal/>
    </border>
    <border>
      <left/>
      <right style="thin">
        <color theme="0" tint="-0.13309121982482375"/>
      </right>
      <top style="thin">
        <color theme="0" tint="-0.13312173833429974"/>
      </top>
      <bottom style="thin">
        <color theme="0" tint="-3.3143101290932953E-2"/>
      </bottom>
      <diagonal/>
    </border>
    <border>
      <left/>
      <right/>
      <top style="thin">
        <color theme="0" tint="-0.13312173833429974"/>
      </top>
      <bottom style="thin">
        <color theme="0" tint="-3.3143101290932953E-2"/>
      </bottom>
      <diagonal/>
    </border>
    <border>
      <left/>
      <right style="thin">
        <color theme="0" tint="-0.13312173833429974"/>
      </right>
      <top style="thin">
        <color theme="0" tint="-0.13312173833429974"/>
      </top>
      <bottom style="thin">
        <color theme="0" tint="-3.3143101290932953E-2"/>
      </bottom>
      <diagonal/>
    </border>
    <border>
      <left style="thin">
        <color theme="0" tint="-0.13312173833429974"/>
      </left>
      <right/>
      <top style="thin">
        <color theme="0" tint="-0.13312173833429974"/>
      </top>
      <bottom style="thin">
        <color theme="0" tint="-3.3143101290932953E-2"/>
      </bottom>
      <diagonal/>
    </border>
    <border>
      <left/>
      <right style="thin">
        <color theme="0" tint="-0.13309121982482375"/>
      </right>
      <top style="thin">
        <color theme="0" tint="-3.3143101290932953E-2"/>
      </top>
      <bottom style="thin">
        <color theme="0" tint="-3.3143101290932953E-2"/>
      </bottom>
      <diagonal/>
    </border>
    <border>
      <left/>
      <right/>
      <top style="thin">
        <color theme="0" tint="-3.3143101290932953E-2"/>
      </top>
      <bottom style="thin">
        <color theme="0" tint="-3.3143101290932953E-2"/>
      </bottom>
      <diagonal/>
    </border>
    <border>
      <left/>
      <right style="thin">
        <color theme="0" tint="-0.13312173833429974"/>
      </right>
      <top style="thin">
        <color theme="0" tint="-3.3143101290932953E-2"/>
      </top>
      <bottom style="thin">
        <color theme="0" tint="-3.3143101290932953E-2"/>
      </bottom>
      <diagonal/>
    </border>
    <border>
      <left style="thin">
        <color theme="0" tint="-0.13312173833429974"/>
      </left>
      <right/>
      <top style="thin">
        <color theme="0" tint="-3.3143101290932953E-2"/>
      </top>
      <bottom style="thin">
        <color theme="0" tint="-3.3143101290932953E-2"/>
      </bottom>
      <diagonal/>
    </border>
    <border>
      <left style="thin">
        <color theme="0" tint="-0.13312173833429974"/>
      </left>
      <right/>
      <top style="thin">
        <color theme="0" tint="-0.13312173833429974"/>
      </top>
      <bottom/>
      <diagonal/>
    </border>
    <border>
      <left/>
      <right style="thin">
        <color theme="0" tint="-0.13312173833429974"/>
      </right>
      <top style="thin">
        <color theme="0" tint="-0.13312173833429974"/>
      </top>
      <bottom/>
      <diagonal/>
    </border>
    <border>
      <left/>
      <right/>
      <top style="thin">
        <color rgb="FFDDDDDD"/>
      </top>
      <bottom/>
      <diagonal/>
    </border>
    <border>
      <left style="thin">
        <color theme="0" tint="-0.13312173833429974"/>
      </left>
      <right/>
      <top/>
      <bottom/>
      <diagonal/>
    </border>
    <border>
      <left/>
      <right style="thin">
        <color theme="0" tint="-0.13312173833429974"/>
      </right>
      <top/>
      <bottom/>
      <diagonal/>
    </border>
    <border>
      <left/>
      <right style="thin">
        <color theme="0" tint="-0.13309121982482375"/>
      </right>
      <top style="thin">
        <color theme="0" tint="-3.3143101290932953E-2"/>
      </top>
      <bottom style="thin">
        <color theme="0" tint="-0.13312173833429974"/>
      </bottom>
      <diagonal/>
    </border>
    <border>
      <left/>
      <right/>
      <top style="thin">
        <color theme="0" tint="-3.3143101290932953E-2"/>
      </top>
      <bottom style="thin">
        <color theme="0" tint="-0.13312173833429974"/>
      </bottom>
      <diagonal/>
    </border>
    <border>
      <left/>
      <right style="thin">
        <color theme="0" tint="-0.13312173833429974"/>
      </right>
      <top style="thin">
        <color theme="0" tint="-3.3143101290932953E-2"/>
      </top>
      <bottom style="thin">
        <color theme="0" tint="-0.13312173833429974"/>
      </bottom>
      <diagonal/>
    </border>
    <border>
      <left style="thin">
        <color theme="0" tint="-0.13312173833429974"/>
      </left>
      <right/>
      <top style="thin">
        <color theme="0" tint="-3.3143101290932953E-2"/>
      </top>
      <bottom style="thin">
        <color theme="0" tint="-0.13312173833429974"/>
      </bottom>
      <diagonal/>
    </border>
    <border>
      <left style="thin">
        <color rgb="FFDDDDDD"/>
      </left>
      <right/>
      <top/>
      <bottom style="thin">
        <color rgb="FFDDDDDD"/>
      </bottom>
      <diagonal/>
    </border>
    <border>
      <left/>
      <right style="thin">
        <color rgb="FFDDDDDD"/>
      </right>
      <top/>
      <bottom style="thin">
        <color rgb="FFDDDDDD"/>
      </bottom>
      <diagonal/>
    </border>
    <border>
      <left/>
      <right/>
      <top/>
      <bottom style="thin">
        <color rgb="FFDDDDDD"/>
      </bottom>
      <diagonal/>
    </border>
    <border>
      <left style="thin">
        <color rgb="FFDDDDDD"/>
      </left>
      <right/>
      <top style="thin">
        <color rgb="FFDDDDDD"/>
      </top>
      <bottom/>
      <diagonal/>
    </border>
    <border>
      <left/>
      <right style="thin">
        <color rgb="FFDDDDDD"/>
      </right>
      <top style="thin">
        <color rgb="FFDDDDDD"/>
      </top>
      <bottom/>
      <diagonal/>
    </border>
    <border>
      <left style="thin">
        <color theme="0" tint="-0.13321329386272773"/>
      </left>
      <right/>
      <top style="thin">
        <color theme="0" tint="-3.3265175328836938E-2"/>
      </top>
      <bottom style="thin">
        <color theme="0" tint="-3.3265175328836938E-2"/>
      </bottom>
      <diagonal/>
    </border>
    <border>
      <left/>
      <right/>
      <top style="thin">
        <color theme="0" tint="-3.3265175328836938E-2"/>
      </top>
      <bottom style="thin">
        <color theme="0" tint="-3.3265175328836938E-2"/>
      </bottom>
      <diagonal/>
    </border>
    <border>
      <left/>
      <right style="thin">
        <color theme="0" tint="-0.13324381237220373"/>
      </right>
      <top style="thin">
        <color theme="0" tint="-3.3265175328836938E-2"/>
      </top>
      <bottom style="thin">
        <color theme="0" tint="-3.3265175328836938E-2"/>
      </bottom>
      <diagonal/>
    </border>
    <border>
      <left style="thin">
        <color theme="0" tint="-0.13324381237220373"/>
      </left>
      <right/>
      <top style="thin">
        <color theme="0" tint="-3.3265175328836938E-2"/>
      </top>
      <bottom style="thin">
        <color theme="0" tint="-3.3265175328836938E-2"/>
      </bottom>
      <diagonal/>
    </border>
    <border>
      <left style="thin">
        <color theme="0" tint="-0.13312173833429974"/>
      </left>
      <right/>
      <top/>
      <bottom style="thin">
        <color theme="0" tint="-3.7324137089144567E-2"/>
      </bottom>
      <diagonal/>
    </border>
    <border>
      <left/>
      <right style="thin">
        <color theme="0" tint="-0.13312173833429974"/>
      </right>
      <top/>
      <bottom style="thin">
        <color theme="0" tint="-3.7324137089144567E-2"/>
      </bottom>
      <diagonal/>
    </border>
    <border>
      <left/>
      <right/>
      <top/>
      <bottom style="thin">
        <color theme="0" tint="-3.7476729636524556E-2"/>
      </bottom>
      <diagonal/>
    </border>
    <border>
      <left style="thin">
        <color theme="0" tint="-0.13312173833429974"/>
      </left>
      <right/>
      <top style="thin">
        <color theme="0" tint="-3.7324137089144567E-2"/>
      </top>
      <bottom style="thin">
        <color theme="0" tint="-3.7324137089144567E-2"/>
      </bottom>
      <diagonal/>
    </border>
    <border>
      <left/>
      <right style="thin">
        <color theme="0" tint="-0.13312173833429974"/>
      </right>
      <top style="thin">
        <color theme="0" tint="-3.7324137089144567E-2"/>
      </top>
      <bottom style="thin">
        <color theme="0" tint="-3.7324137089144567E-2"/>
      </bottom>
      <diagonal/>
    </border>
    <border>
      <left/>
      <right/>
      <top style="thin">
        <color rgb="FFF5F5F5"/>
      </top>
      <bottom style="thin">
        <color rgb="FFF7F7F7"/>
      </bottom>
      <diagonal/>
    </border>
    <border>
      <left/>
      <right/>
      <top style="thin">
        <color theme="0" tint="-0.13312173833429974"/>
      </top>
      <bottom/>
      <diagonal/>
    </border>
    <border>
      <left/>
      <right style="thin">
        <color rgb="FFDDDDDD"/>
      </right>
      <top style="thin">
        <color rgb="FFF7F7F7"/>
      </top>
      <bottom style="thin">
        <color rgb="FFF7F7F7"/>
      </bottom>
      <diagonal/>
    </border>
    <border>
      <left/>
      <right/>
      <top style="thin">
        <color rgb="FFF7F7F7"/>
      </top>
      <bottom style="thin">
        <color rgb="FFF7F7F7"/>
      </bottom>
      <diagonal/>
    </border>
    <border>
      <left style="thin">
        <color rgb="FFDDDDDD"/>
      </left>
      <right/>
      <top style="thin">
        <color rgb="FFF7F7F7"/>
      </top>
      <bottom style="thin">
        <color rgb="FFF7F7F7"/>
      </bottom>
      <diagonal/>
    </border>
    <border>
      <left/>
      <right style="thin">
        <color theme="0" tint="-0.13309121982482375"/>
      </right>
      <top style="thin">
        <color theme="0" tint="-3.3234656819360942E-2"/>
      </top>
      <bottom style="thin">
        <color theme="0" tint="-3.3234656819360942E-2"/>
      </bottom>
      <diagonal/>
    </border>
    <border>
      <left/>
      <right/>
      <top style="thin">
        <color theme="0" tint="-3.3234656819360942E-2"/>
      </top>
      <bottom style="thin">
        <color theme="0" tint="-3.3234656819360942E-2"/>
      </bottom>
      <diagonal/>
    </border>
    <border>
      <left/>
      <right style="thin">
        <color theme="0" tint="-0.13312173833429974"/>
      </right>
      <top style="thin">
        <color theme="0" tint="-3.3234656819360942E-2"/>
      </top>
      <bottom style="thin">
        <color theme="0" tint="-3.3234656819360942E-2"/>
      </bottom>
      <diagonal/>
    </border>
    <border>
      <left style="thin">
        <color theme="0" tint="-0.13312173833429974"/>
      </left>
      <right/>
      <top style="thin">
        <color theme="0" tint="-3.3234656819360942E-2"/>
      </top>
      <bottom style="thin">
        <color theme="0" tint="-3.3234656819360942E-2"/>
      </bottom>
      <diagonal/>
    </border>
    <border>
      <left/>
      <right style="thin">
        <color rgb="FFDDDDDD"/>
      </right>
      <top style="thin">
        <color rgb="FFF7F7F7"/>
      </top>
      <bottom style="thin">
        <color rgb="FFDDDDDD"/>
      </bottom>
      <diagonal/>
    </border>
    <border>
      <left/>
      <right/>
      <top style="thin">
        <color rgb="FFF7F7F7"/>
      </top>
      <bottom style="thin">
        <color rgb="FFDDDDDD"/>
      </bottom>
      <diagonal/>
    </border>
    <border>
      <left style="thin">
        <color rgb="FFDDDDDD"/>
      </left>
      <right/>
      <top style="thin">
        <color rgb="FFF7F7F7"/>
      </top>
      <bottom style="thin">
        <color rgb="FFDDDDDD"/>
      </bottom>
      <diagonal/>
    </border>
    <border>
      <left style="thin">
        <color theme="0" tint="-0.13312173833429974"/>
      </left>
      <right/>
      <top/>
      <bottom style="thin">
        <color theme="0" tint="-0.13321329386272773"/>
      </bottom>
      <diagonal/>
    </border>
    <border>
      <left/>
      <right style="thin">
        <color theme="0" tint="-0.13312173833429974"/>
      </right>
      <top/>
      <bottom style="thin">
        <color theme="0" tint="-0.13321329386272773"/>
      </bottom>
      <diagonal/>
    </border>
    <border>
      <left/>
      <right/>
      <top/>
      <bottom style="thin">
        <color theme="0" tint="-0.13321329386272773"/>
      </bottom>
      <diagonal/>
    </border>
    <border>
      <left/>
      <right/>
      <top/>
      <bottom style="thin">
        <color rgb="FFE1E1E1"/>
      </bottom>
      <diagonal/>
    </border>
    <border>
      <left/>
      <right style="thin">
        <color rgb="FFDDDDDD"/>
      </right>
      <top style="thin">
        <color rgb="FFDDDDDD"/>
      </top>
      <bottom style="thin">
        <color rgb="FFDDDDDD"/>
      </bottom>
      <diagonal/>
    </border>
    <border>
      <left/>
      <right/>
      <top style="thin">
        <color rgb="FFE1E1E1"/>
      </top>
      <bottom style="thin">
        <color rgb="FFDDDDDD"/>
      </bottom>
      <diagonal/>
    </border>
    <border>
      <left/>
      <right style="thin">
        <color rgb="FFDDDDDD"/>
      </right>
      <top style="thin">
        <color rgb="FFE1E1E1"/>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E1E1E1"/>
      </left>
      <right/>
      <top style="thin">
        <color rgb="FFE1E1E1"/>
      </top>
      <bottom style="thin">
        <color rgb="FFDDDDDD"/>
      </bottom>
      <diagonal/>
    </border>
    <border>
      <left/>
      <right style="thin">
        <color rgb="FFE1E1E1"/>
      </right>
      <top style="thin">
        <color rgb="FFE1E1E1"/>
      </top>
      <bottom style="thin">
        <color rgb="FFDDDDDD"/>
      </bottom>
      <diagonal/>
    </border>
    <border>
      <left style="thin">
        <color theme="0" tint="-0.11810663167210914"/>
      </left>
      <right/>
      <top style="thin">
        <color theme="0" tint="-0.13312173833429974"/>
      </top>
      <bottom style="thin">
        <color theme="0" tint="-0.13312173833429974"/>
      </bottom>
      <diagonal/>
    </border>
    <border>
      <left/>
      <right style="thin">
        <color theme="0" tint="-0.11813715018158513"/>
      </right>
      <top style="thin">
        <color theme="0" tint="-0.13312173833429974"/>
      </top>
      <bottom style="thin">
        <color theme="0" tint="-0.13312173833429974"/>
      </bottom>
      <diagonal/>
    </border>
    <border>
      <left/>
      <right style="thin">
        <color rgb="FFDCDCDC"/>
      </right>
      <top style="thin">
        <color rgb="FFDDDDDD"/>
      </top>
      <bottom style="thin">
        <color rgb="FFF7F7F7"/>
      </bottom>
      <diagonal/>
    </border>
    <border>
      <left style="thin">
        <color rgb="FFDCDCDC"/>
      </left>
      <right/>
      <top style="thin">
        <color rgb="FFDCDCDC"/>
      </top>
      <bottom style="thin">
        <color rgb="FFF5F5F5"/>
      </bottom>
      <diagonal/>
    </border>
    <border>
      <left/>
      <right/>
      <top style="thin">
        <color theme="0" tint="-0.13422040467543564"/>
      </top>
      <bottom style="thin">
        <color theme="0" tint="-3.4241767632068848E-2"/>
      </bottom>
      <diagonal/>
    </border>
    <border>
      <left/>
      <right style="thin">
        <color rgb="FFDCDCDC"/>
      </right>
      <top style="thin">
        <color rgb="FFDCDCDC"/>
      </top>
      <bottom style="thin">
        <color rgb="FFF5F5F5"/>
      </bottom>
      <diagonal/>
    </border>
    <border>
      <left style="thin">
        <color theme="0" tint="-0.11810663167210914"/>
      </left>
      <right/>
      <top style="thin">
        <color theme="0" tint="-0.13312173833429974"/>
      </top>
      <bottom style="thin">
        <color theme="0" tint="-3.3143101290932953E-2"/>
      </bottom>
      <diagonal/>
    </border>
    <border>
      <left/>
      <right style="thin">
        <color theme="0" tint="-0.11813715018158513"/>
      </right>
      <top style="thin">
        <color theme="0" tint="-0.13312173833429974"/>
      </top>
      <bottom style="thin">
        <color theme="0" tint="-3.3143101290932953E-2"/>
      </bottom>
      <diagonal/>
    </border>
    <border>
      <left style="thin">
        <color theme="0" tint="-0.11810663167210914"/>
      </left>
      <right/>
      <top style="thin">
        <color theme="0" tint="-3.3143101290932953E-2"/>
      </top>
      <bottom style="thin">
        <color theme="0" tint="-3.3143101290932953E-2"/>
      </bottom>
      <diagonal/>
    </border>
    <border>
      <left/>
      <right style="thin">
        <color theme="0" tint="-0.11813715018158513"/>
      </right>
      <top style="thin">
        <color theme="0" tint="-3.3143101290932953E-2"/>
      </top>
      <bottom style="thin">
        <color theme="0" tint="-3.3143101290932953E-2"/>
      </bottom>
      <diagonal/>
    </border>
    <border>
      <left style="thin">
        <color theme="0" tint="-0.11810663167210914"/>
      </left>
      <right/>
      <top style="thin">
        <color theme="0" tint="-3.3143101290932953E-2"/>
      </top>
      <bottom style="thin">
        <color theme="0" tint="-0.13312173833429974"/>
      </bottom>
      <diagonal/>
    </border>
    <border>
      <left/>
      <right style="thin">
        <color theme="0" tint="-0.11813715018158513"/>
      </right>
      <top style="thin">
        <color theme="0" tint="-3.3143101290932953E-2"/>
      </top>
      <bottom style="thin">
        <color theme="0" tint="-0.13312173833429974"/>
      </bottom>
      <diagonal/>
    </border>
    <border>
      <left/>
      <right style="thin">
        <color rgb="FFDDDDDD"/>
      </right>
      <top style="thin">
        <color rgb="FFDDDDDD"/>
      </top>
      <bottom style="thin">
        <color rgb="FFF7F7F7"/>
      </bottom>
      <diagonal/>
    </border>
    <border>
      <left style="thin">
        <color theme="0" tint="-0.11810663167210914"/>
      </left>
      <right/>
      <top style="thin">
        <color theme="0" tint="-0.13312173833429974"/>
      </top>
      <bottom/>
      <diagonal/>
    </border>
    <border>
      <left/>
      <right style="thin">
        <color theme="0" tint="-0.11813715018158513"/>
      </right>
      <top style="thin">
        <color theme="0" tint="-0.13312173833429974"/>
      </top>
      <bottom/>
      <diagonal/>
    </border>
    <border>
      <left style="thin">
        <color theme="0" tint="-0.11810663167210914"/>
      </left>
      <right/>
      <top/>
      <bottom/>
      <diagonal/>
    </border>
    <border>
      <left/>
      <right style="thin">
        <color theme="0" tint="-0.11813715018158513"/>
      </right>
      <top/>
      <bottom/>
      <diagonal/>
    </border>
    <border>
      <left style="thin">
        <color theme="0" tint="-0.11810663167210914"/>
      </left>
      <right/>
      <top/>
      <bottom style="thin">
        <color theme="0" tint="-0.13321329386272773"/>
      </bottom>
      <diagonal/>
    </border>
    <border>
      <left/>
      <right style="thin">
        <color theme="0" tint="-0.11813715018158513"/>
      </right>
      <top/>
      <bottom style="thin">
        <color theme="0" tint="-0.13312173833429974"/>
      </bottom>
      <diagonal/>
    </border>
    <border>
      <left/>
      <right style="thin">
        <color theme="0" tint="-0.11813715018158513"/>
      </right>
      <top/>
      <bottom style="thin">
        <color theme="0" tint="-0.13321329386272773"/>
      </bottom>
      <diagonal/>
    </border>
    <border>
      <left style="thin">
        <color theme="0" tint="-0.13321329386272773"/>
      </left>
      <right/>
      <top style="thin">
        <color theme="0" tint="-0.13321329386272773"/>
      </top>
      <bottom style="thin">
        <color theme="0" tint="-3.3234656819360942E-2"/>
      </bottom>
      <diagonal/>
    </border>
    <border>
      <left/>
      <right/>
      <top style="thin">
        <color theme="0" tint="-0.13321329386272773"/>
      </top>
      <bottom style="thin">
        <color theme="0" tint="-3.3234656819360942E-2"/>
      </bottom>
      <diagonal/>
    </border>
    <border>
      <left/>
      <right style="thin">
        <color theme="0" tint="-0.13321329386272773"/>
      </right>
      <top style="thin">
        <color theme="0" tint="-0.13321329386272773"/>
      </top>
      <bottom style="thin">
        <color theme="0" tint="-3.3234656819360942E-2"/>
      </bottom>
      <diagonal/>
    </border>
    <border>
      <left style="thin">
        <color theme="0" tint="-0.13321329386272773"/>
      </left>
      <right/>
      <top style="thin">
        <color theme="0" tint="-3.3234656819360942E-2"/>
      </top>
      <bottom style="thin">
        <color theme="0" tint="-3.3234656819360942E-2"/>
      </bottom>
      <diagonal/>
    </border>
    <border>
      <left/>
      <right style="thin">
        <color theme="0" tint="-0.13321329386272773"/>
      </right>
      <top style="thin">
        <color theme="0" tint="-3.3234656819360942E-2"/>
      </top>
      <bottom style="thin">
        <color theme="0" tint="-3.3234656819360942E-2"/>
      </bottom>
      <diagonal/>
    </border>
    <border>
      <left/>
      <right/>
      <top/>
      <bottom style="thin">
        <color theme="0" tint="-0.14069032868434705"/>
      </bottom>
      <diagonal/>
    </border>
    <border>
      <left/>
      <right style="thin">
        <color theme="0" tint="-0.14065981017487106"/>
      </right>
      <top style="thin">
        <color theme="0" tint="-0.14069032868434705"/>
      </top>
      <bottom style="thin">
        <color theme="0" tint="-0.14069032868434705"/>
      </bottom>
      <diagonal/>
    </border>
    <border>
      <left/>
      <right/>
      <top style="thin">
        <color theme="0" tint="-0.14069032868434705"/>
      </top>
      <bottom style="thin">
        <color theme="0" tint="-0.14069032868434705"/>
      </bottom>
      <diagonal/>
    </border>
    <border>
      <left/>
      <right style="thin">
        <color theme="0" tint="-0.14062929166539506"/>
      </right>
      <top style="thin">
        <color theme="0" tint="-0.14069032868434705"/>
      </top>
      <bottom style="thin">
        <color theme="0" tint="-0.14069032868434705"/>
      </bottom>
      <diagonal/>
    </border>
    <border>
      <left/>
      <right style="thin">
        <color rgb="FFDBDBDB"/>
      </right>
      <top style="thin">
        <color rgb="FFDBDBDB"/>
      </top>
      <bottom style="thin">
        <color rgb="FFDBDBDB"/>
      </bottom>
      <diagonal/>
    </border>
    <border>
      <left style="thin">
        <color theme="0" tint="-0.14062929166539506"/>
      </left>
      <right/>
      <top style="thin">
        <color theme="0" tint="-0.14069032868434705"/>
      </top>
      <bottom style="thin">
        <color theme="0" tint="-0.14069032868434705"/>
      </bottom>
      <diagonal/>
    </border>
    <border>
      <left style="thin">
        <color theme="0" tint="-0.14065981017487106"/>
      </left>
      <right/>
      <top style="thin">
        <color theme="0" tint="-0.14069032868434705"/>
      </top>
      <bottom style="thin">
        <color theme="0" tint="-0.14069032868434705"/>
      </bottom>
      <diagonal/>
    </border>
    <border>
      <left/>
      <right style="thin">
        <color theme="0" tint="-0.14065981017487106"/>
      </right>
      <top style="thin">
        <color theme="0" tint="-0.14069032868434705"/>
      </top>
      <bottom style="thin">
        <color theme="0" tint="-4.0711691640980256E-2"/>
      </bottom>
      <diagonal/>
    </border>
    <border>
      <left/>
      <right/>
      <top style="thin">
        <color theme="0" tint="-0.14069032868434705"/>
      </top>
      <bottom style="thin">
        <color theme="0" tint="-4.0711691640980256E-2"/>
      </bottom>
      <diagonal/>
    </border>
    <border>
      <left/>
      <right style="thin">
        <color theme="0" tint="-0.14062929166539506"/>
      </right>
      <top style="thin">
        <color theme="0" tint="-0.14069032868434705"/>
      </top>
      <bottom style="thin">
        <color theme="0" tint="-4.0711691640980256E-2"/>
      </bottom>
      <diagonal/>
    </border>
    <border>
      <left/>
      <right style="thin">
        <color rgb="FFDBDBDB"/>
      </right>
      <top style="thin">
        <color rgb="FFDBDBDB"/>
      </top>
      <bottom style="thin">
        <color rgb="FFF5F5F5"/>
      </bottom>
      <diagonal/>
    </border>
    <border>
      <left style="thin">
        <color theme="0" tint="-0.14062929166539506"/>
      </left>
      <right/>
      <top style="thin">
        <color theme="0" tint="-0.14069032868434705"/>
      </top>
      <bottom style="thin">
        <color theme="0" tint="-4.0711691640980256E-2"/>
      </bottom>
      <diagonal/>
    </border>
    <border>
      <left style="thin">
        <color theme="0" tint="-0.14065981017487106"/>
      </left>
      <right/>
      <top style="thin">
        <color theme="0" tint="-0.14069032868434705"/>
      </top>
      <bottom style="thin">
        <color theme="0" tint="-4.0711691640980256E-2"/>
      </bottom>
      <diagonal/>
    </border>
    <border>
      <left/>
      <right style="thin">
        <color theme="0" tint="-0.14065981017487106"/>
      </right>
      <top style="thin">
        <color theme="0" tint="-4.0711691640980256E-2"/>
      </top>
      <bottom style="thin">
        <color theme="0" tint="-4.0711691640980256E-2"/>
      </bottom>
      <diagonal/>
    </border>
    <border>
      <left/>
      <right/>
      <top style="thin">
        <color theme="0" tint="-4.0711691640980256E-2"/>
      </top>
      <bottom style="thin">
        <color theme="0" tint="-4.0711691640980256E-2"/>
      </bottom>
      <diagonal/>
    </border>
    <border>
      <left/>
      <right style="thin">
        <color theme="0" tint="-0.14062929166539506"/>
      </right>
      <top style="thin">
        <color theme="0" tint="-4.0711691640980256E-2"/>
      </top>
      <bottom style="thin">
        <color theme="0" tint="-4.0711691640980256E-2"/>
      </bottom>
      <diagonal/>
    </border>
    <border>
      <left style="thin">
        <color theme="0" tint="-0.14069032868434705"/>
      </left>
      <right/>
      <top style="thin">
        <color theme="0" tint="-4.0742210150456253E-2"/>
      </top>
      <bottom style="thin">
        <color theme="0" tint="-4.0742210150456253E-2"/>
      </bottom>
      <diagonal/>
    </border>
    <border>
      <left/>
      <right/>
      <top style="thin">
        <color theme="0" tint="-4.0742210150456253E-2"/>
      </top>
      <bottom style="thin">
        <color theme="0" tint="-4.0742210150456253E-2"/>
      </bottom>
      <diagonal/>
    </border>
    <border>
      <left/>
      <right style="thin">
        <color theme="0" tint="-0.14065981017487106"/>
      </right>
      <top style="thin">
        <color theme="0" tint="-4.0742210150456253E-2"/>
      </top>
      <bottom style="thin">
        <color theme="0" tint="-4.0742210150456253E-2"/>
      </bottom>
      <diagonal/>
    </border>
    <border>
      <left style="thin">
        <color theme="0" tint="-0.14062929166539506"/>
      </left>
      <right/>
      <top style="thin">
        <color theme="0" tint="-4.0711691640980256E-2"/>
      </top>
      <bottom style="thin">
        <color theme="0" tint="-4.0711691640980256E-2"/>
      </bottom>
      <diagonal/>
    </border>
    <border>
      <left style="thin">
        <color theme="0" tint="-0.14065981017487106"/>
      </left>
      <right/>
      <top style="thin">
        <color theme="0" tint="-4.0711691640980256E-2"/>
      </top>
      <bottom style="thin">
        <color theme="0" tint="-4.0711691640980256E-2"/>
      </bottom>
      <diagonal/>
    </border>
    <border>
      <left/>
      <right style="thin">
        <color rgb="FFDBDBDB"/>
      </right>
      <top style="thin">
        <color rgb="FFF5F5F5"/>
      </top>
      <bottom style="thin">
        <color rgb="FFF5F5F5"/>
      </bottom>
      <diagonal/>
    </border>
    <border>
      <left/>
      <right style="thin">
        <color theme="0" tint="-0.14065981017487106"/>
      </right>
      <top style="thin">
        <color theme="0" tint="-4.0711691640980256E-2"/>
      </top>
      <bottom style="thin">
        <color theme="0" tint="-0.14069032868434705"/>
      </bottom>
      <diagonal/>
    </border>
    <border>
      <left/>
      <right/>
      <top style="thin">
        <color theme="0" tint="-4.0711691640980256E-2"/>
      </top>
      <bottom style="thin">
        <color theme="0" tint="-0.14069032868434705"/>
      </bottom>
      <diagonal/>
    </border>
    <border>
      <left/>
      <right style="thin">
        <color theme="0" tint="-0.14062929166539506"/>
      </right>
      <top style="thin">
        <color theme="0" tint="-4.0711691640980256E-2"/>
      </top>
      <bottom style="thin">
        <color theme="0" tint="-0.14069032868434705"/>
      </bottom>
      <diagonal/>
    </border>
    <border>
      <left style="thin">
        <color rgb="FFDBDBDB"/>
      </left>
      <right/>
      <top style="thin">
        <color rgb="FFF5F5F5"/>
      </top>
      <bottom style="thin">
        <color rgb="FFDBDBDB"/>
      </bottom>
      <diagonal/>
    </border>
    <border>
      <left/>
      <right style="thin">
        <color rgb="FFDBDBDB"/>
      </right>
      <top style="thin">
        <color rgb="FFF5F5F5"/>
      </top>
      <bottom style="thin">
        <color rgb="FFDBDBDB"/>
      </bottom>
      <diagonal/>
    </border>
    <border>
      <left style="thin">
        <color theme="0" tint="-0.14062929166539506"/>
      </left>
      <right/>
      <top style="thin">
        <color theme="0" tint="-4.0711691640980256E-2"/>
      </top>
      <bottom style="thin">
        <color theme="0" tint="-0.14069032868434705"/>
      </bottom>
      <diagonal/>
    </border>
    <border>
      <left style="thin">
        <color theme="0" tint="-0.14065981017487106"/>
      </left>
      <right/>
      <top style="thin">
        <color theme="0" tint="-4.0711691640980256E-2"/>
      </top>
      <bottom style="thin">
        <color theme="0" tint="-0.14069032868434705"/>
      </bottom>
      <diagonal/>
    </border>
    <border>
      <left style="thin">
        <color theme="0" tint="-0.14069032868434705"/>
      </left>
      <right/>
      <top style="thin">
        <color theme="0" tint="-4.0742210150456253E-2"/>
      </top>
      <bottom style="thin">
        <color theme="0" tint="-0.14072084719382305"/>
      </bottom>
      <diagonal/>
    </border>
    <border>
      <left/>
      <right/>
      <top style="thin">
        <color theme="0" tint="-4.0742210150456253E-2"/>
      </top>
      <bottom style="thin">
        <color theme="0" tint="-0.14072084719382305"/>
      </bottom>
      <diagonal/>
    </border>
    <border>
      <left/>
      <right style="thin">
        <color theme="0" tint="-0.14065981017487106"/>
      </right>
      <top style="thin">
        <color theme="0" tint="-4.0742210150456253E-2"/>
      </top>
      <bottom style="thin">
        <color theme="0" tint="-0.14072084719382305"/>
      </bottom>
      <diagonal/>
    </border>
    <border>
      <left style="thin">
        <color theme="0" tint="-0.14069032868434705"/>
      </left>
      <right/>
      <top style="thin">
        <color theme="0" tint="-0.14072084719382305"/>
      </top>
      <bottom style="thin">
        <color theme="0" tint="-4.0742210150456253E-2"/>
      </bottom>
      <diagonal/>
    </border>
    <border>
      <left/>
      <right/>
      <top style="thin">
        <color theme="0" tint="-0.14072084719382305"/>
      </top>
      <bottom style="thin">
        <color theme="0" tint="-4.0742210150456253E-2"/>
      </bottom>
      <diagonal/>
    </border>
    <border>
      <left/>
      <right style="thin">
        <color theme="0" tint="-0.14065981017487106"/>
      </right>
      <top style="thin">
        <color theme="0" tint="-0.14072084719382305"/>
      </top>
      <bottom style="thin">
        <color theme="0" tint="-4.0742210150456253E-2"/>
      </bottom>
      <diagonal/>
    </border>
    <border>
      <left/>
      <right/>
      <top style="thin">
        <color rgb="FFF5F5F5"/>
      </top>
      <bottom style="thin">
        <color rgb="FFDBDBDB"/>
      </bottom>
      <diagonal/>
    </border>
    <border>
      <left style="thin">
        <color rgb="FFDADADA"/>
      </left>
      <right/>
      <top style="thin">
        <color rgb="FFF4F4F4"/>
      </top>
      <bottom style="thin">
        <color rgb="FFDADADA"/>
      </bottom>
      <diagonal/>
    </border>
    <border>
      <left/>
      <right/>
      <top style="thin">
        <color rgb="FFF4F4F4"/>
      </top>
      <bottom style="thin">
        <color rgb="FFDADADA"/>
      </bottom>
      <diagonal/>
    </border>
    <border>
      <left/>
      <right style="thin">
        <color rgb="FFDADADA"/>
      </right>
      <top style="thin">
        <color rgb="FFF4F4F4"/>
      </top>
      <bottom style="thin">
        <color rgb="FFDADADA"/>
      </bottom>
      <diagonal/>
    </border>
    <border>
      <left/>
      <right style="thin">
        <color theme="0" tint="-0.14065981017487106"/>
      </right>
      <top style="thin">
        <color theme="0" tint="-0.14087343974120303"/>
      </top>
      <bottom style="thin">
        <color theme="0" tint="-0.14087343974120303"/>
      </bottom>
      <diagonal/>
    </border>
    <border>
      <left/>
      <right/>
      <top style="thin">
        <color theme="0" tint="-0.14087343974120303"/>
      </top>
      <bottom style="thin">
        <color theme="0" tint="-0.14087343974120303"/>
      </bottom>
      <diagonal/>
    </border>
    <border>
      <left/>
      <right style="thin">
        <color theme="0" tint="-0.14062929166539506"/>
      </right>
      <top style="thin">
        <color theme="0" tint="-0.14087343974120303"/>
      </top>
      <bottom style="thin">
        <color theme="0" tint="-0.14087343974120303"/>
      </bottom>
      <diagonal/>
    </border>
    <border>
      <left style="thin">
        <color theme="0" tint="-0.14062929166539506"/>
      </left>
      <right/>
      <top style="thin">
        <color theme="0" tint="-0.14087343974120303"/>
      </top>
      <bottom style="thin">
        <color theme="0" tint="-0.14087343974120303"/>
      </bottom>
      <diagonal/>
    </border>
    <border>
      <left style="thin">
        <color theme="0" tint="-0.14065981017487106"/>
      </left>
      <right/>
      <top style="thin">
        <color theme="0" tint="-0.14087343974120303"/>
      </top>
      <bottom style="thin">
        <color theme="0" tint="-0.14087343974120303"/>
      </bottom>
      <diagonal/>
    </border>
    <border>
      <left style="thin">
        <color theme="0" tint="-0.14065981017487106"/>
      </left>
      <right/>
      <top style="thin">
        <color theme="0" tint="-0.14087343974120303"/>
      </top>
      <bottom/>
      <diagonal/>
    </border>
    <border>
      <left/>
      <right style="thin">
        <color theme="0" tint="-0.14062929166539506"/>
      </right>
      <top style="thin">
        <color theme="0" tint="-0.14087343974120303"/>
      </top>
      <bottom/>
      <diagonal/>
    </border>
    <border>
      <left/>
      <right/>
      <top style="thin">
        <color theme="0" tint="-0.14087343974120303"/>
      </top>
      <bottom/>
      <diagonal/>
    </border>
    <border>
      <left style="thin">
        <color theme="0" tint="-0.14065981017487106"/>
      </left>
      <right/>
      <top/>
      <bottom/>
      <diagonal/>
    </border>
    <border>
      <left/>
      <right style="thin">
        <color theme="0" tint="-0.14062929166539506"/>
      </right>
      <top/>
      <bottom/>
      <diagonal/>
    </border>
    <border>
      <left style="thin">
        <color theme="0" tint="-0.14065981017487106"/>
      </left>
      <right/>
      <top/>
      <bottom style="thin">
        <color theme="0" tint="-0.14069032868434705"/>
      </bottom>
      <diagonal/>
    </border>
    <border>
      <left/>
      <right style="thin">
        <color theme="0" tint="-0.14062929166539506"/>
      </right>
      <top/>
      <bottom style="thin">
        <color theme="0" tint="-0.14069032868434705"/>
      </bottom>
      <diagonal/>
    </border>
    <border>
      <left/>
      <right/>
      <top/>
      <bottom style="thin">
        <color theme="0" tint="-0.12988677632984405"/>
      </bottom>
      <diagonal/>
    </border>
    <border>
      <left/>
      <right style="thin">
        <color theme="0" tint="-0.12988677632984405"/>
      </right>
      <top style="thin">
        <color theme="0" tint="-0.12988677632984405"/>
      </top>
      <bottom style="thin">
        <color theme="0" tint="-0.12988677632984405"/>
      </bottom>
      <diagonal/>
    </border>
    <border>
      <left/>
      <right/>
      <top style="thin">
        <color theme="0" tint="-0.12988677632984405"/>
      </top>
      <bottom style="thin">
        <color theme="0" tint="-0.12988677632984405"/>
      </bottom>
      <diagonal/>
    </border>
    <border>
      <left style="thin">
        <color theme="0" tint="-0.12988677632984405"/>
      </left>
      <right/>
      <top style="thin">
        <color theme="0" tint="-0.12988677632984405"/>
      </top>
      <bottom style="thin">
        <color theme="0" tint="-0.12988677632984405"/>
      </bottom>
      <diagonal/>
    </border>
    <border>
      <left/>
      <right style="thin">
        <color theme="0" tint="-0.12985625782036805"/>
      </right>
      <top style="thin">
        <color theme="0" tint="-0.12988677632984405"/>
      </top>
      <bottom style="thin">
        <color theme="0" tint="-0.12988677632984405"/>
      </bottom>
      <diagonal/>
    </border>
    <border>
      <left/>
      <right style="thin">
        <color rgb="FFDEDEDE"/>
      </right>
      <top style="thin">
        <color rgb="FFDEDEDE"/>
      </top>
      <bottom style="thin">
        <color rgb="FFF8F8F8"/>
      </bottom>
      <diagonal/>
    </border>
    <border>
      <left/>
      <right/>
      <top style="thin">
        <color rgb="FFDEDEDE"/>
      </top>
      <bottom style="thin">
        <color rgb="FFF8F8F8"/>
      </bottom>
      <diagonal/>
    </border>
    <border>
      <left style="thin">
        <color rgb="FFDEDEDE"/>
      </left>
      <right/>
      <top style="thin">
        <color rgb="FFDEDEDE"/>
      </top>
      <bottom style="thin">
        <color rgb="FFF8F8F8"/>
      </bottom>
      <diagonal/>
    </border>
    <border>
      <left/>
      <right style="thin">
        <color theme="0" tint="-0.12988677632984405"/>
      </right>
      <top style="thin">
        <color theme="0" tint="-2.9145176549577319E-2"/>
      </top>
      <bottom style="thin">
        <color theme="0" tint="-2.9145176549577319E-2"/>
      </bottom>
      <diagonal/>
    </border>
    <border>
      <left/>
      <right/>
      <top style="thin">
        <color theme="0" tint="-2.9145176549577319E-2"/>
      </top>
      <bottom style="thin">
        <color theme="0" tint="-2.9145176549577319E-2"/>
      </bottom>
      <diagonal/>
    </border>
    <border>
      <left style="thin">
        <color theme="0" tint="-0.12997833185827204"/>
      </left>
      <right/>
      <top style="thin">
        <color theme="0" tint="-2.9267250587481308E-2"/>
      </top>
      <bottom style="thin">
        <color theme="0" tint="-2.9267250587481308E-2"/>
      </bottom>
      <diagonal/>
    </border>
    <border>
      <left/>
      <right/>
      <top style="thin">
        <color theme="0" tint="-2.9267250587481308E-2"/>
      </top>
      <bottom style="thin">
        <color theme="0" tint="-2.9267250587481308E-2"/>
      </bottom>
      <diagonal/>
    </border>
    <border>
      <left/>
      <right style="thin">
        <color theme="0" tint="-0.12997833185827204"/>
      </right>
      <top style="thin">
        <color theme="0" tint="-2.9267250587481308E-2"/>
      </top>
      <bottom style="thin">
        <color theme="0" tint="-2.9267250587481308E-2"/>
      </bottom>
      <diagonal/>
    </border>
    <border>
      <left style="thin">
        <color theme="0" tint="-0.12988677632984405"/>
      </left>
      <right/>
      <top style="thin">
        <color theme="0" tint="-2.9145176549577319E-2"/>
      </top>
      <bottom style="thin">
        <color theme="0" tint="-2.9145176549577319E-2"/>
      </bottom>
      <diagonal/>
    </border>
    <border>
      <left/>
      <right style="thin">
        <color theme="0" tint="-0.12985625782036805"/>
      </right>
      <top style="thin">
        <color theme="0" tint="-2.9145176549577319E-2"/>
      </top>
      <bottom style="thin">
        <color theme="0" tint="-2.9145176549577319E-2"/>
      </bottom>
      <diagonal/>
    </border>
    <border>
      <left/>
      <right style="thin">
        <color theme="0" tint="-0.13367107150486771"/>
      </right>
      <top style="thin">
        <color theme="0" tint="-3.3722952970976897E-2"/>
      </top>
      <bottom style="thin">
        <color theme="0" tint="-3.3722952970976897E-2"/>
      </bottom>
      <diagonal/>
    </border>
    <border>
      <left/>
      <right style="thin">
        <color rgb="FFDEDEDE"/>
      </right>
      <top style="thin">
        <color rgb="FFF8F8F8"/>
      </top>
      <bottom style="thin">
        <color rgb="FFF8F8F8"/>
      </bottom>
      <diagonal/>
    </border>
    <border>
      <left/>
      <right/>
      <top style="thin">
        <color rgb="FFF8F8F8"/>
      </top>
      <bottom style="thin">
        <color rgb="FFF8F8F8"/>
      </bottom>
      <diagonal/>
    </border>
    <border>
      <left style="thin">
        <color rgb="FFDEDEDE"/>
      </left>
      <right/>
      <top style="thin">
        <color rgb="FFF8F8F8"/>
      </top>
      <bottom style="thin">
        <color rgb="FFF8F8F8"/>
      </bottom>
      <diagonal/>
    </border>
    <border>
      <left/>
      <right style="thin">
        <color rgb="FFDEDEDE"/>
      </right>
      <top style="thin">
        <color rgb="FFF8F8F8"/>
      </top>
      <bottom style="thin">
        <color rgb="FFDEDEDE"/>
      </bottom>
      <diagonal/>
    </border>
    <border>
      <left/>
      <right/>
      <top style="thin">
        <color rgb="FFF8F8F8"/>
      </top>
      <bottom style="thin">
        <color rgb="FFDEDEDE"/>
      </bottom>
      <diagonal/>
    </border>
    <border>
      <left style="thin">
        <color rgb="FFDEDEDE"/>
      </left>
      <right/>
      <top style="thin">
        <color rgb="FFF8F8F8"/>
      </top>
      <bottom style="thin">
        <color rgb="FFDEDEDE"/>
      </bottom>
      <diagonal/>
    </border>
    <border>
      <left/>
      <right style="thin">
        <color theme="0" tint="-0.12988677632984405"/>
      </right>
      <top/>
      <bottom style="thin">
        <color theme="0" tint="-2.9145176549577319E-2"/>
      </bottom>
      <diagonal/>
    </border>
    <border>
      <left/>
      <right style="thin">
        <color rgb="FFDEDEDE"/>
      </right>
      <top style="thin">
        <color rgb="FFF8F8F8"/>
      </top>
      <bottom style="thin">
        <color rgb="FFF7F7F7"/>
      </bottom>
      <diagonal/>
    </border>
    <border>
      <left/>
      <right/>
      <top style="thin">
        <color rgb="FFF8F8F8"/>
      </top>
      <bottom style="thin">
        <color rgb="FFF7F7F7"/>
      </bottom>
      <diagonal/>
    </border>
    <border>
      <left style="thin">
        <color rgb="FFDEDEDE"/>
      </left>
      <right/>
      <top style="thin">
        <color rgb="FFF8F8F8"/>
      </top>
      <bottom style="thin">
        <color rgb="FFF7F7F7"/>
      </bottom>
      <diagonal/>
    </border>
    <border>
      <left/>
      <right style="thin">
        <color theme="0" tint="-0.12988677632984405"/>
      </right>
      <top style="thin">
        <color theme="0" tint="-3.2471694082461013E-2"/>
      </top>
      <bottom style="thin">
        <color theme="0" tint="-2.9145176549577319E-2"/>
      </bottom>
      <diagonal/>
    </border>
    <border>
      <left/>
      <right/>
      <top style="thin">
        <color theme="0" tint="-3.2471694082461013E-2"/>
      </top>
      <bottom style="thin">
        <color theme="0" tint="-2.9145176549577319E-2"/>
      </bottom>
      <diagonal/>
    </border>
    <border>
      <left style="thin">
        <color theme="0" tint="-0.12988677632984405"/>
      </left>
      <right/>
      <top style="thin">
        <color theme="0" tint="-3.2471694082461013E-2"/>
      </top>
      <bottom style="thin">
        <color theme="0" tint="-2.9145176549577319E-2"/>
      </bottom>
      <diagonal/>
    </border>
    <border>
      <left/>
      <right style="thin">
        <color theme="0" tint="-0.12985625782036805"/>
      </right>
      <top style="thin">
        <color theme="0" tint="-3.2471694082461013E-2"/>
      </top>
      <bottom style="thin">
        <color theme="0" tint="-2.9145176549577319E-2"/>
      </bottom>
      <diagonal/>
    </border>
    <border>
      <left/>
      <right style="thin">
        <color theme="0" tint="-0.12988677632984405"/>
      </right>
      <top style="thin">
        <color theme="0" tint="-0.13241981261635183"/>
      </top>
      <bottom style="thin">
        <color theme="0" tint="-0.13241981261635183"/>
      </bottom>
      <diagonal/>
    </border>
    <border>
      <left/>
      <right/>
      <top style="thin">
        <color theme="0" tint="-0.13241981261635183"/>
      </top>
      <bottom style="thin">
        <color theme="0" tint="-0.13241981261635183"/>
      </bottom>
      <diagonal/>
    </border>
    <border>
      <left style="thin">
        <color theme="0" tint="-0.12988677632984405"/>
      </left>
      <right/>
      <top style="thin">
        <color theme="0" tint="-0.13241981261635183"/>
      </top>
      <bottom style="thin">
        <color theme="0" tint="-0.13241981261635183"/>
      </bottom>
      <diagonal/>
    </border>
    <border>
      <left/>
      <right style="thin">
        <color theme="0" tint="-0.12985625782036805"/>
      </right>
      <top style="thin">
        <color theme="0" tint="-0.13241981261635183"/>
      </top>
      <bottom style="thin">
        <color theme="0" tint="-0.13241981261635183"/>
      </bottom>
      <diagonal/>
    </border>
    <border>
      <left/>
      <right style="thin">
        <color rgb="FFDEDEDE"/>
      </right>
      <top style="thin">
        <color rgb="FFDDDDDD"/>
      </top>
      <bottom style="thin">
        <color rgb="FFF8F8F8"/>
      </bottom>
      <diagonal/>
    </border>
    <border>
      <left style="thin">
        <color theme="0" tint="-0.12988677632984405"/>
      </left>
      <right/>
      <top style="thin">
        <color theme="0" tint="-0.13241981261635183"/>
      </top>
      <bottom/>
      <diagonal/>
    </border>
    <border>
      <left/>
      <right style="thin">
        <color theme="0" tint="-0.12985625782036805"/>
      </right>
      <top style="thin">
        <color theme="0" tint="-0.13241981261635183"/>
      </top>
      <bottom/>
      <diagonal/>
    </border>
    <border>
      <left/>
      <right/>
      <top style="thin">
        <color theme="0" tint="-0.13241981261635183"/>
      </top>
      <bottom/>
      <diagonal/>
    </border>
    <border>
      <left style="thin">
        <color theme="0" tint="-0.12988677632984405"/>
      </left>
      <right/>
      <top/>
      <bottom style="thin">
        <color theme="0" tint="-2.9145176549577319E-2"/>
      </bottom>
      <diagonal/>
    </border>
    <border>
      <left/>
      <right style="thin">
        <color theme="0" tint="-0.12985625782036805"/>
      </right>
      <top/>
      <bottom style="thin">
        <color theme="0" tint="-2.9145176549577319E-2"/>
      </bottom>
      <diagonal/>
    </border>
    <border>
      <left/>
      <right style="thin">
        <color theme="0" tint="-0.12988677632984405"/>
      </right>
      <top style="thin">
        <color theme="0" tint="-2.9145176549577319E-2"/>
      </top>
      <bottom style="thin">
        <color theme="0" tint="-0.13251136814477982"/>
      </bottom>
      <diagonal/>
    </border>
    <border>
      <left/>
      <right/>
      <top style="thin">
        <color theme="0" tint="-2.9145176549577319E-2"/>
      </top>
      <bottom style="thin">
        <color theme="0" tint="-0.13251136814477982"/>
      </bottom>
      <diagonal/>
    </border>
    <border>
      <left/>
      <right style="thin">
        <color rgb="FFDEDEDE"/>
      </right>
      <top style="thin">
        <color rgb="FFF8F8F8"/>
      </top>
      <bottom style="thin">
        <color rgb="FFDDDDDD"/>
      </bottom>
      <diagonal/>
    </border>
    <border>
      <left style="thin">
        <color theme="0" tint="-0.12988677632984405"/>
      </left>
      <right/>
      <top style="thin">
        <color theme="0" tint="-2.9145176549577319E-2"/>
      </top>
      <bottom style="thin">
        <color theme="0" tint="-0.13251136814477982"/>
      </bottom>
      <diagonal/>
    </border>
    <border>
      <left/>
      <right style="thin">
        <color theme="0" tint="-0.12985625782036805"/>
      </right>
      <top style="thin">
        <color theme="0" tint="-2.9145176549577319E-2"/>
      </top>
      <bottom style="thin">
        <color theme="0" tint="-0.13251136814477982"/>
      </bottom>
      <diagonal/>
    </border>
    <border>
      <left/>
      <right/>
      <top/>
      <bottom style="thin">
        <color theme="0" tint="-0.13251136814477982"/>
      </bottom>
      <diagonal/>
    </border>
    <border>
      <left/>
      <right/>
      <top style="thin">
        <color theme="0" tint="-0.12988677632984405"/>
      </top>
      <bottom style="thin">
        <color theme="0" tint="-2.9145176549577319E-2"/>
      </bottom>
      <diagonal/>
    </border>
    <border>
      <left/>
      <right style="thin">
        <color theme="0" tint="-0.12988677632984405"/>
      </right>
      <top style="thin">
        <color theme="0" tint="-0.12988677632984405"/>
      </top>
      <bottom style="thin">
        <color theme="0" tint="-2.9145176549577319E-2"/>
      </bottom>
      <diagonal/>
    </border>
    <border>
      <left/>
      <right/>
      <top/>
      <bottom style="thin">
        <color theme="0" tint="-2.9145176549577319E-2"/>
      </bottom>
      <diagonal/>
    </border>
    <border>
      <left/>
      <right/>
      <top style="thin">
        <color rgb="FFDDDDDD"/>
      </top>
      <bottom style="thin">
        <color rgb="FFF8F8F8"/>
      </bottom>
      <diagonal/>
    </border>
    <border>
      <left/>
      <right/>
      <top style="thin">
        <color rgb="FFF8F8F8"/>
      </top>
      <bottom style="thin">
        <color rgb="FFDDDDDD"/>
      </bottom>
      <diagonal/>
    </border>
    <border>
      <left/>
      <right/>
      <top/>
      <bottom style="thin">
        <color theme="0" tint="-0.14038514358958709"/>
      </bottom>
      <diagonal/>
    </border>
    <border>
      <left/>
      <right style="thin">
        <color theme="0" tint="-0.1403546250801111"/>
      </right>
      <top style="thin">
        <color theme="0" tint="-0.14038514358958709"/>
      </top>
      <bottom style="thin">
        <color theme="0" tint="-0.14038514358958709"/>
      </bottom>
      <diagonal/>
    </border>
    <border>
      <left/>
      <right/>
      <top style="thin">
        <color theme="0" tint="-0.14038514358958709"/>
      </top>
      <bottom style="thin">
        <color theme="0" tint="-0.14038514358958709"/>
      </bottom>
      <diagonal/>
    </border>
    <border>
      <left/>
      <right style="thin">
        <color theme="0" tint="-0.1403241065706351"/>
      </right>
      <top style="thin">
        <color theme="0" tint="-0.14038514358958709"/>
      </top>
      <bottom style="thin">
        <color theme="0" tint="-0.14038514358958709"/>
      </bottom>
      <diagonal/>
    </border>
    <border>
      <left style="thin">
        <color theme="0" tint="-0.1403241065706351"/>
      </left>
      <right/>
      <top style="thin">
        <color theme="0" tint="-0.14038514358958709"/>
      </top>
      <bottom style="thin">
        <color theme="0" tint="-0.14038514358958709"/>
      </bottom>
      <diagonal/>
    </border>
    <border>
      <left/>
      <right style="thin">
        <color theme="0" tint="-0.14050721762749108"/>
      </right>
      <top style="thin">
        <color theme="0" tint="-0.14038514358958709"/>
      </top>
      <bottom style="thin">
        <color theme="0" tint="-0.14038514358958709"/>
      </bottom>
      <diagonal/>
    </border>
    <border>
      <left style="thin">
        <color theme="0" tint="-0.14050721762749108"/>
      </left>
      <right/>
      <top style="thin">
        <color theme="0" tint="-0.14038514358958709"/>
      </top>
      <bottom style="thin">
        <color theme="0" tint="-0.14038514358958709"/>
      </bottom>
      <diagonal/>
    </border>
    <border>
      <left/>
      <right style="thin">
        <color theme="0" tint="-0.14038514358958709"/>
      </right>
      <top style="thin">
        <color theme="0" tint="-0.14038514358958709"/>
      </top>
      <bottom style="thin">
        <color theme="0" tint="-0.14038514358958709"/>
      </bottom>
      <diagonal/>
    </border>
    <border>
      <left/>
      <right style="thin">
        <color theme="0" tint="-0.1403546250801111"/>
      </right>
      <top style="thin">
        <color theme="0" tint="-0.14038514358958709"/>
      </top>
      <bottom style="thin">
        <color theme="0" tint="-4.0559099093600268E-2"/>
      </bottom>
      <diagonal/>
    </border>
    <border>
      <left/>
      <right/>
      <top style="thin">
        <color theme="0" tint="-0.14038514358958709"/>
      </top>
      <bottom style="thin">
        <color theme="0" tint="-4.0559099093600268E-2"/>
      </bottom>
      <diagonal/>
    </border>
    <border>
      <left/>
      <right style="thin">
        <color theme="0" tint="-0.1403241065706351"/>
      </right>
      <top style="thin">
        <color theme="0" tint="-0.14038514358958709"/>
      </top>
      <bottom style="thin">
        <color theme="0" tint="-4.0559099093600268E-2"/>
      </bottom>
      <diagonal/>
    </border>
    <border>
      <left style="thin">
        <color theme="0" tint="-0.1403241065706351"/>
      </left>
      <right/>
      <top style="thin">
        <color theme="0" tint="-0.14038514358958709"/>
      </top>
      <bottom style="thin">
        <color theme="0" tint="-4.0559099093600268E-2"/>
      </bottom>
      <diagonal/>
    </border>
    <border>
      <left style="thin">
        <color theme="0" tint="-0.14050721762749108"/>
      </left>
      <right/>
      <top style="thin">
        <color theme="0" tint="-0.14038514358958709"/>
      </top>
      <bottom style="thin">
        <color theme="0" tint="-4.0559099093600268E-2"/>
      </bottom>
      <diagonal/>
    </border>
    <border>
      <left/>
      <right style="thin">
        <color theme="0" tint="-0.14038514358958709"/>
      </right>
      <top style="thin">
        <color theme="0" tint="-0.14038514358958709"/>
      </top>
      <bottom style="thin">
        <color theme="0" tint="-4.0559099093600268E-2"/>
      </bottom>
      <diagonal/>
    </border>
    <border>
      <left/>
      <right style="thin">
        <color theme="0" tint="-0.1403546250801111"/>
      </right>
      <top style="thin">
        <color theme="0" tint="-4.0406506546220286E-2"/>
      </top>
      <bottom style="thin">
        <color theme="0" tint="-4.0406506546220286E-2"/>
      </bottom>
      <diagonal/>
    </border>
    <border>
      <left/>
      <right/>
      <top style="thin">
        <color theme="0" tint="-4.0406506546220286E-2"/>
      </top>
      <bottom style="thin">
        <color theme="0" tint="-4.0406506546220286E-2"/>
      </bottom>
      <diagonal/>
    </border>
    <border>
      <left style="thin">
        <color theme="0" tint="-0.1403241065706351"/>
      </left>
      <right/>
      <top style="thin">
        <color theme="0" tint="-4.0406506546220286E-2"/>
      </top>
      <bottom style="thin">
        <color theme="0" tint="-4.0406506546220286E-2"/>
      </bottom>
      <diagonal/>
    </border>
    <border>
      <left style="thin">
        <color theme="0" tint="-0.14050721762749108"/>
      </left>
      <right/>
      <top style="thin">
        <color theme="0" tint="-4.0406506546220286E-2"/>
      </top>
      <bottom style="thin">
        <color theme="0" tint="-4.0406506546220286E-2"/>
      </bottom>
      <diagonal/>
    </border>
    <border>
      <left/>
      <right style="thin">
        <color theme="0" tint="-0.14038514358958709"/>
      </right>
      <top style="thin">
        <color theme="0" tint="-4.0406506546220286E-2"/>
      </top>
      <bottom style="thin">
        <color theme="0" tint="-4.0406506546220286E-2"/>
      </bottom>
      <diagonal/>
    </border>
    <border>
      <left style="thin">
        <color theme="0" tint="-0.14038514358958709"/>
      </left>
      <right/>
      <top style="thin">
        <color theme="0" tint="-4.0406506546220286E-2"/>
      </top>
      <bottom style="thin">
        <color theme="0" tint="-4.0406506546220286E-2"/>
      </bottom>
      <diagonal/>
    </border>
    <border>
      <left/>
      <right style="thin">
        <color theme="0" tint="-0.14087343974120303"/>
      </right>
      <top style="thin">
        <color theme="0" tint="-4.0925321207312237E-2"/>
      </top>
      <bottom style="thin">
        <color theme="0" tint="-4.0925321207312237E-2"/>
      </bottom>
      <diagonal/>
    </border>
    <border>
      <left/>
      <right style="thin">
        <color rgb="FFDADADA"/>
      </right>
      <top style="thin">
        <color rgb="FFF3F3F3"/>
      </top>
      <bottom style="thin">
        <color rgb="FFF3F3F3"/>
      </bottom>
      <diagonal/>
    </border>
    <border>
      <left style="thin">
        <color theme="0" tint="-0.14050721762749108"/>
      </left>
      <right/>
      <top style="thin">
        <color theme="0" tint="-4.0406506546220286E-2"/>
      </top>
      <bottom style="thin">
        <color theme="0" tint="-4.0498062074648275E-2"/>
      </bottom>
      <diagonal/>
    </border>
    <border>
      <left/>
      <right/>
      <top style="thin">
        <color theme="0" tint="-4.0498062074648275E-2"/>
      </top>
      <bottom style="thin">
        <color theme="0" tint="-4.0498062074648275E-2"/>
      </bottom>
      <diagonal/>
    </border>
    <border>
      <left style="thin">
        <color theme="0" tint="-0.14050721762749108"/>
      </left>
      <right/>
      <top style="thin">
        <color theme="0" tint="-4.0498062074648275E-2"/>
      </top>
      <bottom style="thin">
        <color theme="0" tint="-4.0498062074648275E-2"/>
      </bottom>
      <diagonal/>
    </border>
    <border>
      <left style="thin">
        <color theme="0" tint="-0.14050721762749108"/>
      </left>
      <right/>
      <top style="thin">
        <color theme="0" tint="-4.0498062074648275E-2"/>
      </top>
      <bottom style="thin">
        <color theme="0" tint="-4.0406506546220286E-2"/>
      </bottom>
      <diagonal/>
    </border>
    <border>
      <left style="thin">
        <color theme="0" tint="-0.14059877315591907"/>
      </left>
      <right/>
      <top style="thin">
        <color theme="0" tint="-4.068117313150426E-2"/>
      </top>
      <bottom style="thin">
        <color theme="0" tint="-4.068117313150426E-2"/>
      </bottom>
      <diagonal/>
    </border>
    <border>
      <left/>
      <right/>
      <top style="thin">
        <color theme="0" tint="-4.068117313150426E-2"/>
      </top>
      <bottom style="thin">
        <color theme="0" tint="-4.068117313150426E-2"/>
      </bottom>
      <diagonal/>
    </border>
    <border>
      <left style="thin">
        <color theme="0" tint="-0.14078188421277504"/>
      </left>
      <right/>
      <top style="thin">
        <color theme="0" tint="-4.068117313150426E-2"/>
      </top>
      <bottom style="thin">
        <color theme="0" tint="-4.068117313150426E-2"/>
      </bottom>
      <diagonal/>
    </border>
    <border>
      <left/>
      <right style="thin">
        <color theme="0" tint="-0.1403546250801111"/>
      </right>
      <top style="thin">
        <color theme="0" tint="-4.0406506546220286E-2"/>
      </top>
      <bottom style="thin">
        <color theme="0" tint="-0.14038514358958709"/>
      </bottom>
      <diagonal/>
    </border>
    <border>
      <left/>
      <right/>
      <top style="thin">
        <color theme="0" tint="-4.0406506546220286E-2"/>
      </top>
      <bottom style="thin">
        <color theme="0" tint="-0.14038514358958709"/>
      </bottom>
      <diagonal/>
    </border>
    <border>
      <left style="thin">
        <color theme="0" tint="-0.1403241065706351"/>
      </left>
      <right/>
      <top style="thin">
        <color theme="0" tint="-4.0406506546220286E-2"/>
      </top>
      <bottom style="thin">
        <color theme="0" tint="-0.14038514358958709"/>
      </bottom>
      <diagonal/>
    </border>
    <border>
      <left style="thin">
        <color theme="0" tint="-0.14050721762749108"/>
      </left>
      <right/>
      <top style="thin">
        <color theme="0" tint="-4.0406506546220286E-2"/>
      </top>
      <bottom style="thin">
        <color theme="0" tint="-0.14038514358958709"/>
      </bottom>
      <diagonal/>
    </border>
    <border>
      <left/>
      <right style="thin">
        <color theme="0" tint="-0.14038514358958709"/>
      </right>
      <top style="thin">
        <color theme="0" tint="-4.0406506546220286E-2"/>
      </top>
      <bottom style="thin">
        <color theme="0" tint="-0.14038514358958709"/>
      </bottom>
      <diagonal/>
    </border>
    <border>
      <left style="thin">
        <color theme="0" tint="-0.14038514358958709"/>
      </left>
      <right/>
      <top style="thin">
        <color theme="0" tint="-4.0406506546220286E-2"/>
      </top>
      <bottom style="thin">
        <color theme="0" tint="-0.14038514358958709"/>
      </bottom>
      <diagonal/>
    </border>
    <border>
      <left style="thin">
        <color theme="0" tint="-0.14038514358958709"/>
      </left>
      <right/>
      <top style="thin">
        <color theme="0" tint="-0.14038514358958709"/>
      </top>
      <bottom style="thin">
        <color theme="0" tint="-0.14038514358958709"/>
      </bottom>
      <diagonal/>
    </border>
    <border>
      <left/>
      <right style="thin">
        <color theme="0" tint="-0.1403546250801111"/>
      </right>
      <top style="thin">
        <color theme="0" tint="-0.14038514358958709"/>
      </top>
      <bottom style="thin">
        <color theme="0" tint="-4.0406506546220286E-2"/>
      </bottom>
      <diagonal/>
    </border>
    <border>
      <left/>
      <right/>
      <top style="thin">
        <color theme="0" tint="-0.14038514358958709"/>
      </top>
      <bottom style="thin">
        <color theme="0" tint="-4.0406506546220286E-2"/>
      </bottom>
      <diagonal/>
    </border>
    <border>
      <left style="thin">
        <color theme="0" tint="-0.1403241065706351"/>
      </left>
      <right/>
      <top style="thin">
        <color theme="0" tint="-0.14038514358958709"/>
      </top>
      <bottom style="thin">
        <color theme="0" tint="-4.0406506546220286E-2"/>
      </bottom>
      <diagonal/>
    </border>
    <border>
      <left style="thin">
        <color theme="0" tint="-0.14050721762749108"/>
      </left>
      <right/>
      <top style="thin">
        <color theme="0" tint="-0.14038514358958709"/>
      </top>
      <bottom style="thin">
        <color theme="0" tint="-4.0406506546220286E-2"/>
      </bottom>
      <diagonal/>
    </border>
    <border>
      <left/>
      <right style="thin">
        <color theme="0" tint="-0.14038514358958709"/>
      </right>
      <top style="thin">
        <color theme="0" tint="-0.14038514358958709"/>
      </top>
      <bottom style="thin">
        <color theme="0" tint="-4.0406506546220286E-2"/>
      </bottom>
      <diagonal/>
    </border>
    <border>
      <left style="thin">
        <color theme="0" tint="-0.14038514358958709"/>
      </left>
      <right/>
      <top style="thin">
        <color theme="0" tint="-0.14038514358958709"/>
      </top>
      <bottom style="thin">
        <color theme="0" tint="-4.0406506546220286E-2"/>
      </bottom>
      <diagonal/>
    </border>
    <border>
      <left/>
      <right/>
      <top/>
      <bottom style="thin">
        <color rgb="FFDBDBDB"/>
      </bottom>
      <diagonal/>
    </border>
    <border>
      <left/>
      <right style="thin">
        <color theme="0" tint="-0.14047669911801508"/>
      </right>
      <top style="thin">
        <color theme="0" tint="-0.14047669911801508"/>
      </top>
      <bottom style="thin">
        <color theme="0" tint="-0.14047669911801508"/>
      </bottom>
      <diagonal/>
    </border>
    <border>
      <left/>
      <right/>
      <top style="thin">
        <color theme="0" tint="-0.14047669911801508"/>
      </top>
      <bottom style="thin">
        <color theme="0" tint="-0.14047669911801508"/>
      </bottom>
      <diagonal/>
    </border>
    <border>
      <left style="thin">
        <color theme="0" tint="-0.14047669911801508"/>
      </left>
      <right/>
      <top style="thin">
        <color theme="0" tint="-0.14047669911801508"/>
      </top>
      <bottom style="thin">
        <color theme="0" tint="-0.14047669911801508"/>
      </bottom>
      <diagonal/>
    </border>
    <border>
      <left style="thin">
        <color theme="0" tint="-0.14090395825067903"/>
      </left>
      <right/>
      <top style="thin">
        <color theme="0" tint="-0.14047669911801508"/>
      </top>
      <bottom style="thin">
        <color theme="0" tint="-0.14047669911801508"/>
      </bottom>
      <diagonal/>
    </border>
    <border>
      <left/>
      <right style="thin">
        <color theme="0" tint="-0.14047669911801508"/>
      </right>
      <top style="thin">
        <color theme="0" tint="-0.14047669911801508"/>
      </top>
      <bottom style="thin">
        <color theme="0" tint="-4.0742210150456253E-2"/>
      </bottom>
      <diagonal/>
    </border>
    <border>
      <left/>
      <right/>
      <top style="thin">
        <color theme="0" tint="-0.14047669911801508"/>
      </top>
      <bottom style="thin">
        <color theme="0" tint="-4.0742210150456253E-2"/>
      </bottom>
      <diagonal/>
    </border>
    <border>
      <left style="thin">
        <color theme="0" tint="-0.14090395825067903"/>
      </left>
      <right/>
      <top style="thin">
        <color theme="0" tint="-0.14047669911801508"/>
      </top>
      <bottom style="thin">
        <color theme="0" tint="-4.0742210150456253E-2"/>
      </bottom>
      <diagonal/>
    </border>
    <border>
      <left/>
      <right style="thin">
        <color rgb="FFDBDBDB"/>
      </right>
      <top style="thin">
        <color rgb="FFF5F5F5"/>
      </top>
      <bottom style="thin">
        <color rgb="FFF6F6F6"/>
      </bottom>
      <diagonal/>
    </border>
    <border>
      <left/>
      <right/>
      <top style="thin">
        <color rgb="FFF5F5F5"/>
      </top>
      <bottom style="thin">
        <color rgb="FFF6F6F6"/>
      </bottom>
      <diagonal/>
    </border>
    <border>
      <left style="thin">
        <color rgb="FFDBDBDB"/>
      </left>
      <right/>
      <top style="thin">
        <color rgb="FFF5F5F5"/>
      </top>
      <bottom style="thin">
        <color rgb="FFF6F6F6"/>
      </bottom>
      <diagonal/>
    </border>
    <border>
      <left/>
      <right style="thin">
        <color rgb="FFDBDBDB"/>
      </right>
      <top style="thin">
        <color rgb="FFF6F6F6"/>
      </top>
      <bottom style="thin">
        <color rgb="FFF5F5F5"/>
      </bottom>
      <diagonal/>
    </border>
    <border>
      <left/>
      <right/>
      <top style="thin">
        <color rgb="FFF6F6F6"/>
      </top>
      <bottom style="thin">
        <color rgb="FFF4F4F4"/>
      </bottom>
      <diagonal/>
    </border>
    <border>
      <left/>
      <right style="thin">
        <color rgb="FFDBDBDB"/>
      </right>
      <top style="thin">
        <color rgb="FFF6F6F6"/>
      </top>
      <bottom style="thin">
        <color rgb="FFF4F4F4"/>
      </bottom>
      <diagonal/>
    </border>
    <border>
      <left style="thin">
        <color rgb="FFDBDBDB"/>
      </left>
      <right/>
      <top style="thin">
        <color rgb="FFF6F6F6"/>
      </top>
      <bottom style="thin">
        <color rgb="FFF4F4F4"/>
      </bottom>
      <diagonal/>
    </border>
    <border>
      <left/>
      <right style="thin">
        <color theme="0" tint="-0.14047669911801508"/>
      </right>
      <top style="thin">
        <color theme="0" tint="-4.0772728659932249E-2"/>
      </top>
      <bottom style="thin">
        <color theme="0" tint="-4.0772728659932249E-2"/>
      </bottom>
      <diagonal/>
    </border>
    <border>
      <left/>
      <right/>
      <top style="thin">
        <color rgb="FFF4F4F4"/>
      </top>
      <bottom style="thin">
        <color rgb="FFF5F5F5"/>
      </bottom>
      <diagonal/>
    </border>
    <border>
      <left/>
      <right style="thin">
        <color theme="0" tint="-0.14047669911801508"/>
      </right>
      <top style="thin">
        <color rgb="FFF4F4F4"/>
      </top>
      <bottom style="thin">
        <color rgb="FFF5F5F5"/>
      </bottom>
      <diagonal/>
    </border>
    <border>
      <left style="thin">
        <color rgb="FFDBDBDB"/>
      </left>
      <right/>
      <top style="thin">
        <color rgb="FFF4F4F4"/>
      </top>
      <bottom style="thin">
        <color rgb="FFF5F5F5"/>
      </bottom>
      <diagonal/>
    </border>
    <border>
      <left/>
      <right style="thin">
        <color rgb="FFDADADA"/>
      </right>
      <top style="thin">
        <color rgb="FFF4F4F4"/>
      </top>
      <bottom style="thin">
        <color rgb="FFF5F5F5"/>
      </bottom>
      <diagonal/>
    </border>
    <border>
      <left style="thin">
        <color rgb="FFDADADA"/>
      </left>
      <right/>
      <top style="thin">
        <color rgb="FFF4F4F4"/>
      </top>
      <bottom style="thin">
        <color rgb="FFF5F5F5"/>
      </bottom>
      <diagonal/>
    </border>
    <border>
      <left/>
      <right style="thin">
        <color theme="0" tint="-0.14047669911801508"/>
      </right>
      <top style="thin">
        <color theme="0" tint="-3.2746360667744986E-2"/>
      </top>
      <bottom style="thin">
        <color theme="0" tint="-3.2746360667744986E-2"/>
      </bottom>
      <diagonal/>
    </border>
    <border>
      <left/>
      <right/>
      <top style="thin">
        <color theme="0" tint="-3.2746360667744986E-2"/>
      </top>
      <bottom style="thin">
        <color theme="0" tint="-3.2746360667744986E-2"/>
      </bottom>
      <diagonal/>
    </border>
    <border>
      <left style="thin">
        <color rgb="FFDBDBDB"/>
      </left>
      <right/>
      <top style="thin">
        <color rgb="FFF7F7F7"/>
      </top>
      <bottom style="thin">
        <color rgb="FFF7F7F7"/>
      </bottom>
      <diagonal/>
    </border>
    <border>
      <left/>
      <right style="thin">
        <color rgb="FFDBDBDB"/>
      </right>
      <top style="thin">
        <color rgb="FFF7F7F7"/>
      </top>
      <bottom style="thin">
        <color rgb="FFF7F7F7"/>
      </bottom>
      <diagonal/>
    </border>
    <border>
      <left style="thin">
        <color theme="0" tint="-0.14090395825067903"/>
      </left>
      <right/>
      <top style="thin">
        <color theme="0" tint="-3.2746360667744986E-2"/>
      </top>
      <bottom style="thin">
        <color theme="0" tint="-3.2746360667744986E-2"/>
      </bottom>
      <diagonal/>
    </border>
    <border>
      <left/>
      <right style="thin">
        <color rgb="FFDBDBDB"/>
      </right>
      <top style="thin">
        <color rgb="FFF7F7F7"/>
      </top>
      <bottom style="thin">
        <color rgb="FFF5F5F5"/>
      </bottom>
      <diagonal/>
    </border>
    <border>
      <left/>
      <right/>
      <top style="thin">
        <color rgb="FFF7F7F7"/>
      </top>
      <bottom style="thin">
        <color rgb="FFF5F5F5"/>
      </bottom>
      <diagonal/>
    </border>
    <border>
      <left style="thin">
        <color rgb="FFDBDBDB"/>
      </left>
      <right/>
      <top style="thin">
        <color rgb="FFF7F7F7"/>
      </top>
      <bottom style="thin">
        <color rgb="FFF5F5F5"/>
      </bottom>
      <diagonal/>
    </border>
    <border>
      <left/>
      <right style="thin">
        <color theme="0" tint="-0.14047669911801508"/>
      </right>
      <top style="thin">
        <color theme="0" tint="-3.9094210638752402E-2"/>
      </top>
      <bottom style="thin">
        <color theme="0" tint="-3.9094210638752402E-2"/>
      </bottom>
      <diagonal/>
    </border>
    <border>
      <left/>
      <right/>
      <top style="thin">
        <color theme="0" tint="-3.9094210638752402E-2"/>
      </top>
      <bottom style="thin">
        <color theme="0" tint="-3.9094210638752402E-2"/>
      </bottom>
      <diagonal/>
    </border>
    <border>
      <left style="thin">
        <color theme="0" tint="-0.14090395825067903"/>
      </left>
      <right/>
      <top style="thin">
        <color theme="0" tint="-3.9094210638752402E-2"/>
      </top>
      <bottom style="thin">
        <color theme="0" tint="-3.9094210638752402E-2"/>
      </bottom>
      <diagonal/>
    </border>
    <border>
      <left/>
      <right style="thin">
        <color theme="0" tint="-0.14047669911801508"/>
      </right>
      <top style="thin">
        <color theme="0" tint="-3.3631397442548908E-2"/>
      </top>
      <bottom style="thin">
        <color theme="0" tint="-3.3631397442548908E-2"/>
      </bottom>
      <diagonal/>
    </border>
    <border>
      <left/>
      <right/>
      <top style="thin">
        <color rgb="FFF6F6F6"/>
      </top>
      <bottom style="thin">
        <color rgb="FFF7F7F7"/>
      </bottom>
      <diagonal/>
    </border>
    <border>
      <left/>
      <right/>
      <top style="thin">
        <color theme="0" tint="-3.3631397442548908E-2"/>
      </top>
      <bottom style="thin">
        <color theme="0" tint="-3.3631397442548908E-2"/>
      </bottom>
      <diagonal/>
    </border>
    <border>
      <left style="thin">
        <color rgb="FFDBDBDB"/>
      </left>
      <right/>
      <top style="thin">
        <color rgb="FFF6F6F6"/>
      </top>
      <bottom style="thin">
        <color rgb="FFF6F6F6"/>
      </bottom>
      <diagonal/>
    </border>
    <border>
      <left/>
      <right style="thin">
        <color rgb="FFDBDBDB"/>
      </right>
      <top style="thin">
        <color rgb="FFF6F6F6"/>
      </top>
      <bottom style="thin">
        <color rgb="FFF6F6F6"/>
      </bottom>
      <diagonal/>
    </border>
    <border>
      <left style="thin">
        <color theme="0" tint="-0.14090395825067903"/>
      </left>
      <right/>
      <top style="thin">
        <color theme="0" tint="-3.3631397442548908E-2"/>
      </top>
      <bottom style="thin">
        <color theme="0" tint="-3.3631397442548908E-2"/>
      </bottom>
      <diagonal/>
    </border>
    <border>
      <left/>
      <right style="thin">
        <color rgb="FFDBDBDB"/>
      </right>
      <top style="thin">
        <color rgb="FFF6F6F6"/>
      </top>
      <bottom style="thin">
        <color rgb="FFF7F7F7"/>
      </bottom>
      <diagonal/>
    </border>
    <border>
      <left style="thin">
        <color rgb="FFDBDBDB"/>
      </left>
      <right/>
      <top style="thin">
        <color rgb="FFF6F6F6"/>
      </top>
      <bottom style="thin">
        <color rgb="FFF7F7F7"/>
      </bottom>
      <diagonal/>
    </border>
    <border>
      <left/>
      <right style="thin">
        <color theme="0" tint="-0.14047669911801508"/>
      </right>
      <top style="thin">
        <color theme="0" tint="-3.0274361400189215E-2"/>
      </top>
      <bottom style="thin">
        <color theme="0" tint="-3.0274361400189215E-2"/>
      </bottom>
      <diagonal/>
    </border>
    <border>
      <left/>
      <right/>
      <top style="thin">
        <color theme="0" tint="-3.0274361400189215E-2"/>
      </top>
      <bottom style="thin">
        <color theme="0" tint="-3.0274361400189215E-2"/>
      </bottom>
      <diagonal/>
    </border>
    <border>
      <left style="thin">
        <color theme="0" tint="-0.14090395825067903"/>
      </left>
      <right/>
      <top style="thin">
        <color theme="0" tint="-3.0274361400189215E-2"/>
      </top>
      <bottom style="thin">
        <color theme="0" tint="-3.0274361400189215E-2"/>
      </bottom>
      <diagonal/>
    </border>
    <border>
      <left/>
      <right style="thin">
        <color rgb="FFDBDBDB"/>
      </right>
      <top style="thin">
        <color rgb="FFF6F6F6"/>
      </top>
      <bottom style="thin">
        <color rgb="FFDBDBDB"/>
      </bottom>
      <diagonal/>
    </border>
    <border>
      <left/>
      <right/>
      <top style="thin">
        <color rgb="FFF7F7F7"/>
      </top>
      <bottom style="thin">
        <color rgb="FFDBDBDB"/>
      </bottom>
      <diagonal/>
    </border>
    <border>
      <left/>
      <right style="thin">
        <color rgb="FFDBDBDB"/>
      </right>
      <top style="thin">
        <color rgb="FFF7F7F7"/>
      </top>
      <bottom style="thin">
        <color rgb="FFDBDBDB"/>
      </bottom>
      <diagonal/>
    </border>
    <border>
      <left style="thin">
        <color rgb="FFDBDBDB"/>
      </left>
      <right/>
      <top style="thin">
        <color rgb="FFF7F7F7"/>
      </top>
      <bottom style="thin">
        <color rgb="FFDBDBDB"/>
      </bottom>
      <diagonal/>
    </border>
    <border>
      <left/>
      <right style="thin">
        <color rgb="FFDBDBDB"/>
      </right>
      <top style="thin">
        <color rgb="FFDBDBDB"/>
      </top>
      <bottom style="thin">
        <color rgb="FFF6F6F6"/>
      </bottom>
      <diagonal/>
    </border>
    <border>
      <left/>
      <right/>
      <top style="thin">
        <color rgb="FFDBDBDB"/>
      </top>
      <bottom style="thin">
        <color rgb="FFF6F6F6"/>
      </bottom>
      <diagonal/>
    </border>
    <border>
      <left style="thin">
        <color rgb="FFDBDBDB"/>
      </left>
      <right/>
      <top style="thin">
        <color rgb="FFDBDBDB"/>
      </top>
      <bottom style="thin">
        <color rgb="FFF6F6F6"/>
      </bottom>
      <diagonal/>
    </border>
    <border>
      <left/>
      <right/>
      <top style="thin">
        <color rgb="FFF6F6F6"/>
      </top>
      <bottom style="thin">
        <color rgb="FFF6F6F6"/>
      </bottom>
      <diagonal/>
    </border>
    <border>
      <left style="thin">
        <color rgb="FFDBDBDB"/>
      </left>
      <right/>
      <top style="thin">
        <color rgb="FFDBDBDB"/>
      </top>
      <bottom/>
      <diagonal/>
    </border>
    <border>
      <left/>
      <right style="thin">
        <color rgb="FFDBDBDB"/>
      </right>
      <top style="thin">
        <color rgb="FFDBDBDB"/>
      </top>
      <bottom/>
      <diagonal/>
    </border>
    <border>
      <left/>
      <right style="thin">
        <color theme="0" tint="-0.14047669911801508"/>
      </right>
      <top style="thin">
        <color theme="0" tint="-3.3661915952024904E-2"/>
      </top>
      <bottom style="thin">
        <color theme="0" tint="-3.3661915952024904E-2"/>
      </bottom>
      <diagonal/>
    </border>
    <border>
      <left/>
      <right/>
      <top style="thin">
        <color theme="0" tint="-3.3661915952024904E-2"/>
      </top>
      <bottom style="thin">
        <color theme="0" tint="-3.3661915952024904E-2"/>
      </bottom>
      <diagonal/>
    </border>
    <border>
      <left style="thin">
        <color theme="0" tint="-0.14090395825067903"/>
      </left>
      <right/>
      <top style="thin">
        <color theme="0" tint="-3.3661915952024904E-2"/>
      </top>
      <bottom style="thin">
        <color theme="0" tint="-3.3661915952024904E-2"/>
      </bottom>
      <diagonal/>
    </border>
    <border>
      <left style="thin">
        <color theme="0" tint="-0.14090395825067903"/>
      </left>
      <right/>
      <top/>
      <bottom style="thin">
        <color theme="0" tint="-3.0579546494949188E-2"/>
      </bottom>
      <diagonal/>
    </border>
    <border>
      <left/>
      <right style="thin">
        <color theme="0" tint="-0.14047669911801508"/>
      </right>
      <top/>
      <bottom style="thin">
        <color theme="0" tint="-3.0579546494949188E-2"/>
      </bottom>
      <diagonal/>
    </border>
    <border>
      <left/>
      <right style="thin">
        <color theme="0" tint="-0.14047669911801508"/>
      </right>
      <top style="thin">
        <color theme="0" tint="-3.3661915952024904E-2"/>
      </top>
      <bottom style="thin">
        <color theme="0" tint="-3.7049470503860593E-2"/>
      </bottom>
      <diagonal/>
    </border>
    <border>
      <left/>
      <right/>
      <top style="thin">
        <color theme="0" tint="-3.3661915952024904E-2"/>
      </top>
      <bottom style="thin">
        <color theme="0" tint="-3.7049470503860593E-2"/>
      </bottom>
      <diagonal/>
    </border>
    <border>
      <left style="thin">
        <color theme="0" tint="-0.14090395825067903"/>
      </left>
      <right/>
      <top style="thin">
        <color theme="0" tint="-3.3661915952024904E-2"/>
      </top>
      <bottom style="thin">
        <color theme="0" tint="-3.7049470503860593E-2"/>
      </bottom>
      <diagonal/>
    </border>
    <border>
      <left style="thin">
        <color rgb="FFDBDBDB"/>
      </left>
      <right/>
      <top style="thin">
        <color rgb="FFF7F7F7"/>
      </top>
      <bottom style="thin">
        <color rgb="FFF6F6F6"/>
      </bottom>
      <diagonal/>
    </border>
    <border>
      <left/>
      <right style="thin">
        <color rgb="FFDBDBDB"/>
      </right>
      <top style="thin">
        <color rgb="FFF7F7F7"/>
      </top>
      <bottom style="thin">
        <color rgb="FFF6F6F6"/>
      </bottom>
      <diagonal/>
    </border>
    <border>
      <left/>
      <right style="thin">
        <color theme="0" tint="-0.14047669911801508"/>
      </right>
      <top style="thin">
        <color theme="0" tint="-3.7049470503860593E-2"/>
      </top>
      <bottom style="thin">
        <color theme="0" tint="-3.7049470503860593E-2"/>
      </bottom>
      <diagonal/>
    </border>
    <border>
      <left/>
      <right/>
      <top style="thin">
        <color theme="0" tint="-3.7049470503860593E-2"/>
      </top>
      <bottom style="thin">
        <color theme="0" tint="-3.7049470503860593E-2"/>
      </bottom>
      <diagonal/>
    </border>
    <border>
      <left style="thin">
        <color theme="0" tint="-0.14090395825067903"/>
      </left>
      <right/>
      <top style="thin">
        <color theme="0" tint="-3.7049470503860593E-2"/>
      </top>
      <bottom style="thin">
        <color theme="0" tint="-3.7049470503860593E-2"/>
      </bottom>
      <diagonal/>
    </border>
    <border>
      <left/>
      <right/>
      <top style="thin">
        <color rgb="FFF6F6F6"/>
      </top>
      <bottom style="thin">
        <color rgb="FFDBDBDB"/>
      </bottom>
      <diagonal/>
    </border>
    <border>
      <left style="thin">
        <color rgb="FFDBDBDB"/>
      </left>
      <right/>
      <top style="thin">
        <color rgb="FFF6F6F6"/>
      </top>
      <bottom style="thin">
        <color rgb="FFDBDBDB"/>
      </bottom>
      <diagonal/>
    </border>
    <border>
      <left/>
      <right/>
      <top style="thin">
        <color rgb="FFDBDBDB"/>
      </top>
      <bottom style="thin">
        <color rgb="FFF5F5F5"/>
      </bottom>
      <diagonal/>
    </border>
    <border>
      <left style="thin">
        <color theme="0" tint="-0.14047669911801508"/>
      </left>
      <right/>
      <top style="thin">
        <color theme="0" tint="-0.14047669911801508"/>
      </top>
      <bottom/>
      <diagonal/>
    </border>
    <border>
      <left/>
      <right style="thin">
        <color theme="0" tint="-0.14047669911801508"/>
      </right>
      <top style="thin">
        <color theme="0" tint="-0.14047669911801508"/>
      </top>
      <bottom/>
      <diagonal/>
    </border>
    <border>
      <left style="thin">
        <color theme="0" tint="-0.14047669911801508"/>
      </left>
      <right/>
      <top/>
      <bottom/>
      <diagonal/>
    </border>
    <border>
      <left/>
      <right style="thin">
        <color theme="0" tint="-0.14047669911801508"/>
      </right>
      <top/>
      <bottom/>
      <diagonal/>
    </border>
    <border>
      <left/>
      <right/>
      <top style="thin">
        <color theme="0" tint="-3.9155247657704395E-2"/>
      </top>
      <bottom style="thin">
        <color theme="0" tint="-3.9155247657704395E-2"/>
      </bottom>
      <diagonal/>
    </border>
    <border>
      <left style="thin">
        <color theme="0" tint="-0.14096499526963102"/>
      </left>
      <right/>
      <top style="thin">
        <color theme="0" tint="-3.9155247657704395E-2"/>
      </top>
      <bottom style="thin">
        <color theme="0" tint="-3.9155247657704395E-2"/>
      </bottom>
      <diagonal/>
    </border>
    <border>
      <left style="thin">
        <color theme="0" tint="-0.14047669911801508"/>
      </left>
      <right/>
      <top/>
      <bottom style="thin">
        <color theme="0" tint="-0.14047669911801508"/>
      </bottom>
      <diagonal/>
    </border>
    <border>
      <left/>
      <right style="thin">
        <color theme="0" tint="-0.14047669911801508"/>
      </right>
      <top/>
      <bottom style="thin">
        <color theme="0" tint="-0.14047669911801508"/>
      </bottom>
      <diagonal/>
    </border>
    <border>
      <left/>
      <right/>
      <top/>
      <bottom style="thin">
        <color theme="0" tint="-0.14047669911801508"/>
      </bottom>
      <diagonal/>
    </border>
    <border>
      <left/>
      <right/>
      <top/>
      <bottom style="thin">
        <color theme="0" tint="-0.14447462385937071"/>
      </bottom>
      <diagonal/>
    </border>
    <border>
      <left/>
      <right style="thin">
        <color theme="0" tint="-0.14444410534989471"/>
      </right>
      <top style="thin">
        <color theme="0" tint="-0.14447462385937071"/>
      </top>
      <bottom style="thin">
        <color theme="0" tint="-0.14447462385937071"/>
      </bottom>
      <diagonal/>
    </border>
    <border>
      <left/>
      <right/>
      <top style="thin">
        <color theme="0" tint="-0.14447462385937071"/>
      </top>
      <bottom style="thin">
        <color theme="0" tint="-0.14447462385937071"/>
      </bottom>
      <diagonal/>
    </border>
    <border>
      <left/>
      <right style="thin">
        <color theme="0" tint="-0.14441358684041872"/>
      </right>
      <top style="thin">
        <color theme="0" tint="-0.14447462385937071"/>
      </top>
      <bottom style="thin">
        <color theme="0" tint="-0.14447462385937071"/>
      </bottom>
      <diagonal/>
    </border>
    <border>
      <left style="thin">
        <color theme="0" tint="-0.14441358684041872"/>
      </left>
      <right/>
      <top style="thin">
        <color theme="0" tint="-0.14447462385937071"/>
      </top>
      <bottom style="thin">
        <color theme="0" tint="-0.14447462385937071"/>
      </bottom>
      <diagonal/>
    </border>
    <border>
      <left/>
      <right style="thin">
        <color theme="0" tint="-0.14438306833094272"/>
      </right>
      <top style="thin">
        <color theme="0" tint="-0.14447462385937071"/>
      </top>
      <bottom style="thin">
        <color theme="0" tint="-0.14447462385937071"/>
      </bottom>
      <diagonal/>
    </border>
    <border>
      <left style="thin">
        <color theme="0" tint="-0.14438306833094272"/>
      </left>
      <right/>
      <top style="thin">
        <color theme="0" tint="-0.14447462385937071"/>
      </top>
      <bottom style="thin">
        <color theme="0" tint="-0.14447462385937071"/>
      </bottom>
      <diagonal/>
    </border>
    <border>
      <left/>
      <right style="thin">
        <color theme="0" tint="-0.14447462385937071"/>
      </right>
      <top style="thin">
        <color theme="0" tint="-0.14447462385937071"/>
      </top>
      <bottom style="thin">
        <color theme="0" tint="-0.14447462385937071"/>
      </bottom>
      <diagonal/>
    </border>
    <border>
      <left/>
      <right style="thin">
        <color theme="0" tint="-0.14444410534989471"/>
      </right>
      <top style="thin">
        <color theme="0" tint="-0.14447462385937071"/>
      </top>
      <bottom style="thin">
        <color theme="0" tint="-4.4495986816003905E-2"/>
      </bottom>
      <diagonal/>
    </border>
    <border>
      <left/>
      <right/>
      <top style="thin">
        <color theme="0" tint="-0.14447462385937071"/>
      </top>
      <bottom style="thin">
        <color theme="0" tint="-4.4495986816003905E-2"/>
      </bottom>
      <diagonal/>
    </border>
    <border>
      <left/>
      <right style="thin">
        <color theme="0" tint="-0.14441358684041872"/>
      </right>
      <top style="thin">
        <color theme="0" tint="-0.14447462385937071"/>
      </top>
      <bottom style="thin">
        <color theme="0" tint="-4.4495986816003905E-2"/>
      </bottom>
      <diagonal/>
    </border>
    <border>
      <left style="thin">
        <color theme="0" tint="-0.14441358684041872"/>
      </left>
      <right/>
      <top style="thin">
        <color theme="0" tint="-0.14447462385937071"/>
      </top>
      <bottom style="thin">
        <color theme="0" tint="-4.4495986816003905E-2"/>
      </bottom>
      <diagonal/>
    </border>
    <border>
      <left/>
      <right style="thin">
        <color theme="0" tint="-0.14438306833094272"/>
      </right>
      <top style="thin">
        <color theme="0" tint="-0.14447462385937071"/>
      </top>
      <bottom style="thin">
        <color theme="0" tint="-4.4495986816003905E-2"/>
      </bottom>
      <diagonal/>
    </border>
    <border>
      <left style="thin">
        <color theme="0" tint="-0.14438306833094272"/>
      </left>
      <right/>
      <top style="thin">
        <color theme="0" tint="-0.14447462385937071"/>
      </top>
      <bottom style="thin">
        <color theme="0" tint="-4.4495986816003905E-2"/>
      </bottom>
      <diagonal/>
    </border>
    <border>
      <left/>
      <right style="thin">
        <color theme="0" tint="-0.14447462385937071"/>
      </right>
      <top style="thin">
        <color theme="0" tint="-0.14447462385937071"/>
      </top>
      <bottom style="thin">
        <color theme="0" tint="-4.4495986816003905E-2"/>
      </bottom>
      <diagonal/>
    </border>
    <border>
      <left/>
      <right style="thin">
        <color theme="0" tint="-0.14444410534989471"/>
      </right>
      <top style="thin">
        <color theme="0" tint="-4.4495986816003905E-2"/>
      </top>
      <bottom style="thin">
        <color theme="0" tint="-4.4495986816003905E-2"/>
      </bottom>
      <diagonal/>
    </border>
    <border>
      <left/>
      <right/>
      <top style="thin">
        <color theme="0" tint="-4.4495986816003905E-2"/>
      </top>
      <bottom style="thin">
        <color theme="0" tint="-4.4495986816003905E-2"/>
      </bottom>
      <diagonal/>
    </border>
    <border>
      <left/>
      <right style="thin">
        <color theme="0" tint="-0.14441358684041872"/>
      </right>
      <top style="thin">
        <color theme="0" tint="-4.4495986816003905E-2"/>
      </top>
      <bottom style="thin">
        <color theme="0" tint="-4.4495986816003905E-2"/>
      </bottom>
      <diagonal/>
    </border>
    <border>
      <left style="thin">
        <color theme="0" tint="-0.14441358684041872"/>
      </left>
      <right/>
      <top style="thin">
        <color theme="0" tint="-4.4495986816003905E-2"/>
      </top>
      <bottom style="thin">
        <color theme="0" tint="-4.4495986816003905E-2"/>
      </bottom>
      <diagonal/>
    </border>
    <border>
      <left/>
      <right style="thin">
        <color theme="0" tint="-0.14438306833094272"/>
      </right>
      <top style="thin">
        <color theme="0" tint="-4.4495986816003905E-2"/>
      </top>
      <bottom style="thin">
        <color theme="0" tint="-4.4495986816003905E-2"/>
      </bottom>
      <diagonal/>
    </border>
    <border>
      <left style="thin">
        <color theme="0" tint="-0.14438306833094272"/>
      </left>
      <right/>
      <top style="thin">
        <color theme="0" tint="-4.4495986816003905E-2"/>
      </top>
      <bottom style="thin">
        <color theme="0" tint="-4.4495986816003905E-2"/>
      </bottom>
      <diagonal/>
    </border>
    <border>
      <left/>
      <right style="thin">
        <color theme="0" tint="-0.14447462385937071"/>
      </right>
      <top style="thin">
        <color theme="0" tint="-4.4495986816003905E-2"/>
      </top>
      <bottom style="thin">
        <color theme="0" tint="-4.4495986816003905E-2"/>
      </bottom>
      <diagonal/>
    </border>
    <border>
      <left/>
      <right/>
      <top style="thin">
        <color rgb="FFF4F4F4"/>
      </top>
      <bottom style="thin">
        <color rgb="FFF4F4F4"/>
      </bottom>
      <diagonal/>
    </border>
    <border>
      <left/>
      <right style="thin">
        <color rgb="FFDADADA"/>
      </right>
      <top style="thin">
        <color rgb="FFF4F4F4"/>
      </top>
      <bottom style="thin">
        <color rgb="FFF4F4F4"/>
      </bottom>
      <diagonal/>
    </border>
    <border>
      <left style="thin">
        <color rgb="FFDADADA"/>
      </left>
      <right/>
      <top style="thin">
        <color rgb="FFF4F4F4"/>
      </top>
      <bottom style="thin">
        <color rgb="FFF4F4F4"/>
      </bottom>
      <diagonal/>
    </border>
    <border>
      <left/>
      <right style="thin">
        <color theme="0" tint="-0.14444410534989471"/>
      </right>
      <top style="thin">
        <color theme="0" tint="-4.4495986816003905E-2"/>
      </top>
      <bottom style="thin">
        <color theme="0" tint="-0.14447462385937071"/>
      </bottom>
      <diagonal/>
    </border>
    <border>
      <left/>
      <right/>
      <top style="thin">
        <color theme="0" tint="-4.4495986816003905E-2"/>
      </top>
      <bottom style="thin">
        <color theme="0" tint="-0.14447462385937071"/>
      </bottom>
      <diagonal/>
    </border>
    <border>
      <left/>
      <right style="thin">
        <color theme="0" tint="-0.14441358684041872"/>
      </right>
      <top style="thin">
        <color theme="0" tint="-4.4495986816003905E-2"/>
      </top>
      <bottom style="thin">
        <color theme="0" tint="-0.14447462385937071"/>
      </bottom>
      <diagonal/>
    </border>
    <border>
      <left style="thin">
        <color theme="0" tint="-0.14441358684041872"/>
      </left>
      <right/>
      <top style="thin">
        <color theme="0" tint="-4.4495986816003905E-2"/>
      </top>
      <bottom style="thin">
        <color theme="0" tint="-0.14447462385937071"/>
      </bottom>
      <diagonal/>
    </border>
    <border>
      <left/>
      <right style="thin">
        <color theme="0" tint="-0.14438306833094272"/>
      </right>
      <top style="thin">
        <color theme="0" tint="-4.4495986816003905E-2"/>
      </top>
      <bottom style="thin">
        <color theme="0" tint="-0.14447462385937071"/>
      </bottom>
      <diagonal/>
    </border>
    <border>
      <left style="thin">
        <color theme="0" tint="-0.14438306833094272"/>
      </left>
      <right/>
      <top style="thin">
        <color theme="0" tint="-4.4495986816003905E-2"/>
      </top>
      <bottom style="thin">
        <color theme="0" tint="-0.14447462385937071"/>
      </bottom>
      <diagonal/>
    </border>
    <border>
      <left/>
      <right style="thin">
        <color theme="0" tint="-0.14447462385937071"/>
      </right>
      <top style="thin">
        <color theme="0" tint="-4.4495986816003905E-2"/>
      </top>
      <bottom style="thin">
        <color theme="0" tint="-0.14447462385937071"/>
      </bottom>
      <diagonal/>
    </border>
    <border>
      <left style="thin">
        <color theme="0" tint="-4.4495986816003905E-2"/>
      </left>
      <right style="thin">
        <color theme="0" tint="-0.14444410534989471"/>
      </right>
      <top style="thin">
        <color theme="0" tint="-4.4495986816003905E-2"/>
      </top>
      <bottom style="thin">
        <color theme="0" tint="-4.4495986816003905E-2"/>
      </bottom>
      <diagonal/>
    </border>
    <border>
      <left/>
      <right/>
      <top style="thin">
        <color rgb="FFDADADA"/>
      </top>
      <bottom/>
      <diagonal/>
    </border>
    <border>
      <left/>
      <right/>
      <top/>
      <bottom style="thin">
        <color theme="0" tint="-0.14438306833094272"/>
      </bottom>
      <diagonal/>
    </border>
    <border>
      <left/>
      <right style="thin">
        <color theme="0" tint="-0.14435254982146672"/>
      </right>
      <top style="thin">
        <color theme="0" tint="-0.14438306833094272"/>
      </top>
      <bottom style="thin">
        <color theme="0" tint="-0.14438306833094272"/>
      </bottom>
      <diagonal/>
    </border>
    <border>
      <left/>
      <right/>
      <top style="thin">
        <color theme="0" tint="-0.14438306833094272"/>
      </top>
      <bottom style="thin">
        <color theme="0" tint="-0.14438306833094272"/>
      </bottom>
      <diagonal/>
    </border>
    <border>
      <left/>
      <right style="thin">
        <color rgb="FFDADADA"/>
      </right>
      <top style="thin">
        <color rgb="FFDADADA"/>
      </top>
      <bottom style="thin">
        <color rgb="FFDADADA"/>
      </bottom>
      <diagonal/>
    </border>
    <border>
      <left style="thin">
        <color theme="0" tint="-0.14432203131199073"/>
      </left>
      <right/>
      <top style="thin">
        <color theme="0" tint="-0.14438306833094272"/>
      </top>
      <bottom style="thin">
        <color theme="0" tint="-0.14438306833094272"/>
      </bottom>
      <diagonal/>
    </border>
    <border>
      <left/>
      <right style="thin">
        <color theme="0" tint="-0.14423047578356274"/>
      </right>
      <top style="thin">
        <color theme="0" tint="-0.14438306833094272"/>
      </top>
      <bottom style="thin">
        <color theme="0" tint="-0.14438306833094272"/>
      </bottom>
      <diagonal/>
    </border>
    <border>
      <left style="thin">
        <color theme="0" tint="-0.14426099429303874"/>
      </left>
      <right/>
      <top style="thin">
        <color theme="0" tint="-0.14438306833094272"/>
      </top>
      <bottom style="thin">
        <color theme="0" tint="-0.14438306833094272"/>
      </bottom>
      <diagonal/>
    </border>
    <border>
      <left/>
      <right style="thin">
        <color theme="0" tint="-0.14435254982146672"/>
      </right>
      <top style="thin">
        <color theme="0" tint="-0.14438306833094272"/>
      </top>
      <bottom style="thin">
        <color theme="0" tint="-4.4404431287575916E-2"/>
      </bottom>
      <diagonal/>
    </border>
    <border>
      <left/>
      <right/>
      <top style="thin">
        <color theme="0" tint="-0.14438306833094272"/>
      </top>
      <bottom style="thin">
        <color theme="0" tint="-4.4404431287575916E-2"/>
      </bottom>
      <diagonal/>
    </border>
    <border>
      <left/>
      <right style="thin">
        <color rgb="FFDADADA"/>
      </right>
      <top style="thin">
        <color rgb="FFDADADA"/>
      </top>
      <bottom style="thin">
        <color rgb="FFF4F4F4"/>
      </bottom>
      <diagonal/>
    </border>
    <border>
      <left style="thin">
        <color theme="0" tint="-0.14432203131199073"/>
      </left>
      <right/>
      <top style="thin">
        <color theme="0" tint="-0.14438306833094272"/>
      </top>
      <bottom style="thin">
        <color theme="0" tint="-4.4404431287575916E-2"/>
      </bottom>
      <diagonal/>
    </border>
    <border>
      <left style="thin">
        <color theme="0" tint="-0.14426099429303874"/>
      </left>
      <right/>
      <top style="thin">
        <color theme="0" tint="-0.14438306833094272"/>
      </top>
      <bottom style="thin">
        <color theme="0" tint="-4.4404431287575916E-2"/>
      </bottom>
      <diagonal/>
    </border>
    <border>
      <left/>
      <right style="thin">
        <color theme="0" tint="-0.14423047578356274"/>
      </right>
      <top style="thin">
        <color theme="0" tint="-0.14438306833094272"/>
      </top>
      <bottom style="thin">
        <color theme="0" tint="-4.4404431287575916E-2"/>
      </bottom>
      <diagonal/>
    </border>
    <border>
      <left/>
      <right style="thin">
        <color theme="0" tint="-0.14435254982146672"/>
      </right>
      <top style="thin">
        <color theme="0" tint="-4.4404431287575916E-2"/>
      </top>
      <bottom style="thin">
        <color theme="0" tint="-4.4404431287575916E-2"/>
      </bottom>
      <diagonal/>
    </border>
    <border>
      <left/>
      <right/>
      <top style="thin">
        <color theme="0" tint="-4.4404431287575916E-2"/>
      </top>
      <bottom style="thin">
        <color theme="0" tint="-4.4404431287575916E-2"/>
      </bottom>
      <diagonal/>
    </border>
    <border>
      <left style="thin">
        <color theme="0" tint="-0.14432203131199073"/>
      </left>
      <right/>
      <top style="thin">
        <color theme="0" tint="-4.4404431287575916E-2"/>
      </top>
      <bottom style="thin">
        <color theme="0" tint="-4.4404431287575916E-2"/>
      </bottom>
      <diagonal/>
    </border>
    <border>
      <left style="thin">
        <color theme="0" tint="-0.14426099429303874"/>
      </left>
      <right/>
      <top style="thin">
        <color theme="0" tint="-4.4404431287575916E-2"/>
      </top>
      <bottom style="thin">
        <color theme="0" tint="-4.4404431287575916E-2"/>
      </bottom>
      <diagonal/>
    </border>
    <border>
      <left/>
      <right style="thin">
        <color theme="0" tint="-0.14423047578356274"/>
      </right>
      <top style="thin">
        <color theme="0" tint="-4.4404431287575916E-2"/>
      </top>
      <bottom style="thin">
        <color theme="0" tint="-4.4404431287575916E-2"/>
      </bottom>
      <diagonal/>
    </border>
    <border>
      <left/>
      <right style="thin">
        <color theme="0" tint="-0.14435254982146672"/>
      </right>
      <top style="thin">
        <color theme="0" tint="-4.4404431287575916E-2"/>
      </top>
      <bottom style="thin">
        <color theme="0" tint="-0.14438306833094272"/>
      </bottom>
      <diagonal/>
    </border>
    <border>
      <left/>
      <right/>
      <top style="thin">
        <color theme="0" tint="-4.4404431287575916E-2"/>
      </top>
      <bottom style="thin">
        <color theme="0" tint="-0.14438306833094272"/>
      </bottom>
      <diagonal/>
    </border>
    <border>
      <left style="thin">
        <color theme="0" tint="-0.14432203131199073"/>
      </left>
      <right/>
      <top style="thin">
        <color theme="0" tint="-4.4404431287575916E-2"/>
      </top>
      <bottom style="thin">
        <color theme="0" tint="-0.14438306833094272"/>
      </bottom>
      <diagonal/>
    </border>
    <border>
      <left style="thin">
        <color theme="0" tint="-0.14426099429303874"/>
      </left>
      <right/>
      <top style="thin">
        <color theme="0" tint="-4.4404431287575916E-2"/>
      </top>
      <bottom style="thin">
        <color theme="0" tint="-0.14438306833094272"/>
      </bottom>
      <diagonal/>
    </border>
    <border>
      <left/>
      <right style="thin">
        <color theme="0" tint="-0.14423047578356274"/>
      </right>
      <top style="thin">
        <color theme="0" tint="-4.4404431287575916E-2"/>
      </top>
      <bottom style="thin">
        <color theme="0" tint="-0.14438306833094272"/>
      </bottom>
      <diagonal/>
    </border>
    <border>
      <left/>
      <right/>
      <top/>
      <bottom style="thin">
        <color rgb="FFDADADA"/>
      </bottom>
      <diagonal/>
    </border>
    <border>
      <left/>
      <right style="thin">
        <color theme="0" tint="-0.14319284646137884"/>
      </right>
      <top style="thin">
        <color theme="0" tint="-0.14322336497085483"/>
      </top>
      <bottom style="thin">
        <color theme="0" tint="-0.14322336497085483"/>
      </bottom>
      <diagonal/>
    </border>
    <border>
      <left/>
      <right/>
      <top style="thin">
        <color theme="0" tint="-0.14322336497085483"/>
      </top>
      <bottom style="thin">
        <color theme="0" tint="-0.14322336497085483"/>
      </bottom>
      <diagonal/>
    </border>
    <border>
      <left/>
      <right style="thin">
        <color theme="0" tint="-0.14322336497085483"/>
      </right>
      <top style="thin">
        <color theme="0" tint="-0.14322336497085483"/>
      </top>
      <bottom style="thin">
        <color theme="0" tint="-0.14322336497085483"/>
      </bottom>
      <diagonal/>
    </border>
    <border>
      <left style="thin">
        <color theme="0" tint="-0.14322336497085483"/>
      </left>
      <right/>
      <top style="thin">
        <color theme="0" tint="-0.14322336497085483"/>
      </top>
      <bottom style="thin">
        <color theme="0" tint="-0.14322336497085483"/>
      </bottom>
      <diagonal/>
    </border>
    <border>
      <left/>
      <right style="thin">
        <color theme="0" tint="-0.14319284646137884"/>
      </right>
      <top style="thin">
        <color theme="0" tint="-0.14322336497085483"/>
      </top>
      <bottom style="thin">
        <color theme="0" tint="-4.3244727927488021E-2"/>
      </bottom>
      <diagonal/>
    </border>
    <border>
      <left/>
      <right/>
      <top style="thin">
        <color theme="0" tint="-0.14322336497085483"/>
      </top>
      <bottom style="thin">
        <color theme="0" tint="-4.3244727927488021E-2"/>
      </bottom>
      <diagonal/>
    </border>
    <border>
      <left/>
      <right style="thin">
        <color theme="0" tint="-0.14322336497085483"/>
      </right>
      <top style="thin">
        <color theme="0" tint="-0.14322336497085483"/>
      </top>
      <bottom style="thin">
        <color theme="0" tint="-4.3244727927488021E-2"/>
      </bottom>
      <diagonal/>
    </border>
    <border>
      <left style="thin">
        <color theme="0" tint="-0.14322336497085483"/>
      </left>
      <right/>
      <top style="thin">
        <color theme="0" tint="-0.14322336497085483"/>
      </top>
      <bottom style="thin">
        <color theme="0" tint="-4.3244727927488021E-2"/>
      </bottom>
      <diagonal/>
    </border>
    <border>
      <left/>
      <right style="thin">
        <color theme="0" tint="-0.14319284646137884"/>
      </right>
      <top style="thin">
        <color theme="0" tint="-4.3244727927488021E-2"/>
      </top>
      <bottom style="thin">
        <color theme="0" tint="-4.3244727927488021E-2"/>
      </bottom>
      <diagonal/>
    </border>
    <border>
      <left/>
      <right/>
      <top style="thin">
        <color theme="0" tint="-4.3244727927488021E-2"/>
      </top>
      <bottom style="thin">
        <color theme="0" tint="-4.3244727927488021E-2"/>
      </bottom>
      <diagonal/>
    </border>
    <border>
      <left/>
      <right style="thin">
        <color theme="0" tint="-0.14322336497085483"/>
      </right>
      <top style="thin">
        <color theme="0" tint="-4.3244727927488021E-2"/>
      </top>
      <bottom style="thin">
        <color theme="0" tint="-4.3244727927488021E-2"/>
      </bottom>
      <diagonal/>
    </border>
    <border>
      <left style="thin">
        <color theme="0" tint="-0.14322336497085483"/>
      </left>
      <right/>
      <top style="thin">
        <color theme="0" tint="-4.3244727927488021E-2"/>
      </top>
      <bottom style="thin">
        <color theme="0" tint="-4.3244727927488021E-2"/>
      </bottom>
      <diagonal/>
    </border>
    <border>
      <left/>
      <right style="thin">
        <color theme="0" tint="-0.14319284646137884"/>
      </right>
      <top style="thin">
        <color theme="0" tint="-0.14325388348033083"/>
      </top>
      <bottom style="thin">
        <color theme="0" tint="-0.14325388348033083"/>
      </bottom>
      <diagonal/>
    </border>
    <border>
      <left/>
      <right/>
      <top style="thin">
        <color theme="0" tint="-0.14325388348033083"/>
      </top>
      <bottom style="thin">
        <color theme="0" tint="-0.14325388348033083"/>
      </bottom>
      <diagonal/>
    </border>
    <border>
      <left/>
      <right style="thin">
        <color theme="0" tint="-0.14322336497085483"/>
      </right>
      <top style="thin">
        <color theme="0" tint="-0.14325388348033083"/>
      </top>
      <bottom style="thin">
        <color theme="0" tint="-0.14325388348033083"/>
      </bottom>
      <diagonal/>
    </border>
    <border>
      <left style="thin">
        <color theme="0" tint="-0.14322336497085483"/>
      </left>
      <right/>
      <top style="thin">
        <color theme="0" tint="-0.14325388348033083"/>
      </top>
      <bottom style="thin">
        <color theme="0" tint="-0.14325388348033083"/>
      </bottom>
      <diagonal/>
    </border>
    <border>
      <left/>
      <right style="thin">
        <color theme="0" tint="-0.14325388348033083"/>
      </right>
      <top style="thin">
        <color theme="0" tint="-0.14325388348033083"/>
      </top>
      <bottom style="thin">
        <color theme="0" tint="-0.14325388348033083"/>
      </bottom>
      <diagonal/>
    </border>
    <border>
      <left/>
      <right/>
      <top style="thin">
        <color rgb="FFDADADA"/>
      </top>
      <bottom style="thin">
        <color rgb="FFF4F4F4"/>
      </bottom>
      <diagonal/>
    </border>
    <border>
      <left style="thin">
        <color rgb="FFDADADA"/>
      </left>
      <right/>
      <top style="thin">
        <color rgb="FFDADADA"/>
      </top>
      <bottom style="thin">
        <color rgb="FFF4F4F4"/>
      </bottom>
      <diagonal/>
    </border>
    <border>
      <left/>
      <right/>
      <top style="thin">
        <color theme="0" tint="-0.14325388348033083"/>
      </top>
      <bottom style="thin">
        <color theme="0" tint="-3.7202063051240575E-2"/>
      </bottom>
      <diagonal/>
    </border>
    <border>
      <left/>
      <right style="thin">
        <color rgb="FFDADADA"/>
      </right>
      <top style="thin">
        <color rgb="FFDADADA"/>
      </top>
      <bottom style="thin">
        <color rgb="FFF6F6F6"/>
      </bottom>
      <diagonal/>
    </border>
    <border>
      <left/>
      <right/>
      <top style="thin">
        <color rgb="FFDADADA"/>
      </top>
      <bottom style="thin">
        <color rgb="FFF6F6F6"/>
      </bottom>
      <diagonal/>
    </border>
    <border>
      <left/>
      <right style="thin">
        <color theme="0" tint="-0.14325388348033083"/>
      </right>
      <top style="thin">
        <color theme="0" tint="-4.3244727927488021E-2"/>
      </top>
      <bottom style="thin">
        <color theme="0" tint="-4.3244727927488021E-2"/>
      </bottom>
      <diagonal/>
    </border>
    <border>
      <left/>
      <right/>
      <top style="thin">
        <color theme="0" tint="-3.7202063051240575E-2"/>
      </top>
      <bottom style="thin">
        <color theme="0" tint="-3.7202063051240575E-2"/>
      </bottom>
      <diagonal/>
    </border>
    <border>
      <left/>
      <right style="thin">
        <color theme="0" tint="-0.14322336497085483"/>
      </right>
      <top style="thin">
        <color theme="0" tint="-3.7202063051240575E-2"/>
      </top>
      <bottom style="thin">
        <color theme="0" tint="-3.7202063051240575E-2"/>
      </bottom>
      <diagonal/>
    </border>
    <border>
      <left/>
      <right style="thin">
        <color rgb="FFDADADA"/>
      </right>
      <top style="thin">
        <color rgb="FFF6F6F6"/>
      </top>
      <bottom style="thin">
        <color rgb="FFF6F6F6"/>
      </bottom>
      <diagonal/>
    </border>
    <border>
      <left/>
      <right style="thin">
        <color theme="0" tint="-0.14319284646137884"/>
      </right>
      <top style="thin">
        <color theme="0" tint="-4.3244727927488021E-2"/>
      </top>
      <bottom style="thin">
        <color theme="0" tint="-0.14322336497085483"/>
      </bottom>
      <diagonal/>
    </border>
    <border>
      <left/>
      <right/>
      <top style="thin">
        <color theme="0" tint="-4.3244727927488021E-2"/>
      </top>
      <bottom style="thin">
        <color theme="0" tint="-0.14322336497085483"/>
      </bottom>
      <diagonal/>
    </border>
    <border>
      <left/>
      <right style="thin">
        <color theme="0" tint="-0.14322336497085483"/>
      </right>
      <top style="thin">
        <color theme="0" tint="-4.3244727927488021E-2"/>
      </top>
      <bottom style="thin">
        <color theme="0" tint="-0.14322336497085483"/>
      </bottom>
      <diagonal/>
    </border>
    <border>
      <left style="thin">
        <color theme="0" tint="-0.14322336497085483"/>
      </left>
      <right/>
      <top style="thin">
        <color theme="0" tint="-4.3244727927488021E-2"/>
      </top>
      <bottom style="thin">
        <color theme="0" tint="-0.14322336497085483"/>
      </bottom>
      <diagonal/>
    </border>
    <border>
      <left/>
      <right style="thin">
        <color theme="0" tint="-0.14325388348033083"/>
      </right>
      <top style="thin">
        <color theme="0" tint="-4.3244727927488021E-2"/>
      </top>
      <bottom style="thin">
        <color theme="0" tint="-0.14322336497085483"/>
      </bottom>
      <diagonal/>
    </border>
    <border>
      <left/>
      <right/>
      <top style="thin">
        <color rgb="FFF6F6F6"/>
      </top>
      <bottom style="thin">
        <color rgb="FFDADADA"/>
      </bottom>
      <diagonal/>
    </border>
    <border>
      <left/>
      <right style="thin">
        <color rgb="FFDADADA"/>
      </right>
      <top style="thin">
        <color rgb="FFF6F6F6"/>
      </top>
      <bottom style="thin">
        <color rgb="FFDADADA"/>
      </bottom>
      <diagonal/>
    </border>
    <border>
      <left/>
      <right/>
      <top/>
      <bottom style="thin">
        <color theme="0" tint="-0.14401684621723074"/>
      </bottom>
      <diagonal/>
    </border>
    <border>
      <left/>
      <right style="thin">
        <color theme="0" tint="-0.14398632770775474"/>
      </right>
      <top style="thin">
        <color theme="0" tint="-0.14401684621723074"/>
      </top>
      <bottom style="thin">
        <color theme="0" tint="-0.14401684621723074"/>
      </bottom>
      <diagonal/>
    </border>
    <border>
      <left/>
      <right/>
      <top style="thin">
        <color theme="0" tint="-0.14401684621723074"/>
      </top>
      <bottom style="thin">
        <color theme="0" tint="-0.14401684621723074"/>
      </bottom>
      <diagonal/>
    </border>
    <border>
      <left style="thin">
        <color theme="0" tint="-0.14398632770775474"/>
      </left>
      <right/>
      <top style="thin">
        <color theme="0" tint="-0.14401684621723074"/>
      </top>
      <bottom style="thin">
        <color theme="0" tint="-0.14401684621723074"/>
      </bottom>
      <diagonal/>
    </border>
    <border>
      <left/>
      <right style="thin">
        <color theme="0" tint="-0.14392529068880275"/>
      </right>
      <top style="thin">
        <color theme="0" tint="-0.14401684621723074"/>
      </top>
      <bottom style="thin">
        <color theme="0" tint="-0.14401684621723074"/>
      </bottom>
      <diagonal/>
    </border>
    <border>
      <left style="thin">
        <color theme="0" tint="-0.14392529068880275"/>
      </left>
      <right/>
      <top style="thin">
        <color theme="0" tint="-0.14401684621723074"/>
      </top>
      <bottom style="thin">
        <color theme="0" tint="-0.14401684621723074"/>
      </bottom>
      <diagonal/>
    </border>
    <border>
      <left/>
      <right style="thin">
        <color theme="0" tint="-0.14398632770775474"/>
      </right>
      <top style="thin">
        <color theme="0" tint="-0.14401684621723074"/>
      </top>
      <bottom style="thin">
        <color theme="0" tint="-4.4038209173863946E-2"/>
      </bottom>
      <diagonal/>
    </border>
    <border>
      <left/>
      <right/>
      <top style="thin">
        <color theme="0" tint="-0.14401684621723074"/>
      </top>
      <bottom style="thin">
        <color theme="0" tint="-4.4038209173863946E-2"/>
      </bottom>
      <diagonal/>
    </border>
    <border>
      <left style="thin">
        <color theme="0" tint="-0.14398632770775474"/>
      </left>
      <right/>
      <top style="thin">
        <color theme="0" tint="-0.14401684621723074"/>
      </top>
      <bottom style="thin">
        <color theme="0" tint="-4.4038209173863946E-2"/>
      </bottom>
      <diagonal/>
    </border>
    <border>
      <left style="thin">
        <color theme="0" tint="-0.14392529068880275"/>
      </left>
      <right/>
      <top style="thin">
        <color theme="0" tint="-0.14401684621723074"/>
      </top>
      <bottom style="thin">
        <color theme="0" tint="-4.4038209173863946E-2"/>
      </bottom>
      <diagonal/>
    </border>
    <border>
      <left/>
      <right style="thin">
        <color theme="0" tint="-0.14392529068880275"/>
      </right>
      <top style="thin">
        <color theme="0" tint="-0.14401684621723074"/>
      </top>
      <bottom style="thin">
        <color theme="0" tint="-4.4038209173863946E-2"/>
      </bottom>
      <diagonal/>
    </border>
    <border>
      <left/>
      <right style="thin">
        <color theme="0" tint="-0.14398632770775474"/>
      </right>
      <top style="thin">
        <color theme="0" tint="-4.4038209173863946E-2"/>
      </top>
      <bottom style="thin">
        <color theme="0" tint="-4.4038209173863946E-2"/>
      </bottom>
      <diagonal/>
    </border>
    <border>
      <left/>
      <right/>
      <top style="thin">
        <color theme="0" tint="-4.4038209173863946E-2"/>
      </top>
      <bottom style="thin">
        <color theme="0" tint="-4.4038209173863946E-2"/>
      </bottom>
      <diagonal/>
    </border>
    <border>
      <left style="thin">
        <color theme="0" tint="-0.14398632770775474"/>
      </left>
      <right/>
      <top style="thin">
        <color theme="0" tint="-4.4038209173863946E-2"/>
      </top>
      <bottom style="thin">
        <color theme="0" tint="-4.4038209173863946E-2"/>
      </bottom>
      <diagonal/>
    </border>
    <border>
      <left style="thin">
        <color theme="0" tint="-0.14392529068880275"/>
      </left>
      <right/>
      <top style="thin">
        <color theme="0" tint="-4.4038209173863946E-2"/>
      </top>
      <bottom style="thin">
        <color theme="0" tint="-4.4038209173863946E-2"/>
      </bottom>
      <diagonal/>
    </border>
    <border>
      <left/>
      <right style="thin">
        <color theme="0" tint="-0.14392529068880275"/>
      </right>
      <top style="thin">
        <color theme="0" tint="-4.4038209173863946E-2"/>
      </top>
      <bottom style="thin">
        <color theme="0" tint="-4.4038209173863946E-2"/>
      </bottom>
      <diagonal/>
    </border>
    <border>
      <left/>
      <right style="thin">
        <color theme="0" tint="-0.14398632770775474"/>
      </right>
      <top style="thin">
        <color theme="0" tint="-4.4038209173863946E-2"/>
      </top>
      <bottom style="thin">
        <color theme="0" tint="-0.14401684621723074"/>
      </bottom>
      <diagonal/>
    </border>
    <border>
      <left/>
      <right/>
      <top style="thin">
        <color theme="0" tint="-4.4038209173863946E-2"/>
      </top>
      <bottom style="thin">
        <color theme="0" tint="-0.14401684621723074"/>
      </bottom>
      <diagonal/>
    </border>
    <border>
      <left style="thin">
        <color theme="0" tint="-0.14398632770775474"/>
      </left>
      <right/>
      <top style="thin">
        <color theme="0" tint="-4.4038209173863946E-2"/>
      </top>
      <bottom style="thin">
        <color theme="0" tint="-0.14401684621723074"/>
      </bottom>
      <diagonal/>
    </border>
    <border>
      <left style="thin">
        <color theme="0" tint="-0.14392529068880275"/>
      </left>
      <right/>
      <top style="thin">
        <color theme="0" tint="-4.4038209173863946E-2"/>
      </top>
      <bottom style="thin">
        <color theme="0" tint="-0.14401684621723074"/>
      </bottom>
      <diagonal/>
    </border>
    <border>
      <left/>
      <right style="thin">
        <color theme="0" tint="-0.14392529068880275"/>
      </right>
      <top style="thin">
        <color theme="0" tint="-4.4038209173863946E-2"/>
      </top>
      <bottom style="thin">
        <color theme="0" tint="-0.14401684621723074"/>
      </bottom>
      <diagonal/>
    </border>
    <border>
      <left/>
      <right style="thin">
        <color theme="0" tint="-0.14661091952269051"/>
      </right>
      <top style="thin">
        <color theme="0" tint="-0.1466414380321665"/>
      </top>
      <bottom style="thin">
        <color theme="0" tint="-0.1466414380321665"/>
      </bottom>
      <diagonal/>
    </border>
    <border>
      <left/>
      <right/>
      <top style="thin">
        <color theme="0" tint="-0.1466414380321665"/>
      </top>
      <bottom style="thin">
        <color theme="0" tint="-0.1466414380321665"/>
      </bottom>
      <diagonal/>
    </border>
    <border>
      <left/>
      <right style="thin">
        <color theme="0" tint="-0.14658040101321451"/>
      </right>
      <top style="thin">
        <color theme="0" tint="-0.1466414380321665"/>
      </top>
      <bottom style="thin">
        <color theme="0" tint="-0.1466414380321665"/>
      </bottom>
      <diagonal/>
    </border>
    <border>
      <left style="thin">
        <color theme="0" tint="-0.14658040101321451"/>
      </left>
      <right/>
      <top style="thin">
        <color theme="0" tint="-0.1466414380321665"/>
      </top>
      <bottom style="thin">
        <color theme="0" tint="-0.1466414380321665"/>
      </bottom>
      <diagonal/>
    </border>
    <border>
      <left/>
      <right style="thin">
        <color theme="0" tint="-0.14654988250373852"/>
      </right>
      <top style="thin">
        <color theme="0" tint="-0.1466414380321665"/>
      </top>
      <bottom style="thin">
        <color theme="0" tint="-0.1466414380321665"/>
      </bottom>
      <diagonal/>
    </border>
    <border>
      <left style="thin">
        <color theme="0" tint="-0.14654988250373852"/>
      </left>
      <right/>
      <top style="thin">
        <color theme="0" tint="-0.1466414380321665"/>
      </top>
      <bottom style="thin">
        <color theme="0" tint="-0.1466414380321665"/>
      </bottom>
      <diagonal/>
    </border>
    <border>
      <left style="thin">
        <color rgb="FFDADADA"/>
      </left>
      <right/>
      <top style="thin">
        <color rgb="FFDADADA"/>
      </top>
      <bottom style="thin">
        <color rgb="FFDADADA"/>
      </bottom>
      <diagonal/>
    </border>
    <border>
      <left/>
      <right style="thin">
        <color theme="0" tint="-0.14661091952269051"/>
      </right>
      <top style="thin">
        <color theme="0" tint="-0.1466414380321665"/>
      </top>
      <bottom style="thin">
        <color theme="0" tint="-4.6723838007751699E-2"/>
      </bottom>
      <diagonal/>
    </border>
    <border>
      <left/>
      <right/>
      <top style="thin">
        <color theme="0" tint="-0.1466414380321665"/>
      </top>
      <bottom style="thin">
        <color theme="0" tint="-4.6723838007751699E-2"/>
      </bottom>
      <diagonal/>
    </border>
    <border>
      <left/>
      <right style="thin">
        <color theme="0" tint="-0.14658040101321451"/>
      </right>
      <top style="thin">
        <color theme="0" tint="-0.1466414380321665"/>
      </top>
      <bottom style="thin">
        <color theme="0" tint="-4.6723838007751699E-2"/>
      </bottom>
      <diagonal/>
    </border>
    <border>
      <left style="thin">
        <color theme="0" tint="-0.14658040101321451"/>
      </left>
      <right/>
      <top style="thin">
        <color theme="0" tint="-0.1466414380321665"/>
      </top>
      <bottom style="thin">
        <color theme="0" tint="-4.6723838007751699E-2"/>
      </bottom>
      <diagonal/>
    </border>
    <border>
      <left/>
      <right style="thin">
        <color theme="0" tint="-0.14654988250373852"/>
      </right>
      <top style="thin">
        <color theme="0" tint="-0.1466414380321665"/>
      </top>
      <bottom style="thin">
        <color theme="0" tint="-4.6723838007751699E-2"/>
      </bottom>
      <diagonal/>
    </border>
    <border>
      <left style="thin">
        <color rgb="FFDADADA"/>
      </left>
      <right/>
      <top style="thin">
        <color rgb="FFDADADA"/>
      </top>
      <bottom style="thin">
        <color rgb="FFF3F3F3"/>
      </bottom>
      <diagonal/>
    </border>
    <border>
      <left/>
      <right style="thin">
        <color theme="0" tint="-0.14661091952269051"/>
      </right>
      <top style="thin">
        <color theme="0" tint="-4.6723838007751699E-2"/>
      </top>
      <bottom style="thin">
        <color theme="0" tint="-4.6723838007751699E-2"/>
      </bottom>
      <diagonal/>
    </border>
    <border>
      <left/>
      <right/>
      <top style="thin">
        <color theme="0" tint="-4.6723838007751699E-2"/>
      </top>
      <bottom style="thin">
        <color theme="0" tint="-4.6723838007751699E-2"/>
      </bottom>
      <diagonal/>
    </border>
    <border>
      <left/>
      <right style="thin">
        <color theme="0" tint="-0.14658040101321451"/>
      </right>
      <top style="thin">
        <color theme="0" tint="-4.6723838007751699E-2"/>
      </top>
      <bottom style="thin">
        <color theme="0" tint="-4.6723838007751699E-2"/>
      </bottom>
      <diagonal/>
    </border>
    <border>
      <left style="thin">
        <color theme="0" tint="-0.14658040101321451"/>
      </left>
      <right/>
      <top style="thin">
        <color theme="0" tint="-4.6723838007751699E-2"/>
      </top>
      <bottom style="thin">
        <color theme="0" tint="-4.6723838007751699E-2"/>
      </bottom>
      <diagonal/>
    </border>
    <border>
      <left/>
      <right style="thin">
        <color theme="0" tint="-0.14654988250373852"/>
      </right>
      <top style="thin">
        <color theme="0" tint="-4.6723838007751699E-2"/>
      </top>
      <bottom style="thin">
        <color theme="0" tint="-4.6723838007751699E-2"/>
      </bottom>
      <diagonal/>
    </border>
    <border>
      <left style="thin">
        <color rgb="FFDADADA"/>
      </left>
      <right/>
      <top style="thin">
        <color rgb="FFF3F3F3"/>
      </top>
      <bottom style="thin">
        <color rgb="FFF3F3F3"/>
      </bottom>
      <diagonal/>
    </border>
    <border>
      <left/>
      <right/>
      <top style="thin">
        <color rgb="FFF3F3F3"/>
      </top>
      <bottom style="thin">
        <color rgb="FFF3F3F3"/>
      </bottom>
      <diagonal/>
    </border>
    <border>
      <left/>
      <right style="thin">
        <color theme="0" tint="-0.14661091952269051"/>
      </right>
      <top style="thin">
        <color theme="0" tint="-4.6723838007751699E-2"/>
      </top>
      <bottom style="thin">
        <color theme="0" tint="-0.1467024750511185"/>
      </bottom>
      <diagonal/>
    </border>
    <border>
      <left/>
      <right/>
      <top style="thin">
        <color theme="0" tint="-4.6723838007751699E-2"/>
      </top>
      <bottom style="thin">
        <color theme="0" tint="-0.1467024750511185"/>
      </bottom>
      <diagonal/>
    </border>
    <border>
      <left/>
      <right style="thin">
        <color theme="0" tint="-0.14658040101321451"/>
      </right>
      <top style="thin">
        <color theme="0" tint="-4.6723838007751699E-2"/>
      </top>
      <bottom style="thin">
        <color theme="0" tint="-0.1467024750511185"/>
      </bottom>
      <diagonal/>
    </border>
    <border>
      <left style="thin">
        <color theme="0" tint="-0.14658040101321451"/>
      </left>
      <right/>
      <top style="thin">
        <color theme="0" tint="-4.6723838007751699E-2"/>
      </top>
      <bottom style="thin">
        <color theme="0" tint="-0.1467024750511185"/>
      </bottom>
      <diagonal/>
    </border>
    <border>
      <left/>
      <right style="thin">
        <color theme="0" tint="-0.14654988250373852"/>
      </right>
      <top style="thin">
        <color theme="0" tint="-4.6723838007751699E-2"/>
      </top>
      <bottom style="thin">
        <color theme="0" tint="-0.1467024750511185"/>
      </bottom>
      <diagonal/>
    </border>
    <border>
      <left style="thin">
        <color rgb="FFDADADA"/>
      </left>
      <right/>
      <top style="thin">
        <color rgb="FFF3F3F3"/>
      </top>
      <bottom style="thin">
        <color rgb="FFDADADA"/>
      </bottom>
      <diagonal/>
    </border>
    <border>
      <left/>
      <right style="thin">
        <color theme="0" tint="-0.1467024750511185"/>
      </right>
      <top style="thin">
        <color theme="0" tint="-0.1466414380321665"/>
      </top>
      <bottom style="thin">
        <color theme="0" tint="-0.1466414380321665"/>
      </bottom>
      <diagonal/>
    </border>
    <border>
      <left style="thin">
        <color theme="0" tint="-0.1467024750511185"/>
      </left>
      <right/>
      <top style="thin">
        <color theme="0" tint="-0.1466414380321665"/>
      </top>
      <bottom style="thin">
        <color theme="0" tint="-0.1466414380321665"/>
      </bottom>
      <diagonal/>
    </border>
    <border>
      <left/>
      <right style="thin">
        <color theme="0" tint="-0.1466719565416425"/>
      </right>
      <top style="thin">
        <color theme="0" tint="-0.1466414380321665"/>
      </top>
      <bottom style="thin">
        <color theme="0" tint="-0.1466414380321665"/>
      </bottom>
      <diagonal/>
    </border>
    <border>
      <left style="thin">
        <color theme="0" tint="-0.1466719565416425"/>
      </left>
      <right/>
      <top style="thin">
        <color theme="0" tint="-0.1466414380321665"/>
      </top>
      <bottom style="thin">
        <color theme="0" tint="-0.1466414380321665"/>
      </bottom>
      <diagonal/>
    </border>
    <border>
      <left/>
      <right style="thin">
        <color theme="0" tint="-0.1467024750511185"/>
      </right>
      <top style="thin">
        <color theme="0" tint="-0.1466414380321665"/>
      </top>
      <bottom style="thin">
        <color theme="0" tint="-4.6723838007751699E-2"/>
      </bottom>
      <diagonal/>
    </border>
    <border>
      <left style="thin">
        <color theme="0" tint="-0.1467024750511185"/>
      </left>
      <right/>
      <top style="thin">
        <color theme="0" tint="-0.1466414380321665"/>
      </top>
      <bottom style="thin">
        <color theme="0" tint="-4.6723838007751699E-2"/>
      </bottom>
      <diagonal/>
    </border>
    <border>
      <left/>
      <right style="thin">
        <color theme="0" tint="-0.1466719565416425"/>
      </right>
      <top style="thin">
        <color theme="0" tint="-0.1466414380321665"/>
      </top>
      <bottom style="thin">
        <color theme="0" tint="-4.6723838007751699E-2"/>
      </bottom>
      <diagonal/>
    </border>
    <border>
      <left/>
      <right style="thin">
        <color theme="0" tint="-0.1467024750511185"/>
      </right>
      <top style="thin">
        <color theme="0" tint="-4.6723838007751699E-2"/>
      </top>
      <bottom style="thin">
        <color theme="0" tint="-4.6723838007751699E-2"/>
      </bottom>
      <diagonal/>
    </border>
    <border>
      <left style="thin">
        <color theme="0" tint="-0.1467024750511185"/>
      </left>
      <right/>
      <top style="thin">
        <color theme="0" tint="-4.6723838007751699E-2"/>
      </top>
      <bottom style="thin">
        <color theme="0" tint="-4.6723838007751699E-2"/>
      </bottom>
      <diagonal/>
    </border>
    <border>
      <left/>
      <right style="thin">
        <color theme="0" tint="-0.1466719565416425"/>
      </right>
      <top style="thin">
        <color theme="0" tint="-4.6723838007751699E-2"/>
      </top>
      <bottom style="thin">
        <color theme="0" tint="-4.6723838007751699E-2"/>
      </bottom>
      <diagonal/>
    </border>
    <border>
      <left/>
      <right style="thin">
        <color theme="0" tint="-0.14661091952269051"/>
      </right>
      <top style="thin">
        <color theme="0" tint="-4.6723838007751699E-2"/>
      </top>
      <bottom style="thin">
        <color theme="0" tint="-0.1466414380321665"/>
      </bottom>
      <diagonal/>
    </border>
    <border>
      <left/>
      <right/>
      <top style="thin">
        <color theme="0" tint="-4.6723838007751699E-2"/>
      </top>
      <bottom style="thin">
        <color theme="0" tint="-0.1466414380321665"/>
      </bottom>
      <diagonal/>
    </border>
    <border>
      <left/>
      <right style="thin">
        <color theme="0" tint="-0.1467024750511185"/>
      </right>
      <top style="thin">
        <color theme="0" tint="-4.6723838007751699E-2"/>
      </top>
      <bottom style="thin">
        <color theme="0" tint="-0.1466414380321665"/>
      </bottom>
      <diagonal/>
    </border>
    <border>
      <left style="thin">
        <color theme="0" tint="-0.1467024750511185"/>
      </left>
      <right/>
      <top style="thin">
        <color theme="0" tint="-4.6723838007751699E-2"/>
      </top>
      <bottom style="thin">
        <color theme="0" tint="-0.1466414380321665"/>
      </bottom>
      <diagonal/>
    </border>
    <border>
      <left/>
      <right style="thin">
        <color theme="0" tint="-0.1466719565416425"/>
      </right>
      <top style="thin">
        <color theme="0" tint="-4.6723838007751699E-2"/>
      </top>
      <bottom style="thin">
        <color theme="0" tint="-0.1466414380321665"/>
      </bottom>
      <diagonal/>
    </border>
    <border>
      <left/>
      <right style="thin">
        <color theme="0" tint="-0.1467024750511185"/>
      </right>
      <top style="thin">
        <color theme="0" tint="-4.6723838007751699E-2"/>
      </top>
      <bottom style="thin">
        <color theme="0" tint="-0.1467024750511185"/>
      </bottom>
      <diagonal/>
    </border>
    <border>
      <left/>
      <right style="thin">
        <color theme="0" tint="-0.14270455030976287"/>
      </right>
      <top style="thin">
        <color theme="0" tint="-0.14273506881923886"/>
      </top>
      <bottom style="thin">
        <color theme="0" tint="-0.14273506881923886"/>
      </bottom>
      <diagonal/>
    </border>
    <border>
      <left/>
      <right/>
      <top style="thin">
        <color theme="0" tint="-0.14273506881923886"/>
      </top>
      <bottom style="thin">
        <color theme="0" tint="-0.14273506881923886"/>
      </bottom>
      <diagonal/>
    </border>
    <border>
      <left/>
      <right style="thin">
        <color theme="0" tint="-0.14267403180028687"/>
      </right>
      <top style="thin">
        <color theme="0" tint="-0.14273506881923886"/>
      </top>
      <bottom style="thin">
        <color theme="0" tint="-0.14273506881923886"/>
      </bottom>
      <diagonal/>
    </border>
    <border>
      <left style="thin">
        <color theme="0" tint="-0.14267403180028687"/>
      </left>
      <right/>
      <top style="thin">
        <color theme="0" tint="-0.14273506881923886"/>
      </top>
      <bottom style="thin">
        <color theme="0" tint="-0.14273506881923886"/>
      </bottom>
      <diagonal/>
    </border>
    <border>
      <left/>
      <right style="thin">
        <color theme="0" tint="-0.14264351329081087"/>
      </right>
      <top style="thin">
        <color theme="0" tint="-0.14273506881923886"/>
      </top>
      <bottom style="thin">
        <color theme="0" tint="-0.14273506881923886"/>
      </bottom>
      <diagonal/>
    </border>
    <border>
      <left style="thin">
        <color theme="0" tint="-0.14261299478133488"/>
      </left>
      <right/>
      <top style="thin">
        <color theme="0" tint="-0.14273506881923886"/>
      </top>
      <bottom style="thin">
        <color theme="0" tint="-0.14273506881923886"/>
      </bottom>
      <diagonal/>
    </border>
    <border>
      <left/>
      <right style="thin">
        <color theme="0" tint="-0.14288766136661885"/>
      </right>
      <top style="thin">
        <color theme="0" tint="-0.14273506881923886"/>
      </top>
      <bottom style="thin">
        <color theme="0" tint="-0.14273506881923886"/>
      </bottom>
      <diagonal/>
    </border>
    <border>
      <left style="thin">
        <color theme="0" tint="-0.14264351329081087"/>
      </left>
      <right/>
      <top style="thin">
        <color theme="0" tint="-0.14273506881923886"/>
      </top>
      <bottom style="thin">
        <color theme="0" tint="-0.14273506881923886"/>
      </bottom>
      <diagonal/>
    </border>
    <border>
      <left/>
      <right style="thin">
        <color theme="0" tint="-0.14270455030976287"/>
      </right>
      <top style="thin">
        <color theme="0" tint="-0.14273506881923886"/>
      </top>
      <bottom style="thin">
        <color theme="0" tint="-4.2756431775872066E-2"/>
      </bottom>
      <diagonal/>
    </border>
    <border>
      <left/>
      <right/>
      <top style="thin">
        <color theme="0" tint="-0.14273506881923886"/>
      </top>
      <bottom style="thin">
        <color theme="0" tint="-4.2756431775872066E-2"/>
      </bottom>
      <diagonal/>
    </border>
    <border>
      <left/>
      <right style="thin">
        <color theme="0" tint="-0.14267403180028687"/>
      </right>
      <top style="thin">
        <color theme="0" tint="-0.14273506881923886"/>
      </top>
      <bottom style="thin">
        <color theme="0" tint="-4.2756431775872066E-2"/>
      </bottom>
      <diagonal/>
    </border>
    <border>
      <left style="thin">
        <color theme="0" tint="-0.14267403180028687"/>
      </left>
      <right/>
      <top style="thin">
        <color theme="0" tint="-0.14273506881923886"/>
      </top>
      <bottom style="thin">
        <color theme="0" tint="-4.2756431775872066E-2"/>
      </bottom>
      <diagonal/>
    </border>
    <border>
      <left/>
      <right style="thin">
        <color theme="0" tint="-0.14264351329081087"/>
      </right>
      <top style="thin">
        <color theme="0" tint="-0.14273506881923886"/>
      </top>
      <bottom style="thin">
        <color theme="0" tint="-4.2756431775872066E-2"/>
      </bottom>
      <diagonal/>
    </border>
    <border>
      <left style="thin">
        <color theme="0" tint="-0.14264351329081087"/>
      </left>
      <right/>
      <top style="thin">
        <color theme="0" tint="-0.14273506881923886"/>
      </top>
      <bottom style="thin">
        <color theme="0" tint="-4.2756431775872066E-2"/>
      </bottom>
      <diagonal/>
    </border>
    <border>
      <left style="thin">
        <color theme="0" tint="-0.14261299478133488"/>
      </left>
      <right/>
      <top style="thin">
        <color theme="0" tint="-0.14273506881923886"/>
      </top>
      <bottom style="thin">
        <color theme="0" tint="-4.2756431775872066E-2"/>
      </bottom>
      <diagonal/>
    </border>
    <border>
      <left/>
      <right style="thin">
        <color theme="0" tint="-0.14288766136661885"/>
      </right>
      <top style="thin">
        <color theme="0" tint="-0.14273506881923886"/>
      </top>
      <bottom style="thin">
        <color theme="0" tint="-4.2756431775872066E-2"/>
      </bottom>
      <diagonal/>
    </border>
    <border>
      <left/>
      <right style="thin">
        <color theme="0" tint="-0.14270455030976287"/>
      </right>
      <top style="thin">
        <color theme="0" tint="-4.2756431775872066E-2"/>
      </top>
      <bottom style="thin">
        <color theme="0" tint="-4.2756431775872066E-2"/>
      </bottom>
      <diagonal/>
    </border>
    <border>
      <left/>
      <right/>
      <top style="thin">
        <color theme="0" tint="-4.2756431775872066E-2"/>
      </top>
      <bottom style="thin">
        <color theme="0" tint="-4.2756431775872066E-2"/>
      </bottom>
      <diagonal/>
    </border>
    <border>
      <left/>
      <right style="thin">
        <color theme="0" tint="-0.14267403180028687"/>
      </right>
      <top style="thin">
        <color theme="0" tint="-4.2756431775872066E-2"/>
      </top>
      <bottom style="thin">
        <color theme="0" tint="-4.2756431775872066E-2"/>
      </bottom>
      <diagonal/>
    </border>
    <border>
      <left style="thin">
        <color theme="0" tint="-0.14267403180028687"/>
      </left>
      <right/>
      <top style="thin">
        <color theme="0" tint="-4.2756431775872066E-2"/>
      </top>
      <bottom style="thin">
        <color theme="0" tint="-4.2756431775872066E-2"/>
      </bottom>
      <diagonal/>
    </border>
    <border>
      <left/>
      <right style="thin">
        <color theme="0" tint="-0.14264351329081087"/>
      </right>
      <top style="thin">
        <color theme="0" tint="-4.2756431775872066E-2"/>
      </top>
      <bottom style="thin">
        <color theme="0" tint="-4.2756431775872066E-2"/>
      </bottom>
      <diagonal/>
    </border>
    <border>
      <left style="thin">
        <color theme="0" tint="-0.14264351329081087"/>
      </left>
      <right/>
      <top style="thin">
        <color theme="0" tint="-4.2756431775872066E-2"/>
      </top>
      <bottom style="thin">
        <color theme="0" tint="-4.2756431775872066E-2"/>
      </bottom>
      <diagonal/>
    </border>
    <border>
      <left style="thin">
        <color theme="0" tint="-0.14261299478133488"/>
      </left>
      <right/>
      <top style="thin">
        <color theme="0" tint="-4.2756431775872066E-2"/>
      </top>
      <bottom style="thin">
        <color theme="0" tint="-4.2756431775872066E-2"/>
      </bottom>
      <diagonal/>
    </border>
    <border>
      <left/>
      <right style="thin">
        <color theme="0" tint="-0.14288766136661885"/>
      </right>
      <top style="thin">
        <color theme="0" tint="-4.2756431775872066E-2"/>
      </top>
      <bottom style="thin">
        <color theme="0" tint="-4.2756431775872066E-2"/>
      </bottom>
      <diagonal/>
    </border>
    <border>
      <left/>
      <right style="thin">
        <color theme="0" tint="-0.14270455030976287"/>
      </right>
      <top style="thin">
        <color theme="0" tint="-4.2756431775872066E-2"/>
      </top>
      <bottom style="thin">
        <color theme="0" tint="-0.14273506881923886"/>
      </bottom>
      <diagonal/>
    </border>
    <border>
      <left/>
      <right/>
      <top style="thin">
        <color theme="0" tint="-4.2756431775872066E-2"/>
      </top>
      <bottom style="thin">
        <color theme="0" tint="-0.14273506881923886"/>
      </bottom>
      <diagonal/>
    </border>
    <border>
      <left/>
      <right style="thin">
        <color theme="0" tint="-0.14267403180028687"/>
      </right>
      <top style="thin">
        <color theme="0" tint="-4.2756431775872066E-2"/>
      </top>
      <bottom style="thin">
        <color theme="0" tint="-0.14273506881923886"/>
      </bottom>
      <diagonal/>
    </border>
    <border>
      <left style="thin">
        <color theme="0" tint="-0.14267403180028687"/>
      </left>
      <right/>
      <top style="thin">
        <color theme="0" tint="-4.2756431775872066E-2"/>
      </top>
      <bottom style="thin">
        <color theme="0" tint="-0.14273506881923886"/>
      </bottom>
      <diagonal/>
    </border>
    <border>
      <left/>
      <right style="thin">
        <color theme="0" tint="-0.14264351329081087"/>
      </right>
      <top style="thin">
        <color theme="0" tint="-4.2756431775872066E-2"/>
      </top>
      <bottom style="thin">
        <color theme="0" tint="-0.14273506881923886"/>
      </bottom>
      <diagonal/>
    </border>
    <border>
      <left style="thin">
        <color theme="0" tint="-0.14264351329081087"/>
      </left>
      <right/>
      <top style="thin">
        <color theme="0" tint="-4.2756431775872066E-2"/>
      </top>
      <bottom style="thin">
        <color theme="0" tint="-0.14273506881923886"/>
      </bottom>
      <diagonal/>
    </border>
    <border>
      <left style="thin">
        <color theme="0" tint="-0.14261299478133488"/>
      </left>
      <right/>
      <top style="thin">
        <color theme="0" tint="-4.2756431775872066E-2"/>
      </top>
      <bottom style="thin">
        <color theme="0" tint="-0.14273506881923886"/>
      </bottom>
      <diagonal/>
    </border>
    <border>
      <left/>
      <right style="thin">
        <color theme="0" tint="-0.14288766136661885"/>
      </right>
      <top style="thin">
        <color theme="0" tint="-4.2756431775872066E-2"/>
      </top>
      <bottom style="thin">
        <color theme="0" tint="-0.14273506881923886"/>
      </bottom>
      <diagonal/>
    </border>
    <border>
      <left/>
      <right style="thin">
        <color theme="0" tint="-0.14612262337107457"/>
      </right>
      <top style="thin">
        <color theme="0" tint="-0.14612262337107457"/>
      </top>
      <bottom style="thin">
        <color theme="0" tint="-0.14612262337107457"/>
      </bottom>
      <diagonal/>
    </border>
    <border>
      <left/>
      <right/>
      <top style="thin">
        <color theme="0" tint="-0.14612262337107457"/>
      </top>
      <bottom style="thin">
        <color theme="0" tint="-0.14612262337107457"/>
      </bottom>
      <diagonal/>
    </border>
    <border>
      <left/>
      <right style="thin">
        <color theme="0" tint="-0.14609210486159857"/>
      </right>
      <top style="thin">
        <color theme="0" tint="-0.14612262337107457"/>
      </top>
      <bottom style="thin">
        <color theme="0" tint="-0.14612262337107457"/>
      </bottom>
      <diagonal/>
    </border>
    <border>
      <left style="thin">
        <color theme="0" tint="-0.14609210486159857"/>
      </left>
      <right/>
      <top style="thin">
        <color theme="0" tint="-0.14612262337107457"/>
      </top>
      <bottom style="thin">
        <color theme="0" tint="-0.14612262337107457"/>
      </bottom>
      <diagonal/>
    </border>
    <border>
      <left/>
      <right style="thin">
        <color theme="0" tint="-0.14606158635212257"/>
      </right>
      <top style="thin">
        <color theme="0" tint="-0.14612262337107457"/>
      </top>
      <bottom style="thin">
        <color theme="0" tint="-0.14612262337107457"/>
      </bottom>
      <diagonal/>
    </border>
    <border>
      <left style="thin">
        <color theme="0" tint="-0.14606158635212257"/>
      </left>
      <right/>
      <top style="thin">
        <color theme="0" tint="-0.14612262337107457"/>
      </top>
      <bottom style="thin">
        <color theme="0" tint="-0.14612262337107457"/>
      </bottom>
      <diagonal/>
    </border>
    <border>
      <left style="thin">
        <color theme="0" tint="-0.14603106784264658"/>
      </left>
      <right/>
      <top style="thin">
        <color theme="0" tint="-0.14612262337107457"/>
      </top>
      <bottom style="thin">
        <color theme="0" tint="-0.14612262337107457"/>
      </bottom>
      <diagonal/>
    </border>
    <border>
      <left/>
      <right style="thin">
        <color theme="0" tint="-0.14603106784264658"/>
      </right>
      <top style="thin">
        <color theme="0" tint="-0.14612262337107457"/>
      </top>
      <bottom style="thin">
        <color theme="0" tint="-0.14612262337107457"/>
      </bottom>
      <diagonal/>
    </border>
    <border>
      <left/>
      <right style="thin">
        <color rgb="FFDADADA"/>
      </right>
      <top style="thin">
        <color rgb="FFDADADA"/>
      </top>
      <bottom style="thin">
        <color rgb="FFF3F3F3"/>
      </bottom>
      <diagonal/>
    </border>
    <border>
      <left/>
      <right/>
      <top style="thin">
        <color rgb="FFDADADA"/>
      </top>
      <bottom style="thin">
        <color rgb="FFF3F3F3"/>
      </bottom>
      <diagonal/>
    </border>
    <border>
      <left/>
      <right style="thin">
        <color theme="0" tint="-0.14612262337107457"/>
      </right>
      <top style="thin">
        <color theme="0" tint="-4.5899838251899777E-2"/>
      </top>
      <bottom style="thin">
        <color theme="0" tint="-4.5899838251899777E-2"/>
      </bottom>
      <diagonal/>
    </border>
    <border>
      <left/>
      <right/>
      <top style="thin">
        <color theme="0" tint="-4.5899838251899777E-2"/>
      </top>
      <bottom style="thin">
        <color theme="0" tint="-4.5899838251899777E-2"/>
      </bottom>
      <diagonal/>
    </border>
    <border>
      <left/>
      <right style="thin">
        <color theme="0" tint="-0.14609210486159857"/>
      </right>
      <top style="thin">
        <color theme="0" tint="-4.5899838251899777E-2"/>
      </top>
      <bottom style="thin">
        <color theme="0" tint="-4.5899838251899777E-2"/>
      </bottom>
      <diagonal/>
    </border>
    <border>
      <left style="thin">
        <color theme="0" tint="-0.14609210486159857"/>
      </left>
      <right/>
      <top style="thin">
        <color theme="0" tint="-4.5899838251899777E-2"/>
      </top>
      <bottom style="thin">
        <color theme="0" tint="-4.5899838251899777E-2"/>
      </bottom>
      <diagonal/>
    </border>
    <border>
      <left/>
      <right style="thin">
        <color theme="0" tint="-0.14606158635212257"/>
      </right>
      <top style="thin">
        <color theme="0" tint="-4.5899838251899777E-2"/>
      </top>
      <bottom style="thin">
        <color theme="0" tint="-4.5899838251899777E-2"/>
      </bottom>
      <diagonal/>
    </border>
    <border>
      <left style="thin">
        <color theme="0" tint="-0.14606158635212257"/>
      </left>
      <right/>
      <top style="thin">
        <color theme="0" tint="-4.5899838251899777E-2"/>
      </top>
      <bottom style="thin">
        <color theme="0" tint="-4.5899838251899777E-2"/>
      </bottom>
      <diagonal/>
    </border>
    <border>
      <left style="thin">
        <color theme="0" tint="-0.14603106784264658"/>
      </left>
      <right/>
      <top style="thin">
        <color theme="0" tint="-4.5899838251899777E-2"/>
      </top>
      <bottom style="thin">
        <color theme="0" tint="-4.5899838251899777E-2"/>
      </bottom>
      <diagonal/>
    </border>
    <border>
      <left/>
      <right style="thin">
        <color theme="0" tint="-0.14603106784264658"/>
      </right>
      <top style="thin">
        <color theme="0" tint="-4.5899838251899777E-2"/>
      </top>
      <bottom style="thin">
        <color theme="0" tint="-4.5899838251899777E-2"/>
      </bottom>
      <diagonal/>
    </border>
    <border>
      <left/>
      <right style="thin">
        <color theme="0" tint="-0.14612262337107457"/>
      </right>
      <top style="thin">
        <color theme="0" tint="-4.5899838251899777E-2"/>
      </top>
      <bottom style="thin">
        <color theme="0" tint="-0.14621417889950256"/>
      </bottom>
      <diagonal/>
    </border>
    <border>
      <left/>
      <right/>
      <top style="thin">
        <color theme="0" tint="-4.5899838251899777E-2"/>
      </top>
      <bottom style="thin">
        <color theme="0" tint="-0.14621417889950256"/>
      </bottom>
      <diagonal/>
    </border>
    <border>
      <left/>
      <right style="thin">
        <color theme="0" tint="-0.14609210486159857"/>
      </right>
      <top style="thin">
        <color theme="0" tint="-4.5899838251899777E-2"/>
      </top>
      <bottom style="thin">
        <color theme="0" tint="-0.14621417889950256"/>
      </bottom>
      <diagonal/>
    </border>
    <border>
      <left style="thin">
        <color theme="0" tint="-0.14609210486159857"/>
      </left>
      <right/>
      <top style="thin">
        <color theme="0" tint="-4.5899838251899777E-2"/>
      </top>
      <bottom style="thin">
        <color theme="0" tint="-0.14621417889950256"/>
      </bottom>
      <diagonal/>
    </border>
    <border>
      <left/>
      <right style="thin">
        <color theme="0" tint="-0.14606158635212257"/>
      </right>
      <top style="thin">
        <color theme="0" tint="-4.5899838251899777E-2"/>
      </top>
      <bottom style="thin">
        <color theme="0" tint="-0.14621417889950256"/>
      </bottom>
      <diagonal/>
    </border>
    <border>
      <left style="thin">
        <color theme="0" tint="-0.14606158635212257"/>
      </left>
      <right/>
      <top style="thin">
        <color theme="0" tint="-4.5899838251899777E-2"/>
      </top>
      <bottom style="thin">
        <color theme="0" tint="-0.14621417889950256"/>
      </bottom>
      <diagonal/>
    </border>
    <border>
      <left style="thin">
        <color theme="0" tint="-0.14603106784264658"/>
      </left>
      <right/>
      <top style="thin">
        <color theme="0" tint="-4.5899838251899777E-2"/>
      </top>
      <bottom style="thin">
        <color theme="0" tint="-0.14621417889950256"/>
      </bottom>
      <diagonal/>
    </border>
    <border>
      <left/>
      <right style="thin">
        <color theme="0" tint="-0.14603106784264658"/>
      </right>
      <top style="thin">
        <color theme="0" tint="-4.5899838251899777E-2"/>
      </top>
      <bottom style="thin">
        <color theme="0" tint="-0.14621417889950256"/>
      </bottom>
      <diagonal/>
    </border>
    <border>
      <left/>
      <right/>
      <top/>
      <bottom style="thin">
        <color theme="0" tint="-0.14612262337107457"/>
      </bottom>
      <diagonal/>
    </border>
    <border>
      <left/>
      <right style="thin">
        <color theme="0" tint="-0.14612262337107457"/>
      </right>
      <top style="thin">
        <color theme="0" tint="-4.5899838251899777E-2"/>
      </top>
      <bottom style="thin">
        <color theme="0" tint="-0.14612262337107457"/>
      </bottom>
      <diagonal/>
    </border>
    <border>
      <left/>
      <right/>
      <top style="thin">
        <color theme="0" tint="-4.5899838251899777E-2"/>
      </top>
      <bottom style="thin">
        <color theme="0" tint="-0.14612262337107457"/>
      </bottom>
      <diagonal/>
    </border>
    <border>
      <left/>
      <right style="thin">
        <color theme="0" tint="-0.14609210486159857"/>
      </right>
      <top style="thin">
        <color theme="0" tint="-4.5899838251899777E-2"/>
      </top>
      <bottom style="thin">
        <color theme="0" tint="-0.14612262337107457"/>
      </bottom>
      <diagonal/>
    </border>
    <border>
      <left style="thin">
        <color theme="0" tint="-0.14609210486159857"/>
      </left>
      <right/>
      <top style="thin">
        <color theme="0" tint="-4.5899838251899777E-2"/>
      </top>
      <bottom style="thin">
        <color theme="0" tint="-0.14612262337107457"/>
      </bottom>
      <diagonal/>
    </border>
    <border>
      <left/>
      <right style="thin">
        <color theme="0" tint="-0.14606158635212257"/>
      </right>
      <top style="thin">
        <color theme="0" tint="-4.5899838251899777E-2"/>
      </top>
      <bottom style="thin">
        <color theme="0" tint="-0.14612262337107457"/>
      </bottom>
      <diagonal/>
    </border>
    <border>
      <left style="thin">
        <color theme="0" tint="-0.14606158635212257"/>
      </left>
      <right/>
      <top style="thin">
        <color theme="0" tint="-4.5899838251899777E-2"/>
      </top>
      <bottom style="thin">
        <color theme="0" tint="-0.14612262337107457"/>
      </bottom>
      <diagonal/>
    </border>
    <border>
      <left/>
      <right style="thin">
        <color theme="0" tint="-0.14746543778801843"/>
      </right>
      <top style="thin">
        <color theme="0" tint="-0.14746543778801843"/>
      </top>
      <bottom style="thin">
        <color theme="0" tint="-0.14746543778801843"/>
      </bottom>
      <diagonal/>
    </border>
    <border>
      <left style="thin">
        <color theme="0" tint="-0.14746543778801843"/>
      </left>
      <right/>
      <top style="thin">
        <color theme="0" tint="-0.14746543778801843"/>
      </top>
      <bottom style="thin">
        <color theme="0" tint="-0.14746543778801843"/>
      </bottom>
      <diagonal/>
    </border>
    <border>
      <left/>
      <right/>
      <top style="thin">
        <color theme="0" tint="-0.14746543778801843"/>
      </top>
      <bottom style="thin">
        <color theme="0" tint="-0.14746543778801843"/>
      </bottom>
      <diagonal/>
    </border>
    <border>
      <left style="thin">
        <color theme="0" tint="-4.5991393780327766E-2"/>
      </left>
      <right style="thin">
        <color theme="0" tint="-0.14746543778801843"/>
      </right>
      <top style="thin">
        <color theme="0" tint="-0.14746543778801843"/>
      </top>
      <bottom style="thin">
        <color theme="0" tint="-0.14746543778801843"/>
      </bottom>
      <diagonal/>
    </border>
    <border>
      <left style="thin">
        <color theme="0" tint="-4.5991393780327766E-2"/>
      </left>
      <right/>
      <top style="thin">
        <color theme="0" tint="-0.14746543778801843"/>
      </top>
      <bottom style="thin">
        <color theme="0" tint="-0.14746543778801843"/>
      </bottom>
      <diagonal/>
    </border>
    <border>
      <left/>
      <right style="thin">
        <color rgb="FFD9D9D9"/>
      </right>
      <top style="thin">
        <color rgb="FFD9D9D9"/>
      </top>
      <bottom style="thin">
        <color rgb="FFF3F3F3"/>
      </bottom>
      <diagonal/>
    </border>
    <border>
      <left style="thin">
        <color rgb="FFF3F3F3"/>
      </left>
      <right/>
      <top style="thin">
        <color rgb="FFD9D9D9"/>
      </top>
      <bottom style="thin">
        <color rgb="FFF3F3F3"/>
      </bottom>
      <diagonal/>
    </border>
    <border>
      <left/>
      <right style="thin">
        <color theme="0" tint="-0.14746543778801843"/>
      </right>
      <top style="thin">
        <color theme="0" tint="-4.7212134159367654E-2"/>
      </top>
      <bottom style="thin">
        <color theme="0" tint="-4.7212134159367654E-2"/>
      </bottom>
      <diagonal/>
    </border>
    <border>
      <left style="thin">
        <color theme="0" tint="-4.5991393780327766E-2"/>
      </left>
      <right/>
      <top style="thin">
        <color theme="0" tint="-4.7212134159367654E-2"/>
      </top>
      <bottom style="thin">
        <color theme="0" tint="-4.7212134159367654E-2"/>
      </bottom>
      <diagonal/>
    </border>
    <border>
      <left/>
      <right style="thin">
        <color rgb="FFD9D9D9"/>
      </right>
      <top style="thin">
        <color rgb="FFF3F3F3"/>
      </top>
      <bottom style="thin">
        <color rgb="FFD9D9D9"/>
      </bottom>
      <diagonal/>
    </border>
    <border>
      <left style="thin">
        <color rgb="FFF3F3F3"/>
      </left>
      <right/>
      <top style="thin">
        <color rgb="FFF3F3F3"/>
      </top>
      <bottom style="thin">
        <color rgb="FFD9D9D9"/>
      </bottom>
      <diagonal/>
    </border>
    <border>
      <left style="thin">
        <color theme="0" tint="-0.14746543778801843"/>
      </left>
      <right style="thin">
        <color theme="0" tint="-4.5991393780327766E-2"/>
      </right>
      <top style="thin">
        <color theme="0" tint="-4.7212134159367654E-2"/>
      </top>
      <bottom style="thin">
        <color theme="0" tint="-4.7212134159367654E-2"/>
      </bottom>
      <diagonal/>
    </border>
    <border>
      <left style="thin">
        <color theme="0" tint="-0.14746543778801843"/>
      </left>
      <right style="thin">
        <color theme="0" tint="-4.5991393780327766E-2"/>
      </right>
      <top style="thin">
        <color theme="0" tint="-0.14746543778801843"/>
      </top>
      <bottom style="thin">
        <color theme="0" tint="-0.14746543778801843"/>
      </bottom>
      <diagonal/>
    </border>
    <border>
      <left/>
      <right style="thin">
        <color theme="0" tint="-0.14746543778801843"/>
      </right>
      <top style="thin">
        <color theme="0" tint="-4.7212134159367654E-2"/>
      </top>
      <bottom style="thin">
        <color theme="0" tint="-0.14746543778801843"/>
      </bottom>
      <diagonal/>
    </border>
    <border>
      <left style="thin">
        <color theme="0" tint="-4.5991393780327766E-2"/>
      </left>
      <right/>
      <top style="thin">
        <color theme="0" tint="-4.7212134159367654E-2"/>
      </top>
      <bottom style="thin">
        <color theme="0" tint="-0.14746543778801843"/>
      </bottom>
      <diagonal/>
    </border>
    <border>
      <left/>
      <right style="thin">
        <color theme="0" tint="-0.14630573442793054"/>
      </right>
      <top style="thin">
        <color theme="0" tint="-0.14630573442793054"/>
      </top>
      <bottom style="thin">
        <color theme="0" tint="-0.14630573442793054"/>
      </bottom>
      <diagonal/>
    </border>
    <border>
      <left/>
      <right/>
      <top style="thin">
        <color theme="0" tint="-0.14630573442793054"/>
      </top>
      <bottom style="thin">
        <color theme="0" tint="-0.14630573442793054"/>
      </bottom>
      <diagonal/>
    </border>
    <border>
      <left style="thin">
        <color theme="0" tint="-0.14630573442793054"/>
      </left>
      <right/>
      <top style="thin">
        <color theme="0" tint="-0.14630573442793054"/>
      </top>
      <bottom style="thin">
        <color theme="0" tint="-0.14630573442793054"/>
      </bottom>
      <diagonal/>
    </border>
    <border>
      <left/>
      <right style="thin">
        <color theme="0" tint="-0.14630573442793054"/>
      </right>
      <top style="thin">
        <color theme="0" tint="-4.6082949308755762E-2"/>
      </top>
      <bottom style="thin">
        <color theme="0" tint="-4.6082949308755762E-2"/>
      </bottom>
      <diagonal/>
    </border>
    <border>
      <left/>
      <right/>
      <top style="thin">
        <color theme="0" tint="-4.6082949308755762E-2"/>
      </top>
      <bottom style="thin">
        <color theme="0" tint="-4.6082949308755762E-2"/>
      </bottom>
      <diagonal/>
    </border>
    <border>
      <left style="thin">
        <color theme="0" tint="-0.14630573442793054"/>
      </left>
      <right/>
      <top style="thin">
        <color theme="0" tint="-4.6082949308755762E-2"/>
      </top>
      <bottom style="thin">
        <color theme="0" tint="-4.6082949308755762E-2"/>
      </bottom>
      <diagonal/>
    </border>
    <border>
      <left/>
      <right style="thin">
        <color rgb="FFDADADA"/>
      </right>
      <top style="thin">
        <color rgb="FFF3F3F3"/>
      </top>
      <bottom style="thin">
        <color rgb="FFDADADA"/>
      </bottom>
      <diagonal/>
    </border>
    <border>
      <left/>
      <right/>
      <top style="thin">
        <color rgb="FFF3F3F3"/>
      </top>
      <bottom style="thin">
        <color rgb="FFDADADA"/>
      </bottom>
      <diagonal/>
    </border>
    <border>
      <left/>
      <right style="thin">
        <color theme="0" tint="-0.14630573442793054"/>
      </right>
      <top style="thin">
        <color theme="0" tint="-4.6082949308755762E-2"/>
      </top>
      <bottom style="thin">
        <color theme="0" tint="-4.4801171910763882E-2"/>
      </bottom>
      <diagonal/>
    </border>
    <border>
      <left/>
      <right/>
      <top style="thin">
        <color theme="0" tint="-4.6082949308755762E-2"/>
      </top>
      <bottom style="thin">
        <color theme="0" tint="-4.4801171910763882E-2"/>
      </bottom>
      <diagonal/>
    </border>
    <border>
      <left/>
      <right style="thin">
        <color rgb="FFDADADA"/>
      </right>
      <top style="thin">
        <color rgb="FFF3F3F3"/>
      </top>
      <bottom style="thin">
        <color rgb="FFF4F4F4"/>
      </bottom>
      <diagonal/>
    </border>
    <border>
      <left style="thin">
        <color theme="0" tint="-0.14630573442793054"/>
      </left>
      <right/>
      <top style="thin">
        <color theme="0" tint="-4.6082949308755762E-2"/>
      </top>
      <bottom style="thin">
        <color theme="0" tint="-4.4801171910763882E-2"/>
      </bottom>
      <diagonal/>
    </border>
    <border>
      <left style="thin">
        <color rgb="FFDADADA"/>
      </left>
      <right/>
      <top style="thin">
        <color rgb="FFF3F3F3"/>
      </top>
      <bottom style="thin">
        <color rgb="FFF4F4F4"/>
      </bottom>
      <diagonal/>
    </border>
    <border>
      <left/>
      <right style="thin">
        <color rgb="FFDADADA"/>
      </right>
      <top style="thin">
        <color rgb="FFF4F4F4"/>
      </top>
      <bottom style="thin">
        <color rgb="FFF3F3F3"/>
      </bottom>
      <diagonal/>
    </border>
    <border>
      <left/>
      <right/>
      <top style="thin">
        <color rgb="FFF4F4F4"/>
      </top>
      <bottom style="thin">
        <color rgb="FFF3F3F3"/>
      </bottom>
      <diagonal/>
    </border>
    <border>
      <left style="thin">
        <color rgb="FFDADADA"/>
      </left>
      <right/>
      <top style="thin">
        <color rgb="FFF4F4F4"/>
      </top>
      <bottom style="thin">
        <color rgb="FFF3F3F3"/>
      </bottom>
      <diagonal/>
    </border>
    <border>
      <left/>
      <right style="thin">
        <color theme="0" tint="-0.1466719565416425"/>
      </right>
      <top style="thin">
        <color theme="0" tint="-0.1466719565416425"/>
      </top>
      <bottom style="thin">
        <color theme="0" tint="-0.1466719565416425"/>
      </bottom>
      <diagonal/>
    </border>
    <border>
      <left/>
      <right/>
      <top style="thin">
        <color theme="0" tint="-0.1466719565416425"/>
      </top>
      <bottom style="thin">
        <color theme="0" tint="-0.1466719565416425"/>
      </bottom>
      <diagonal/>
    </border>
    <border>
      <left style="thin">
        <color theme="0" tint="-0.1466719565416425"/>
      </left>
      <right/>
      <top style="thin">
        <color theme="0" tint="-0.1466719565416425"/>
      </top>
      <bottom style="thin">
        <color theme="0" tint="-0.1466719565416425"/>
      </bottom>
      <diagonal/>
    </border>
    <border>
      <left/>
      <right style="thin">
        <color theme="0" tint="-0.1466414380321665"/>
      </right>
      <top style="thin">
        <color theme="0" tint="-0.1466719565416425"/>
      </top>
      <bottom style="thin">
        <color theme="0" tint="-0.1466719565416425"/>
      </bottom>
      <diagonal/>
    </border>
    <border>
      <left/>
      <right style="thin">
        <color theme="0" tint="-0.14676351207007049"/>
      </right>
      <top style="thin">
        <color theme="0" tint="-0.14676351207007049"/>
      </top>
      <bottom style="thin">
        <color theme="0" tint="-0.14676351207007049"/>
      </bottom>
      <diagonal/>
    </border>
    <border>
      <left/>
      <right/>
      <top style="thin">
        <color theme="0" tint="-0.14673299356059449"/>
      </top>
      <bottom style="thin">
        <color theme="0" tint="-0.14673299356059449"/>
      </bottom>
      <diagonal/>
    </border>
    <border>
      <left/>
      <right/>
      <top style="thin">
        <color theme="0" tint="-0.1467024750511185"/>
      </top>
      <bottom style="thin">
        <color theme="0" tint="-0.1467024750511185"/>
      </bottom>
      <diagonal/>
    </border>
    <border>
      <left/>
      <right style="thin">
        <color theme="0" tint="-0.1466719565416425"/>
      </right>
      <top style="thin">
        <color theme="0" tint="-4.6510208441419724E-2"/>
      </top>
      <bottom style="thin">
        <color theme="0" tint="-4.6510208441419724E-2"/>
      </bottom>
      <diagonal/>
    </border>
    <border>
      <left/>
      <right/>
      <top style="thin">
        <color theme="0" tint="-4.6571245460371717E-2"/>
      </top>
      <bottom style="thin">
        <color theme="0" tint="-4.6571245460371717E-2"/>
      </bottom>
      <diagonal/>
    </border>
    <border>
      <left/>
      <right/>
      <top style="thin">
        <color theme="0" tint="-4.6510208441419724E-2"/>
      </top>
      <bottom style="thin">
        <color theme="0" tint="-4.6510208441419724E-2"/>
      </bottom>
      <diagonal/>
    </border>
    <border>
      <left/>
      <right style="thin">
        <color theme="0" tint="-0.14676351207007049"/>
      </right>
      <top style="thin">
        <color theme="0" tint="-4.6601763969847713E-2"/>
      </top>
      <bottom style="thin">
        <color theme="0" tint="-4.6601763969847713E-2"/>
      </bottom>
      <diagonal/>
    </border>
    <border>
      <left style="thin">
        <color theme="0" tint="-0.1466719565416425"/>
      </left>
      <right/>
      <top style="thin">
        <color theme="0" tint="-4.6510208441419724E-2"/>
      </top>
      <bottom style="thin">
        <color theme="0" tint="-4.6510208441419724E-2"/>
      </bottom>
      <diagonal/>
    </border>
    <border>
      <left/>
      <right style="thin">
        <color theme="0" tint="-0.1466414380321665"/>
      </right>
      <top style="thin">
        <color theme="0" tint="-4.6510208441419724E-2"/>
      </top>
      <bottom style="thin">
        <color theme="0" tint="-4.6510208441419724E-2"/>
      </bottom>
      <diagonal/>
    </border>
    <border>
      <left/>
      <right/>
      <top style="thin">
        <color theme="0" tint="-4.6540726950895721E-2"/>
      </top>
      <bottom style="thin">
        <color theme="0" tint="-4.6540726950895721E-2"/>
      </bottom>
      <diagonal/>
    </border>
    <border>
      <left/>
      <right style="thin">
        <color theme="0" tint="-0.1466719565416425"/>
      </right>
      <top style="thin">
        <color theme="0" tint="-4.6510208441419724E-2"/>
      </top>
      <bottom style="thin">
        <color theme="0" tint="-0.1466719565416425"/>
      </bottom>
      <diagonal/>
    </border>
    <border>
      <left/>
      <right/>
      <top style="thin">
        <color theme="0" tint="-4.6571245460371717E-2"/>
      </top>
      <bottom style="thin">
        <color theme="0" tint="-0.14673299356059449"/>
      </bottom>
      <diagonal/>
    </border>
    <border>
      <left/>
      <right/>
      <top style="thin">
        <color theme="0" tint="-4.6510208441419724E-2"/>
      </top>
      <bottom style="thin">
        <color theme="0" tint="-0.1466719565416425"/>
      </bottom>
      <diagonal/>
    </border>
    <border>
      <left/>
      <right style="thin">
        <color theme="0" tint="-0.14676351207007049"/>
      </right>
      <top style="thin">
        <color theme="0" tint="-4.6601763969847713E-2"/>
      </top>
      <bottom style="thin">
        <color theme="0" tint="-0.14676351207007049"/>
      </bottom>
      <diagonal/>
    </border>
    <border>
      <left style="thin">
        <color theme="0" tint="-0.1466719565416425"/>
      </left>
      <right/>
      <top style="thin">
        <color theme="0" tint="-4.6510208441419724E-2"/>
      </top>
      <bottom style="thin">
        <color theme="0" tint="-0.1466719565416425"/>
      </bottom>
      <diagonal/>
    </border>
    <border>
      <left/>
      <right style="thin">
        <color theme="0" tint="-0.1466414380321665"/>
      </right>
      <top style="thin">
        <color theme="0" tint="-4.6510208441419724E-2"/>
      </top>
      <bottom style="thin">
        <color theme="0" tint="-0.1466719565416425"/>
      </bottom>
      <diagonal/>
    </border>
    <border>
      <left/>
      <right/>
      <top style="thin">
        <color theme="0" tint="-4.6540726950895721E-2"/>
      </top>
      <bottom style="thin">
        <color theme="0" tint="-0.1467024750511185"/>
      </bottom>
      <diagonal/>
    </border>
    <border>
      <left/>
      <right/>
      <top/>
      <bottom style="thin">
        <color theme="0" tint="-0.14609210486159857"/>
      </bottom>
      <diagonal/>
    </border>
    <border>
      <left/>
      <right style="thin">
        <color theme="0" tint="-0.14609210486159857"/>
      </right>
      <top style="thin">
        <color theme="0" tint="-0.14609210486159857"/>
      </top>
      <bottom style="thin">
        <color theme="0" tint="-0.14609210486159857"/>
      </bottom>
      <diagonal/>
    </border>
    <border>
      <left/>
      <right/>
      <top style="thin">
        <color theme="0" tint="-0.14609210486159857"/>
      </top>
      <bottom style="thin">
        <color theme="0" tint="-0.14609210486159857"/>
      </bottom>
      <diagonal/>
    </border>
    <border>
      <left style="thin">
        <color theme="0" tint="-0.14606158635212257"/>
      </left>
      <right/>
      <top style="thin">
        <color theme="0" tint="-0.14609210486159857"/>
      </top>
      <bottom style="thin">
        <color theme="0" tint="-0.14609210486159857"/>
      </bottom>
      <diagonal/>
    </border>
    <border>
      <left/>
      <right style="thin">
        <color theme="0" tint="-0.14606158635212257"/>
      </right>
      <top style="thin">
        <color theme="0" tint="-0.14609210486159857"/>
      </top>
      <bottom style="thin">
        <color theme="0" tint="-0.14609210486159857"/>
      </bottom>
      <diagonal/>
    </border>
    <border>
      <left/>
      <right style="thin">
        <color theme="0" tint="-0.14609210486159857"/>
      </right>
      <top style="thin">
        <color theme="0" tint="-0.14609210486159857"/>
      </top>
      <bottom style="thin">
        <color theme="0" tint="-0.14618366039002656"/>
      </bottom>
      <diagonal/>
    </border>
    <border>
      <left/>
      <right/>
      <top style="thin">
        <color theme="0" tint="-0.14609210486159857"/>
      </top>
      <bottom style="thin">
        <color theme="0" tint="-0.14618366039002656"/>
      </bottom>
      <diagonal/>
    </border>
    <border>
      <left style="thin">
        <color theme="0" tint="-0.14606158635212257"/>
      </left>
      <right/>
      <top style="thin">
        <color theme="0" tint="-0.14609210486159857"/>
      </top>
      <bottom style="thin">
        <color theme="0" tint="-0.14618366039002656"/>
      </bottom>
      <diagonal/>
    </border>
    <border>
      <left/>
      <right style="thin">
        <color theme="0" tint="-0.14606158635212257"/>
      </right>
      <top style="thin">
        <color theme="0" tint="-0.14609210486159857"/>
      </top>
      <bottom style="thin">
        <color theme="0" tint="-0.14618366039002656"/>
      </bottom>
      <diagonal/>
    </border>
    <border>
      <left/>
      <right/>
      <top style="thin">
        <color theme="0" tint="-4.596087527085177E-2"/>
      </top>
      <bottom style="thin">
        <color theme="0" tint="-4.596087527085177E-2"/>
      </bottom>
      <diagonal/>
    </border>
    <border>
      <left/>
      <right/>
      <top style="thin">
        <color theme="0" tint="-4.5930356761375773E-2"/>
      </top>
      <bottom style="thin">
        <color theme="0" tint="-4.5930356761375773E-2"/>
      </bottom>
      <diagonal/>
    </border>
    <border>
      <left/>
      <right style="thin">
        <color theme="0" tint="-0.14612262337107457"/>
      </right>
      <top style="thin">
        <color theme="0" tint="-4.5930356761375773E-2"/>
      </top>
      <bottom style="thin">
        <color theme="0" tint="-4.5930356761375773E-2"/>
      </bottom>
      <diagonal/>
    </border>
    <border>
      <left/>
      <right style="thin">
        <color theme="0" tint="-0.14609210486159857"/>
      </right>
      <top style="thin">
        <color theme="0" tint="-4.5899838251899777E-2"/>
      </top>
      <bottom style="thin">
        <color theme="0" tint="-0.14609210486159857"/>
      </bottom>
      <diagonal/>
    </border>
    <border>
      <left/>
      <right/>
      <top style="thin">
        <color theme="0" tint="-4.5930356761375773E-2"/>
      </top>
      <bottom style="thin">
        <color theme="0" tint="-0.14612262337107457"/>
      </bottom>
      <diagonal/>
    </border>
    <border>
      <left/>
      <right/>
      <top style="thin">
        <color theme="0" tint="-4.5899838251899777E-2"/>
      </top>
      <bottom style="thin">
        <color theme="0" tint="-0.14609210486159857"/>
      </bottom>
      <diagonal/>
    </border>
    <border>
      <left style="thin">
        <color theme="0" tint="-0.14606158635212257"/>
      </left>
      <right/>
      <top style="thin">
        <color theme="0" tint="-4.5899838251899777E-2"/>
      </top>
      <bottom style="thin">
        <color theme="0" tint="-0.14609210486159857"/>
      </bottom>
      <diagonal/>
    </border>
    <border>
      <left/>
      <right style="thin">
        <color theme="0" tint="-0.14606158635212257"/>
      </right>
      <top style="thin">
        <color theme="0" tint="-4.5899838251899777E-2"/>
      </top>
      <bottom style="thin">
        <color theme="0" tint="-0.14609210486159857"/>
      </bottom>
      <diagonal/>
    </border>
    <border>
      <left/>
      <right/>
      <top/>
      <bottom style="thin">
        <color theme="0" tint="-0.14691610461745047"/>
      </bottom>
      <diagonal/>
    </border>
    <border>
      <left/>
      <right style="thin">
        <color theme="0" tint="-0.14691610461745047"/>
      </right>
      <top style="thin">
        <color theme="0" tint="-0.14691610461745047"/>
      </top>
      <bottom style="thin">
        <color theme="0" tint="-0.14691610461745047"/>
      </bottom>
      <diagonal/>
    </border>
    <border>
      <left style="thin">
        <color theme="0" tint="-0.14691610461745047"/>
      </left>
      <right/>
      <top style="thin">
        <color theme="0" tint="-0.14691610461745047"/>
      </top>
      <bottom style="thin">
        <color theme="0" tint="-0.14691610461745047"/>
      </bottom>
      <diagonal/>
    </border>
    <border>
      <left/>
      <right/>
      <top style="thin">
        <color theme="0" tint="-0.14691610461745047"/>
      </top>
      <bottom style="thin">
        <color theme="0" tint="-0.14691610461745047"/>
      </bottom>
      <diagonal/>
    </border>
    <border>
      <left style="thin">
        <color rgb="FFDADADA"/>
      </left>
      <right style="thin">
        <color rgb="FFF3F3F3"/>
      </right>
      <top style="thin">
        <color rgb="FFDADADA"/>
      </top>
      <bottom style="thin">
        <color rgb="FFDADADA"/>
      </bottom>
      <diagonal/>
    </border>
    <border>
      <left style="thin">
        <color theme="0" tint="-4.7120578630939665E-2"/>
      </left>
      <right style="thin">
        <color theme="0" tint="-4.7120578630939665E-2"/>
      </right>
      <top style="thin">
        <color theme="0" tint="-0.14691610461745047"/>
      </top>
      <bottom style="thin">
        <color theme="0" tint="-0.14691610461745047"/>
      </bottom>
      <diagonal/>
    </border>
    <border>
      <left style="thin">
        <color rgb="FFF3F3F3"/>
      </left>
      <right style="thin">
        <color rgb="FFDADADA"/>
      </right>
      <top style="thin">
        <color rgb="FFDADADA"/>
      </top>
      <bottom style="thin">
        <color rgb="FFDADADA"/>
      </bottom>
      <diagonal/>
    </border>
    <border>
      <left style="thin">
        <color theme="0" tint="-4.8097170934171575E-2"/>
      </left>
      <right style="thin">
        <color theme="0" tint="-4.8097170934171575E-2"/>
      </right>
      <top style="thin">
        <color theme="0" tint="-0.14691610461745047"/>
      </top>
      <bottom style="thin">
        <color theme="0" tint="-0.14691610461745047"/>
      </bottom>
      <diagonal/>
    </border>
    <border>
      <left style="thin">
        <color rgb="FFF3F3F3"/>
      </left>
      <right/>
      <top style="thin">
        <color rgb="FFDADADA"/>
      </top>
      <bottom style="thin">
        <color rgb="FFDADADA"/>
      </bottom>
      <diagonal/>
    </border>
    <border>
      <left style="thin">
        <color rgb="FFDADADA"/>
      </left>
      <right style="thin">
        <color rgb="FFF3F3F3"/>
      </right>
      <top style="thin">
        <color rgb="FFDADADA"/>
      </top>
      <bottom style="thin">
        <color rgb="FFF3F3F3"/>
      </bottom>
      <diagonal/>
    </border>
    <border>
      <left style="thin">
        <color rgb="FFF3F3F3"/>
      </left>
      <right style="thin">
        <color rgb="FFF3F3F3"/>
      </right>
      <top style="thin">
        <color rgb="FFDADADA"/>
      </top>
      <bottom style="thin">
        <color rgb="FFF3F3F3"/>
      </bottom>
      <diagonal/>
    </border>
    <border>
      <left style="thin">
        <color rgb="FFF3F3F3"/>
      </left>
      <right style="thin">
        <color rgb="FFDADADA"/>
      </right>
      <top style="thin">
        <color rgb="FFDADADA"/>
      </top>
      <bottom style="thin">
        <color rgb="FFF3F3F3"/>
      </bottom>
      <diagonal/>
    </border>
    <border>
      <left style="thin">
        <color rgb="FFF3F3F3"/>
      </left>
      <right style="thin">
        <color rgb="FFF3F3F3"/>
      </right>
      <top style="thin">
        <color rgb="FFD9D9D9"/>
      </top>
      <bottom style="thin">
        <color rgb="FFF3F3F3"/>
      </bottom>
      <diagonal/>
    </border>
    <border>
      <left style="thin">
        <color rgb="FFD9D9D9"/>
      </left>
      <right style="thin">
        <color rgb="FFF3F3F3"/>
      </right>
      <top style="thin">
        <color rgb="FFDADADA"/>
      </top>
      <bottom style="thin">
        <color rgb="FFF3F3F3"/>
      </bottom>
      <diagonal/>
    </border>
    <border>
      <left style="thin">
        <color rgb="FFF3F3F3"/>
      </left>
      <right/>
      <top style="thin">
        <color rgb="FFDADADA"/>
      </top>
      <bottom style="thin">
        <color rgb="FFF3F3F3"/>
      </bottom>
      <diagonal/>
    </border>
    <border>
      <left/>
      <right style="thin">
        <color theme="0" tint="-0.14691610461745047"/>
      </right>
      <top style="thin">
        <color theme="0" tint="-4.6693319498275702E-2"/>
      </top>
      <bottom style="thin">
        <color theme="0" tint="-4.6693319498275702E-2"/>
      </bottom>
      <diagonal/>
    </border>
    <border>
      <left style="thin">
        <color rgb="FFDADADA"/>
      </left>
      <right style="thin">
        <color rgb="FFF3F3F3"/>
      </right>
      <top style="thin">
        <color rgb="FFF3F3F3"/>
      </top>
      <bottom style="thin">
        <color rgb="FFF3F3F3"/>
      </bottom>
      <diagonal/>
    </border>
    <border>
      <left style="thin">
        <color theme="0" tint="-4.5442060609759818E-2"/>
      </left>
      <right style="thin">
        <color theme="0" tint="-4.5442060609759818E-2"/>
      </right>
      <top style="thin">
        <color theme="0" tint="-4.6693319498275702E-2"/>
      </top>
      <bottom style="thin">
        <color theme="0" tint="-4.6693319498275702E-2"/>
      </bottom>
      <diagonal/>
    </border>
    <border>
      <left style="thin">
        <color rgb="FFF3F3F3"/>
      </left>
      <right style="thin">
        <color rgb="FFDADADA"/>
      </right>
      <top style="thin">
        <color rgb="FFF3F3F3"/>
      </top>
      <bottom style="thin">
        <color rgb="FFF3F3F3"/>
      </bottom>
      <diagonal/>
    </border>
    <border>
      <left style="thin">
        <color theme="0" tint="-4.5838801232947785E-2"/>
      </left>
      <right style="thin">
        <color theme="0" tint="-4.5838801232947785E-2"/>
      </right>
      <top style="thin">
        <color theme="0" tint="-4.7090060121463669E-2"/>
      </top>
      <bottom style="thin">
        <color theme="0" tint="-4.7090060121463669E-2"/>
      </bottom>
      <diagonal/>
    </border>
    <border>
      <left style="thin">
        <color rgb="FFF3F3F3"/>
      </left>
      <right/>
      <top style="thin">
        <color rgb="FFF3F3F3"/>
      </top>
      <bottom style="thin">
        <color rgb="FFF3F3F3"/>
      </bottom>
      <diagonal/>
    </border>
    <border>
      <left style="thin">
        <color rgb="FFDADADA"/>
      </left>
      <right style="thin">
        <color rgb="FFF3F3F3"/>
      </right>
      <top style="thin">
        <color rgb="FFF3F3F3"/>
      </top>
      <bottom style="thin">
        <color rgb="FFDADADA"/>
      </bottom>
      <diagonal/>
    </border>
    <border>
      <left style="thin">
        <color rgb="FFF3F3F3"/>
      </left>
      <right style="thin">
        <color rgb="FFF3F3F3"/>
      </right>
      <top style="thin">
        <color rgb="FFF3F3F3"/>
      </top>
      <bottom style="thin">
        <color rgb="FFDADADA"/>
      </bottom>
      <diagonal/>
    </border>
    <border>
      <left style="thin">
        <color rgb="FFF3F3F3"/>
      </left>
      <right style="thin">
        <color rgb="FFDADADA"/>
      </right>
      <top style="thin">
        <color rgb="FFF3F3F3"/>
      </top>
      <bottom style="thin">
        <color rgb="FFDADADA"/>
      </bottom>
      <diagonal/>
    </border>
    <border>
      <left style="thin">
        <color rgb="FFF3F3F3"/>
      </left>
      <right style="thin">
        <color rgb="FFF3F3F3"/>
      </right>
      <top style="thin">
        <color rgb="FFF3F3F3"/>
      </top>
      <bottom style="thin">
        <color rgb="FFD9D9D9"/>
      </bottom>
      <diagonal/>
    </border>
    <border>
      <left style="thin">
        <color rgb="FFD9D9D9"/>
      </left>
      <right style="thin">
        <color rgb="FFF3F3F3"/>
      </right>
      <top style="thin">
        <color rgb="FFF3F3F3"/>
      </top>
      <bottom style="thin">
        <color rgb="FFDADADA"/>
      </bottom>
      <diagonal/>
    </border>
    <border>
      <left style="thin">
        <color rgb="FFF3F3F3"/>
      </left>
      <right/>
      <top style="thin">
        <color rgb="FFF3F3F3"/>
      </top>
      <bottom style="thin">
        <color rgb="FFDADADA"/>
      </bottom>
      <diagonal/>
    </border>
    <border>
      <left/>
      <right style="thin">
        <color theme="0" tint="-0.14685506759849848"/>
      </right>
      <top style="thin">
        <color theme="0" tint="-0.14688558610797448"/>
      </top>
      <bottom style="thin">
        <color theme="0" tint="-0.14688558610797448"/>
      </bottom>
      <diagonal/>
    </border>
    <border>
      <left style="thin">
        <color theme="0" tint="-4.5442060609759818E-2"/>
      </left>
      <right style="thin">
        <color theme="0" tint="-4.5442060609759818E-2"/>
      </right>
      <top style="thin">
        <color theme="0" tint="-0.14688558610797448"/>
      </top>
      <bottom style="thin">
        <color theme="0" tint="-0.14688558610797448"/>
      </bottom>
      <diagonal/>
    </border>
    <border>
      <left style="thin">
        <color theme="0" tint="-4.5838801232947785E-2"/>
      </left>
      <right style="thin">
        <color theme="0" tint="-4.5838801232947785E-2"/>
      </right>
      <top style="thin">
        <color theme="0" tint="-0.14728232673116246"/>
      </top>
      <bottom style="thin">
        <color theme="0" tint="-0.14728232673116246"/>
      </bottom>
      <diagonal/>
    </border>
    <border>
      <left style="thin">
        <color rgb="FFD9D9D9"/>
      </left>
      <right style="thin">
        <color rgb="FFF3F3F3"/>
      </right>
      <top style="thin">
        <color rgb="FFDADADA"/>
      </top>
      <bottom style="thin">
        <color rgb="FFDADADA"/>
      </bottom>
      <diagonal/>
    </border>
    <border>
      <left/>
      <right/>
      <top/>
      <bottom style="thin">
        <color theme="0" tint="-0.14419995727408674"/>
      </bottom>
      <diagonal/>
    </border>
    <border>
      <left style="thin">
        <color theme="0" tint="-0.14416943876461075"/>
      </left>
      <right/>
      <top style="thin">
        <color theme="0" tint="-0.14419995727408674"/>
      </top>
      <bottom style="thin">
        <color theme="0" tint="-0.14419995727408674"/>
      </bottom>
      <diagonal/>
    </border>
    <border>
      <left/>
      <right/>
      <top style="thin">
        <color theme="0" tint="-0.14419995727408674"/>
      </top>
      <bottom style="thin">
        <color theme="0" tint="-0.14419995727408674"/>
      </bottom>
      <diagonal/>
    </border>
    <border>
      <left/>
      <right style="thin">
        <color theme="0" tint="-0.14416943876461075"/>
      </right>
      <top style="thin">
        <color theme="0" tint="-0.14419995727408674"/>
      </top>
      <bottom style="thin">
        <color theme="0" tint="-0.14419995727408674"/>
      </bottom>
      <diagonal/>
    </border>
    <border>
      <left/>
      <right style="thin">
        <color rgb="FFDADADA"/>
      </right>
      <top style="thin">
        <color rgb="FFDADADA"/>
      </top>
      <bottom/>
      <diagonal/>
    </border>
    <border>
      <left style="thin">
        <color theme="0" tint="-0.14416943876461075"/>
      </left>
      <right style="thin">
        <color theme="0" tint="-4.1871395001068151E-2"/>
      </right>
      <top style="thin">
        <color theme="0" tint="-0.14419995727408674"/>
      </top>
      <bottom/>
      <diagonal/>
    </border>
    <border>
      <left style="thin">
        <color theme="0" tint="-4.1871395001068151E-2"/>
      </left>
      <right style="thin">
        <color theme="0" tint="-4.1871395001068151E-2"/>
      </right>
      <top style="thin">
        <color theme="0" tint="-0.14419995727408674"/>
      </top>
      <bottom/>
      <diagonal/>
    </border>
    <border>
      <left style="thin">
        <color theme="0" tint="-4.1871395001068151E-2"/>
      </left>
      <right style="thin">
        <color theme="0" tint="-0.14416943876461075"/>
      </right>
      <top style="thin">
        <color theme="0" tint="-0.14419995727408674"/>
      </top>
      <bottom/>
      <diagonal/>
    </border>
    <border>
      <left style="thin">
        <color theme="0" tint="-4.1871395001068151E-2"/>
      </left>
      <right/>
      <top style="thin">
        <color theme="0" tint="-0.14419995727408674"/>
      </top>
      <bottom/>
      <diagonal/>
    </border>
    <border>
      <left/>
      <right style="thin">
        <color rgb="FFDADADA"/>
      </right>
      <top/>
      <bottom style="thin">
        <color rgb="FFDADADA"/>
      </bottom>
      <diagonal/>
    </border>
    <border>
      <left style="thin">
        <color theme="0" tint="-0.14416943876461075"/>
      </left>
      <right style="thin">
        <color theme="0" tint="-4.1871395001068151E-2"/>
      </right>
      <top/>
      <bottom style="thin">
        <color theme="0" tint="-0.14419995727408674"/>
      </bottom>
      <diagonal/>
    </border>
    <border>
      <left style="thin">
        <color theme="0" tint="-4.1871395001068151E-2"/>
      </left>
      <right style="thin">
        <color theme="0" tint="-4.1871395001068151E-2"/>
      </right>
      <top/>
      <bottom style="thin">
        <color theme="0" tint="-0.14419995727408674"/>
      </bottom>
      <diagonal/>
    </border>
    <border>
      <left style="thin">
        <color theme="0" tint="-4.1871395001068151E-2"/>
      </left>
      <right style="thin">
        <color theme="0" tint="-0.14416943876461075"/>
      </right>
      <top/>
      <bottom style="thin">
        <color theme="0" tint="-0.14419995727408674"/>
      </bottom>
      <diagonal/>
    </border>
    <border>
      <left style="thin">
        <color theme="0" tint="-4.1871395001068151E-2"/>
      </left>
      <right/>
      <top/>
      <bottom style="thin">
        <color theme="0" tint="-0.14419995727408674"/>
      </bottom>
      <diagonal/>
    </border>
    <border>
      <left style="thin">
        <color rgb="FFDADADA"/>
      </left>
      <right style="thin">
        <color rgb="FFF4F4F4"/>
      </right>
      <top style="thin">
        <color rgb="FFDADADA"/>
      </top>
      <bottom style="thin">
        <color rgb="FFF4F4F4"/>
      </bottom>
      <diagonal/>
    </border>
    <border>
      <left style="thin">
        <color rgb="FFF4F4F4"/>
      </left>
      <right style="thin">
        <color rgb="FFF4F4F4"/>
      </right>
      <top style="thin">
        <color rgb="FFDADADA"/>
      </top>
      <bottom style="thin">
        <color rgb="FFF4F4F4"/>
      </bottom>
      <diagonal/>
    </border>
    <border>
      <left style="thin">
        <color rgb="FFF4F4F4"/>
      </left>
      <right style="thin">
        <color rgb="FFDADADA"/>
      </right>
      <top style="thin">
        <color rgb="FFDADADA"/>
      </top>
      <bottom style="thin">
        <color rgb="FFF4F4F4"/>
      </bottom>
      <diagonal/>
    </border>
    <border>
      <left style="thin">
        <color rgb="FFF4F4F4"/>
      </left>
      <right/>
      <top style="thin">
        <color rgb="FFDADADA"/>
      </top>
      <bottom style="thin">
        <color rgb="FFF4F4F4"/>
      </bottom>
      <diagonal/>
    </border>
    <border>
      <left style="thin">
        <color theme="0" tint="-0.14419995727408674"/>
      </left>
      <right style="thin">
        <color theme="0" tint="-4.1901913510544148E-2"/>
      </right>
      <top style="thin">
        <color theme="0" tint="-4.1901913510544148E-2"/>
      </top>
      <bottom style="thin">
        <color theme="0" tint="-4.1901913510544148E-2"/>
      </bottom>
      <diagonal/>
    </border>
    <border>
      <left style="thin">
        <color theme="0" tint="-4.1901913510544148E-2"/>
      </left>
      <right style="thin">
        <color theme="0" tint="-4.1901913510544148E-2"/>
      </right>
      <top style="thin">
        <color theme="0" tint="-4.1901913510544148E-2"/>
      </top>
      <bottom style="thin">
        <color theme="0" tint="-4.1901913510544148E-2"/>
      </bottom>
      <diagonal/>
    </border>
    <border>
      <left style="thin">
        <color theme="0" tint="-4.1901913510544148E-2"/>
      </left>
      <right style="thin">
        <color theme="0" tint="-0.14419995727408674"/>
      </right>
      <top style="thin">
        <color theme="0" tint="-4.1901913510544148E-2"/>
      </top>
      <bottom style="thin">
        <color theme="0" tint="-4.1901913510544148E-2"/>
      </bottom>
      <diagonal/>
    </border>
    <border>
      <left style="thin">
        <color theme="0" tint="-0.14416943876461075"/>
      </left>
      <right style="thin">
        <color theme="0" tint="-4.1871395001068151E-2"/>
      </right>
      <top style="thin">
        <color theme="0" tint="-4.1871395001068151E-2"/>
      </top>
      <bottom style="thin">
        <color theme="0" tint="-4.1871395001068151E-2"/>
      </bottom>
      <diagonal/>
    </border>
    <border>
      <left style="thin">
        <color theme="0" tint="-4.1871395001068151E-2"/>
      </left>
      <right style="thin">
        <color theme="0" tint="-4.1871395001068151E-2"/>
      </right>
      <top style="thin">
        <color theme="0" tint="-4.1871395001068151E-2"/>
      </top>
      <bottom style="thin">
        <color theme="0" tint="-4.1871395001068151E-2"/>
      </bottom>
      <diagonal/>
    </border>
    <border>
      <left style="thin">
        <color theme="0" tint="-4.1871395001068151E-2"/>
      </left>
      <right style="thin">
        <color theme="0" tint="-0.14416943876461075"/>
      </right>
      <top style="thin">
        <color theme="0" tint="-4.1871395001068151E-2"/>
      </top>
      <bottom style="thin">
        <color theme="0" tint="-4.1871395001068151E-2"/>
      </bottom>
      <diagonal/>
    </border>
    <border>
      <left style="thin">
        <color theme="0" tint="-4.1871395001068151E-2"/>
      </left>
      <right/>
      <top style="thin">
        <color theme="0" tint="-4.1871395001068151E-2"/>
      </top>
      <bottom style="thin">
        <color theme="0" tint="-4.1871395001068151E-2"/>
      </bottom>
      <diagonal/>
    </border>
    <border>
      <left style="thin">
        <color rgb="FFDADADA"/>
      </left>
      <right style="thin">
        <color rgb="FFF4F4F4"/>
      </right>
      <top style="thin">
        <color rgb="FFF4F4F4"/>
      </top>
      <bottom style="thin">
        <color rgb="FFF4F4F4"/>
      </bottom>
      <diagonal/>
    </border>
    <border>
      <left style="thin">
        <color rgb="FFF4F4F4"/>
      </left>
      <right style="thin">
        <color rgb="FFF4F4F4"/>
      </right>
      <top style="thin">
        <color rgb="FFF4F4F4"/>
      </top>
      <bottom style="thin">
        <color rgb="FFF4F4F4"/>
      </bottom>
      <diagonal/>
    </border>
    <border>
      <left style="thin">
        <color rgb="FFF4F4F4"/>
      </left>
      <right style="thin">
        <color rgb="FFDADADA"/>
      </right>
      <top style="thin">
        <color rgb="FFF4F4F4"/>
      </top>
      <bottom style="thin">
        <color rgb="FFF4F4F4"/>
      </bottom>
      <diagonal/>
    </border>
    <border>
      <left style="thin">
        <color rgb="FFF4F4F4"/>
      </left>
      <right/>
      <top style="thin">
        <color rgb="FFF4F4F4"/>
      </top>
      <bottom style="thin">
        <color rgb="FFF4F4F4"/>
      </bottom>
      <diagonal/>
    </border>
    <border>
      <left style="thin">
        <color rgb="FFDADADA"/>
      </left>
      <right style="thin">
        <color rgb="FFF4F4F4"/>
      </right>
      <top style="thin">
        <color rgb="FFF4F4F4"/>
      </top>
      <bottom style="thin">
        <color rgb="FFDADADA"/>
      </bottom>
      <diagonal/>
    </border>
    <border>
      <left style="thin">
        <color rgb="FFF4F4F4"/>
      </left>
      <right style="thin">
        <color rgb="FFF4F4F4"/>
      </right>
      <top style="thin">
        <color rgb="FFF4F4F4"/>
      </top>
      <bottom style="thin">
        <color rgb="FFDADADA"/>
      </bottom>
      <diagonal/>
    </border>
    <border>
      <left style="thin">
        <color rgb="FFF4F4F4"/>
      </left>
      <right style="thin">
        <color rgb="FFDADADA"/>
      </right>
      <top style="thin">
        <color rgb="FFF4F4F4"/>
      </top>
      <bottom style="thin">
        <color rgb="FFDADADA"/>
      </bottom>
      <diagonal/>
    </border>
    <border>
      <left style="thin">
        <color rgb="FFF4F4F4"/>
      </left>
      <right/>
      <top style="thin">
        <color rgb="FFF4F4F4"/>
      </top>
      <bottom style="thin">
        <color rgb="FFDADADA"/>
      </bottom>
      <diagonal/>
    </border>
    <border>
      <left style="thin">
        <color theme="0" tint="-0.14416943876461075"/>
      </left>
      <right style="thin">
        <color theme="0" tint="-4.1871395001068151E-2"/>
      </right>
      <top style="thin">
        <color theme="0" tint="-0.14419995727408674"/>
      </top>
      <bottom style="thin">
        <color theme="0" tint="-0.14419995727408674"/>
      </bottom>
      <diagonal/>
    </border>
    <border>
      <left style="thin">
        <color theme="0" tint="-4.1871395001068151E-2"/>
      </left>
      <right style="thin">
        <color theme="0" tint="-4.1871395001068151E-2"/>
      </right>
      <top style="thin">
        <color theme="0" tint="-0.14419995727408674"/>
      </top>
      <bottom style="thin">
        <color theme="0" tint="-0.14419995727408674"/>
      </bottom>
      <diagonal/>
    </border>
    <border>
      <left style="thin">
        <color theme="0" tint="-4.1871395001068151E-2"/>
      </left>
      <right style="thin">
        <color theme="0" tint="-0.14416943876461075"/>
      </right>
      <top style="thin">
        <color theme="0" tint="-0.14419995727408674"/>
      </top>
      <bottom style="thin">
        <color theme="0" tint="-0.14419995727408674"/>
      </bottom>
      <diagonal/>
    </border>
    <border>
      <left style="thin">
        <color theme="0" tint="-4.1871395001068151E-2"/>
      </left>
      <right/>
      <top style="thin">
        <color theme="0" tint="-0.14419995727408674"/>
      </top>
      <bottom style="thin">
        <color theme="0" tint="-0.14419995727408674"/>
      </bottom>
      <diagonal/>
    </border>
    <border>
      <left style="thin">
        <color rgb="FFF4F4F4"/>
      </left>
      <right style="thin">
        <color rgb="FFF4F4F4"/>
      </right>
      <top style="thin">
        <color rgb="FFF4F4F4"/>
      </top>
      <bottom/>
      <diagonal/>
    </border>
    <border>
      <left style="thin">
        <color rgb="FFF4F4F4"/>
      </left>
      <right style="thin">
        <color rgb="FFF4F4F4"/>
      </right>
      <top/>
      <bottom style="thin">
        <color rgb="FFF4F4F4"/>
      </bottom>
      <diagonal/>
    </border>
    <border>
      <left style="thin">
        <color theme="0" tint="-0.14419995727408674"/>
      </left>
      <right style="thin">
        <color theme="0" tint="-4.1901913510544148E-2"/>
      </right>
      <top style="thin">
        <color theme="0" tint="-0.14423047578356274"/>
      </top>
      <bottom style="thin">
        <color theme="0" tint="-0.14423047578356274"/>
      </bottom>
      <diagonal/>
    </border>
    <border>
      <left style="thin">
        <color theme="0" tint="-4.1901913510544148E-2"/>
      </left>
      <right style="thin">
        <color theme="0" tint="-4.1901913510544148E-2"/>
      </right>
      <top style="thin">
        <color theme="0" tint="-0.14423047578356274"/>
      </top>
      <bottom style="thin">
        <color theme="0" tint="-0.14423047578356274"/>
      </bottom>
      <diagonal/>
    </border>
    <border>
      <left style="thin">
        <color theme="0" tint="-4.1901913510544148E-2"/>
      </left>
      <right style="thin">
        <color theme="0" tint="-0.14419995727408674"/>
      </right>
      <top style="thin">
        <color theme="0" tint="-0.14423047578356274"/>
      </top>
      <bottom style="thin">
        <color theme="0" tint="-0.14423047578356274"/>
      </bottom>
      <diagonal/>
    </border>
    <border>
      <left/>
      <right/>
      <top/>
      <bottom style="thin">
        <color theme="0" tint="-0.14423047578356274"/>
      </bottom>
      <diagonal/>
    </border>
    <border>
      <left/>
      <right style="thin">
        <color theme="0" tint="-0.14419995727408674"/>
      </right>
      <top style="thin">
        <color theme="0" tint="-0.14423047578356274"/>
      </top>
      <bottom style="thin">
        <color theme="0" tint="-0.14423047578356274"/>
      </bottom>
      <diagonal/>
    </border>
    <border>
      <left/>
      <right/>
      <top style="thin">
        <color theme="0" tint="-0.14423047578356274"/>
      </top>
      <bottom style="thin">
        <color theme="0" tint="-0.14423047578356274"/>
      </bottom>
      <diagonal/>
    </border>
    <border>
      <left/>
      <right style="thin">
        <color theme="0" tint="-0.14423047578356274"/>
      </right>
      <top style="thin">
        <color theme="0" tint="-0.14423047578356274"/>
      </top>
      <bottom style="thin">
        <color theme="0" tint="-0.14423047578356274"/>
      </bottom>
      <diagonal/>
    </border>
    <border>
      <left style="thin">
        <color theme="0" tint="-0.14423047578356274"/>
      </left>
      <right/>
      <top style="thin">
        <color theme="0" tint="-0.14423047578356274"/>
      </top>
      <bottom style="thin">
        <color theme="0" tint="-0.14423047578356274"/>
      </bottom>
      <diagonal/>
    </border>
    <border>
      <left style="thin">
        <color theme="0" tint="-0.14419995727408674"/>
      </left>
      <right/>
      <top style="thin">
        <color theme="0" tint="-0.14423047578356274"/>
      </top>
      <bottom style="thin">
        <color theme="0" tint="-0.14423047578356274"/>
      </bottom>
      <diagonal/>
    </border>
    <border>
      <left/>
      <right style="thin">
        <color theme="0" tint="-0.14419995727408674"/>
      </right>
      <top style="thin">
        <color theme="0" tint="-0.14423047578356274"/>
      </top>
      <bottom style="thin">
        <color theme="0" tint="-4.4251838740195927E-2"/>
      </bottom>
      <diagonal/>
    </border>
    <border>
      <left/>
      <right/>
      <top style="thin">
        <color theme="0" tint="-0.14423047578356274"/>
      </top>
      <bottom style="thin">
        <color theme="0" tint="-4.4251838740195927E-2"/>
      </bottom>
      <diagonal/>
    </border>
    <border>
      <left/>
      <right style="thin">
        <color theme="0" tint="-0.14423047578356274"/>
      </right>
      <top style="thin">
        <color theme="0" tint="-0.14423047578356274"/>
      </top>
      <bottom style="thin">
        <color theme="0" tint="-4.4251838740195927E-2"/>
      </bottom>
      <diagonal/>
    </border>
    <border>
      <left style="thin">
        <color theme="0" tint="-0.14423047578356274"/>
      </left>
      <right/>
      <top style="thin">
        <color theme="0" tint="-0.14423047578356274"/>
      </top>
      <bottom style="thin">
        <color theme="0" tint="-4.4251838740195927E-2"/>
      </bottom>
      <diagonal/>
    </border>
    <border>
      <left style="thin">
        <color theme="0" tint="-0.14419995727408674"/>
      </left>
      <right/>
      <top style="thin">
        <color theme="0" tint="-0.14423047578356274"/>
      </top>
      <bottom style="thin">
        <color theme="0" tint="-4.4251838740195927E-2"/>
      </bottom>
      <diagonal/>
    </border>
    <border>
      <left/>
      <right style="thin">
        <color theme="0" tint="-0.14419995727408674"/>
      </right>
      <top style="thin">
        <color theme="0" tint="-4.4251838740195927E-2"/>
      </top>
      <bottom style="thin">
        <color theme="0" tint="-4.4251838740195927E-2"/>
      </bottom>
      <diagonal/>
    </border>
    <border>
      <left/>
      <right/>
      <top style="thin">
        <color theme="0" tint="-4.4282357249671923E-2"/>
      </top>
      <bottom style="thin">
        <color theme="0" tint="-4.4282357249671923E-2"/>
      </bottom>
      <diagonal/>
    </border>
    <border>
      <left/>
      <right/>
      <top style="thin">
        <color theme="0" tint="-4.4251838740195927E-2"/>
      </top>
      <bottom style="thin">
        <color theme="0" tint="-4.4251838740195927E-2"/>
      </bottom>
      <diagonal/>
    </border>
    <border>
      <left style="thin">
        <color theme="0" tint="-0.14423047578356274"/>
      </left>
      <right/>
      <top style="thin">
        <color theme="0" tint="-4.4251838740195927E-2"/>
      </top>
      <bottom style="thin">
        <color theme="0" tint="-4.4251838740195927E-2"/>
      </bottom>
      <diagonal/>
    </border>
    <border>
      <left style="thin">
        <color theme="0" tint="-0.14419995727408674"/>
      </left>
      <right/>
      <top style="thin">
        <color theme="0" tint="-4.4251838740195927E-2"/>
      </top>
      <bottom style="thin">
        <color theme="0" tint="-4.4251838740195927E-2"/>
      </bottom>
      <diagonal/>
    </border>
    <border>
      <left/>
      <right style="thin">
        <color theme="0" tint="-0.14419995727408674"/>
      </right>
      <top style="thin">
        <color theme="0" tint="-4.4251838740195927E-2"/>
      </top>
      <bottom style="thin">
        <color theme="0" tint="-0.14423047578356274"/>
      </bottom>
      <diagonal/>
    </border>
    <border>
      <left/>
      <right/>
      <top style="thin">
        <color theme="0" tint="-4.4251838740195927E-2"/>
      </top>
      <bottom style="thin">
        <color theme="0" tint="-0.14423047578356274"/>
      </bottom>
      <diagonal/>
    </border>
    <border>
      <left style="thin">
        <color theme="0" tint="-0.14423047578356274"/>
      </left>
      <right/>
      <top style="thin">
        <color theme="0" tint="-4.4251838740195927E-2"/>
      </top>
      <bottom style="thin">
        <color theme="0" tint="-0.14423047578356274"/>
      </bottom>
      <diagonal/>
    </border>
    <border>
      <left style="thin">
        <color theme="0" tint="-0.14419995727408674"/>
      </left>
      <right/>
      <top style="thin">
        <color theme="0" tint="-4.4251838740195927E-2"/>
      </top>
      <bottom style="thin">
        <color theme="0" tint="-0.14423047578356274"/>
      </bottom>
      <diagonal/>
    </border>
    <border>
      <left/>
      <right style="thin">
        <color theme="0" tint="-0.14419995727408674"/>
      </right>
      <top style="thin">
        <color theme="0" tint="-0.14423047578356274"/>
      </top>
      <bottom style="thin">
        <color theme="0" tint="-0.14419995727408674"/>
      </bottom>
      <diagonal/>
    </border>
    <border>
      <left/>
      <right/>
      <top style="thin">
        <color theme="0" tint="-0.14423047578356274"/>
      </top>
      <bottom style="thin">
        <color theme="0" tint="-0.14419995727408674"/>
      </bottom>
      <diagonal/>
    </border>
    <border>
      <left style="thin">
        <color theme="0" tint="-0.14423047578356274"/>
      </left>
      <right/>
      <top style="thin">
        <color theme="0" tint="-0.14423047578356274"/>
      </top>
      <bottom style="thin">
        <color theme="0" tint="-0.14419995727408674"/>
      </bottom>
      <diagonal/>
    </border>
    <border>
      <left style="thin">
        <color theme="0" tint="-0.14419995727408674"/>
      </left>
      <right/>
      <top style="thin">
        <color theme="0" tint="-0.14423047578356274"/>
      </top>
      <bottom style="thin">
        <color theme="0" tint="-0.14419995727408674"/>
      </bottom>
      <diagonal/>
    </border>
    <border>
      <left/>
      <right/>
      <top style="thin">
        <color rgb="FFDADADA"/>
      </top>
      <bottom style="thin">
        <color rgb="FFDADADA"/>
      </bottom>
      <diagonal/>
    </border>
    <border>
      <left/>
      <right/>
      <top/>
      <bottom style="thin">
        <color theme="0" tint="-0.14725180822168646"/>
      </bottom>
      <diagonal/>
    </border>
    <border>
      <left/>
      <right style="thin">
        <color theme="0" tint="-0.14725180822168646"/>
      </right>
      <top style="thin">
        <color theme="0" tint="-0.14725180822168646"/>
      </top>
      <bottom style="thin">
        <color theme="0" tint="-0.14725180822168646"/>
      </bottom>
      <diagonal/>
    </border>
    <border>
      <left/>
      <right/>
      <top style="thin">
        <color theme="0" tint="-0.14725180822168646"/>
      </top>
      <bottom style="thin">
        <color theme="0" tint="-0.14725180822168646"/>
      </bottom>
      <diagonal/>
    </border>
    <border>
      <left style="thin">
        <color theme="0" tint="-0.14725180822168646"/>
      </left>
      <right/>
      <top style="thin">
        <color theme="0" tint="-0.14725180822168646"/>
      </top>
      <bottom style="thin">
        <color theme="0" tint="-0.14725180822168646"/>
      </bottom>
      <diagonal/>
    </border>
    <border>
      <left/>
      <right style="thin">
        <color theme="0" tint="-0.14722128971221046"/>
      </right>
      <top style="thin">
        <color theme="0" tint="-0.14725180822168646"/>
      </top>
      <bottom style="thin">
        <color theme="0" tint="-0.14725180822168646"/>
      </bottom>
      <diagonal/>
    </border>
    <border>
      <left style="thin">
        <color theme="0" tint="-0.14722128971221046"/>
      </left>
      <right/>
      <top style="thin">
        <color theme="0" tint="-0.14725180822168646"/>
      </top>
      <bottom style="thin">
        <color theme="0" tint="-0.14725180822168646"/>
      </bottom>
      <diagonal/>
    </border>
    <border>
      <left/>
      <right/>
      <top style="thin">
        <color rgb="FFD9D9D9"/>
      </top>
      <bottom style="thin">
        <color rgb="FFF3F3F3"/>
      </bottom>
      <diagonal/>
    </border>
    <border>
      <left style="thin">
        <color rgb="FFD9D9D9"/>
      </left>
      <right/>
      <top style="thin">
        <color rgb="FFD9D9D9"/>
      </top>
      <bottom style="thin">
        <color rgb="FFF3F3F3"/>
      </bottom>
      <diagonal/>
    </border>
    <border>
      <left/>
      <right style="thin">
        <color theme="0" tint="-0.14725180822168646"/>
      </right>
      <top style="thin">
        <color theme="0" tint="-4.7029023102511676E-2"/>
      </top>
      <bottom style="thin">
        <color theme="0" tint="-4.7029023102511676E-2"/>
      </bottom>
      <diagonal/>
    </border>
    <border>
      <left/>
      <right/>
      <top style="thin">
        <color theme="0" tint="-4.7029023102511676E-2"/>
      </top>
      <bottom style="thin">
        <color theme="0" tint="-4.7029023102511676E-2"/>
      </bottom>
      <diagonal/>
    </border>
    <border>
      <left style="thin">
        <color theme="0" tint="-0.14725180822168646"/>
      </left>
      <right/>
      <top style="thin">
        <color theme="0" tint="-4.7029023102511676E-2"/>
      </top>
      <bottom style="thin">
        <color theme="0" tint="-4.7029023102511676E-2"/>
      </bottom>
      <diagonal/>
    </border>
    <border>
      <left/>
      <right style="thin">
        <color rgb="FFD9D9D9"/>
      </right>
      <top style="thin">
        <color rgb="FFF3F3F3"/>
      </top>
      <bottom style="thin">
        <color rgb="FFF3F3F3"/>
      </bottom>
      <diagonal/>
    </border>
    <border>
      <left style="thin">
        <color theme="0" tint="-0.14722128971221046"/>
      </left>
      <right/>
      <top style="thin">
        <color theme="0" tint="-4.7029023102511676E-2"/>
      </top>
      <bottom style="thin">
        <color theme="0" tint="-4.7029023102511676E-2"/>
      </bottom>
      <diagonal/>
    </border>
    <border>
      <left style="thin">
        <color rgb="FFD9D9D9"/>
      </left>
      <right/>
      <top style="thin">
        <color rgb="FFF3F3F3"/>
      </top>
      <bottom style="thin">
        <color rgb="FFF3F3F3"/>
      </bottom>
      <diagonal/>
    </border>
    <border>
      <left/>
      <right style="thin">
        <color theme="0" tint="-0.14725180822168646"/>
      </right>
      <top style="thin">
        <color theme="0" tint="-4.699850459303568E-2"/>
      </top>
      <bottom style="thin">
        <color theme="0" tint="-4.7029023102511676E-2"/>
      </bottom>
      <diagonal/>
    </border>
    <border>
      <left/>
      <right/>
      <top style="thin">
        <color theme="0" tint="-4.699850459303568E-2"/>
      </top>
      <bottom style="thin">
        <color theme="0" tint="-4.7029023102511676E-2"/>
      </bottom>
      <diagonal/>
    </border>
    <border>
      <left style="thin">
        <color theme="0" tint="-0.14725180822168646"/>
      </left>
      <right/>
      <top style="thin">
        <color theme="0" tint="-4.699850459303568E-2"/>
      </top>
      <bottom style="thin">
        <color theme="0" tint="-4.7029023102511676E-2"/>
      </bottom>
      <diagonal/>
    </border>
    <border>
      <left style="thin">
        <color theme="0" tint="-0.14722128971221046"/>
      </left>
      <right/>
      <top style="thin">
        <color theme="0" tint="-4.699850459303568E-2"/>
      </top>
      <bottom style="thin">
        <color theme="0" tint="-4.7029023102511676E-2"/>
      </bottom>
      <diagonal/>
    </border>
    <border>
      <left/>
      <right style="thin">
        <color theme="0" tint="-0.14725180822168646"/>
      </right>
      <top style="thin">
        <color theme="0" tint="-4.7029023102511676E-2"/>
      </top>
      <bottom style="thin">
        <color theme="0" tint="-0.14725180822168646"/>
      </bottom>
      <diagonal/>
    </border>
    <border>
      <left/>
      <right/>
      <top style="thin">
        <color theme="0" tint="-4.7029023102511676E-2"/>
      </top>
      <bottom style="thin">
        <color theme="0" tint="-0.14725180822168646"/>
      </bottom>
      <diagonal/>
    </border>
    <border>
      <left style="thin">
        <color theme="0" tint="-0.14725180822168646"/>
      </left>
      <right/>
      <top style="thin">
        <color theme="0" tint="-4.7029023102511676E-2"/>
      </top>
      <bottom style="thin">
        <color theme="0" tint="-0.14725180822168646"/>
      </bottom>
      <diagonal/>
    </border>
    <border>
      <left style="thin">
        <color theme="0" tint="-0.14722128971221046"/>
      </left>
      <right/>
      <top style="thin">
        <color theme="0" tint="-4.7029023102511676E-2"/>
      </top>
      <bottom style="thin">
        <color theme="0" tint="-0.14725180822168646"/>
      </bottom>
      <diagonal/>
    </border>
    <border>
      <left/>
      <right style="thin">
        <color theme="0" tint="-0.14725180822168646"/>
      </right>
      <top style="thin">
        <color theme="0" tint="-0.14725180822168646"/>
      </top>
      <bottom style="thin">
        <color theme="0" tint="-0.14722128971221046"/>
      </bottom>
      <diagonal/>
    </border>
    <border>
      <left/>
      <right/>
      <top style="thin">
        <color theme="0" tint="-0.14725180822168646"/>
      </top>
      <bottom style="thin">
        <color theme="0" tint="-0.14722128971221046"/>
      </bottom>
      <diagonal/>
    </border>
    <border>
      <left style="thin">
        <color theme="0" tint="-0.14725180822168646"/>
      </left>
      <right/>
      <top style="thin">
        <color theme="0" tint="-0.14725180822168646"/>
      </top>
      <bottom style="thin">
        <color theme="0" tint="-0.14722128971221046"/>
      </bottom>
      <diagonal/>
    </border>
    <border>
      <left style="thin">
        <color theme="0" tint="-0.14722128971221046"/>
      </left>
      <right/>
      <top style="thin">
        <color theme="0" tint="-0.14725180822168646"/>
      </top>
      <bottom style="thin">
        <color theme="0" tint="-0.14722128971221046"/>
      </bottom>
      <diagonal/>
    </border>
    <border>
      <left/>
      <right/>
      <top/>
      <bottom style="thin">
        <color theme="0" tint="-0.14496292001098665"/>
      </bottom>
      <diagonal/>
    </border>
    <border>
      <left/>
      <right style="thin">
        <color theme="0" tint="-0.14496292001098665"/>
      </right>
      <top style="thin">
        <color theme="0" tint="-0.14496292001098665"/>
      </top>
      <bottom style="thin">
        <color theme="0" tint="-0.14496292001098665"/>
      </bottom>
      <diagonal/>
    </border>
    <border>
      <left/>
      <right/>
      <top style="thin">
        <color theme="0" tint="-0.14496292001098665"/>
      </top>
      <bottom style="thin">
        <color theme="0" tint="-0.14496292001098665"/>
      </bottom>
      <diagonal/>
    </border>
    <border>
      <left style="thin">
        <color theme="0" tint="-0.14496292001098665"/>
      </left>
      <right/>
      <top style="thin">
        <color theme="0" tint="-0.14496292001098665"/>
      </top>
      <bottom style="thin">
        <color theme="0" tint="-0.14496292001098665"/>
      </bottom>
      <diagonal/>
    </border>
    <border>
      <left/>
      <right style="thin">
        <color theme="0" tint="-0.14493240150151065"/>
      </right>
      <top style="thin">
        <color theme="0" tint="-0.14496292001098665"/>
      </top>
      <bottom style="thin">
        <color theme="0" tint="-0.14496292001098665"/>
      </bottom>
      <diagonal/>
    </border>
    <border>
      <left/>
      <right/>
      <top style="thin">
        <color theme="0" tint="-4.4862208929715874E-2"/>
      </top>
      <bottom style="thin">
        <color theme="0" tint="-4.4862208929715874E-2"/>
      </bottom>
      <diagonal/>
    </border>
    <border>
      <left/>
      <right/>
      <top style="thin">
        <color theme="0" tint="-0.14505447553941467"/>
      </top>
      <bottom style="thin">
        <color theme="0" tint="-4.4953764458143863E-2"/>
      </bottom>
      <diagonal/>
    </border>
    <border>
      <left/>
      <right style="thin">
        <color theme="0" tint="-0.14496292001098665"/>
      </right>
      <top style="thin">
        <color theme="0" tint="-0.14496292001098665"/>
      </top>
      <bottom style="thin">
        <color theme="0" tint="-4.4953764458143863E-2"/>
      </bottom>
      <diagonal/>
    </border>
    <border>
      <left style="thin">
        <color theme="0" tint="-0.14496292001098665"/>
      </left>
      <right/>
      <top style="thin">
        <color theme="0" tint="-0.14496292001098665"/>
      </top>
      <bottom style="thin">
        <color theme="0" tint="-4.4862208929715874E-2"/>
      </bottom>
      <diagonal/>
    </border>
    <border>
      <left/>
      <right/>
      <top style="thin">
        <color theme="0" tint="-0.14496292001098665"/>
      </top>
      <bottom style="thin">
        <color theme="0" tint="-4.4862208929715874E-2"/>
      </bottom>
      <diagonal/>
    </border>
    <border>
      <left style="thin">
        <color theme="0" tint="-0.14493240150151065"/>
      </left>
      <right/>
      <top style="thin">
        <color theme="0" tint="-0.14496292001098665"/>
      </top>
      <bottom style="thin">
        <color theme="0" tint="-4.4862208929715874E-2"/>
      </bottom>
      <diagonal/>
    </border>
    <border>
      <left/>
      <right/>
      <top style="thin">
        <color theme="0" tint="-0.14511551255836666"/>
      </top>
      <bottom style="thin">
        <color theme="0" tint="-4.5014801477095856E-2"/>
      </bottom>
      <diagonal/>
    </border>
    <border>
      <left/>
      <right style="thin">
        <color theme="0" tint="-0.14496292001098665"/>
      </right>
      <top style="thin">
        <color theme="0" tint="-4.4862208929715874E-2"/>
      </top>
      <bottom style="thin">
        <color theme="0" tint="-4.4862208929715874E-2"/>
      </bottom>
      <diagonal/>
    </border>
    <border>
      <left/>
      <right/>
      <top style="thin">
        <color theme="0" tint="-4.4953764458143863E-2"/>
      </top>
      <bottom style="thin">
        <color theme="0" tint="-4.4953764458143863E-2"/>
      </bottom>
      <diagonal/>
    </border>
    <border>
      <left/>
      <right style="thin">
        <color theme="0" tint="-0.14496292001098665"/>
      </right>
      <top style="thin">
        <color theme="0" tint="-4.4953764458143863E-2"/>
      </top>
      <bottom style="thin">
        <color theme="0" tint="-4.4953764458143863E-2"/>
      </bottom>
      <diagonal/>
    </border>
    <border>
      <left style="thin">
        <color theme="0" tint="-0.14496292001098665"/>
      </left>
      <right/>
      <top style="thin">
        <color theme="0" tint="-4.4862208929715874E-2"/>
      </top>
      <bottom style="thin">
        <color theme="0" tint="-4.4862208929715874E-2"/>
      </bottom>
      <diagonal/>
    </border>
    <border>
      <left style="thin">
        <color theme="0" tint="-0.14493240150151065"/>
      </left>
      <right/>
      <top style="thin">
        <color theme="0" tint="-4.4862208929715874E-2"/>
      </top>
      <bottom style="thin">
        <color theme="0" tint="-4.4862208929715874E-2"/>
      </bottom>
      <diagonal/>
    </border>
    <border>
      <left/>
      <right/>
      <top style="thin">
        <color theme="0" tint="-4.5014801477095856E-2"/>
      </top>
      <bottom style="thin">
        <color theme="0" tint="-4.5014801477095856E-2"/>
      </bottom>
      <diagonal/>
    </border>
    <border>
      <left/>
      <right style="thin">
        <color theme="0" tint="-0.14496292001098665"/>
      </right>
      <top style="thin">
        <color theme="0" tint="-4.4953764458143863E-2"/>
      </top>
      <bottom style="thin">
        <color theme="0" tint="-4.4862208929715874E-2"/>
      </bottom>
      <diagonal/>
    </border>
    <border>
      <left/>
      <right style="thin">
        <color theme="0" tint="-0.14496292001098665"/>
      </right>
      <top style="thin">
        <color theme="0" tint="-4.4862208929715874E-2"/>
      </top>
      <bottom style="thin">
        <color theme="0" tint="-0.14496292001098665"/>
      </bottom>
      <diagonal/>
    </border>
    <border>
      <left/>
      <right/>
      <top style="thin">
        <color theme="0" tint="-4.4862208929715874E-2"/>
      </top>
      <bottom style="thin">
        <color theme="0" tint="-0.14496292001098665"/>
      </bottom>
      <diagonal/>
    </border>
    <border>
      <left style="thin">
        <color theme="0" tint="-0.14496292001098665"/>
      </left>
      <right/>
      <top style="thin">
        <color theme="0" tint="-4.4862208929715874E-2"/>
      </top>
      <bottom style="thin">
        <color theme="0" tint="-0.14496292001098665"/>
      </bottom>
      <diagonal/>
    </border>
    <border>
      <left style="thin">
        <color theme="0" tint="-0.14493240150151065"/>
      </left>
      <right/>
      <top style="thin">
        <color theme="0" tint="-4.4862208929715874E-2"/>
      </top>
      <bottom style="thin">
        <color theme="0" tint="-0.14496292001098665"/>
      </bottom>
      <diagonal/>
    </border>
    <border>
      <left/>
      <right/>
      <top style="thin">
        <color theme="0" tint="-4.5014801477095856E-2"/>
      </top>
      <bottom style="thin">
        <color theme="0" tint="-0.14511551255836666"/>
      </bottom>
      <diagonal/>
    </border>
    <border>
      <left/>
      <right style="thin">
        <color theme="0" tint="-0.14401684621723074"/>
      </right>
      <top style="thin">
        <color theme="0" tint="-0.14401684621723074"/>
      </top>
      <bottom style="thin">
        <color theme="0" tint="-0.14401684621723074"/>
      </bottom>
      <diagonal/>
    </border>
    <border>
      <left style="thin">
        <color theme="0" tint="-0.14401684621723074"/>
      </left>
      <right/>
      <top style="thin">
        <color theme="0" tint="-0.14401684621723074"/>
      </top>
      <bottom style="thin">
        <color theme="0" tint="-0.14401684621723074"/>
      </bottom>
      <diagonal/>
    </border>
    <border>
      <left/>
      <right style="thin">
        <color theme="0" tint="-0.14401684621723074"/>
      </right>
      <top style="thin">
        <color theme="0" tint="-4.3519394512771994E-2"/>
      </top>
      <bottom style="thin">
        <color theme="0" tint="-4.3519394512771994E-2"/>
      </bottom>
      <diagonal/>
    </border>
    <border>
      <left/>
      <right/>
      <top style="thin">
        <color theme="0" tint="-4.3519394512771994E-2"/>
      </top>
      <bottom style="thin">
        <color theme="0" tint="-4.3519394512771994E-2"/>
      </bottom>
      <diagonal/>
    </border>
    <border>
      <left style="thin">
        <color theme="0" tint="-0.14401684621723074"/>
      </left>
      <right/>
      <top style="thin">
        <color theme="0" tint="-4.3519394512771994E-2"/>
      </top>
      <bottom style="thin">
        <color theme="0" tint="-4.3519394512771994E-2"/>
      </bottom>
      <diagonal/>
    </border>
    <border>
      <left/>
      <right style="thin">
        <color theme="0" tint="-0.14398632770775474"/>
      </right>
      <top style="thin">
        <color theme="0" tint="-4.3519394512771994E-2"/>
      </top>
      <bottom style="thin">
        <color theme="0" tint="-4.3519394512771994E-2"/>
      </bottom>
      <diagonal/>
    </border>
    <border>
      <left/>
      <right style="thin">
        <color theme="0" tint="-0.14401684621723074"/>
      </right>
      <top style="thin">
        <color theme="0" tint="-4.3519394512771994E-2"/>
      </top>
      <bottom style="thin">
        <color theme="0" tint="-0.14401684621723074"/>
      </bottom>
      <diagonal/>
    </border>
    <border>
      <left/>
      <right/>
      <top style="thin">
        <color theme="0" tint="-4.3519394512771994E-2"/>
      </top>
      <bottom style="thin">
        <color theme="0" tint="-0.14401684621723074"/>
      </bottom>
      <diagonal/>
    </border>
    <border>
      <left style="thin">
        <color theme="0" tint="-0.14401684621723074"/>
      </left>
      <right/>
      <top style="thin">
        <color theme="0" tint="-4.3519394512771994E-2"/>
      </top>
      <bottom style="thin">
        <color theme="0" tint="-0.14401684621723074"/>
      </bottom>
      <diagonal/>
    </border>
    <border>
      <left/>
      <right style="thin">
        <color theme="0" tint="-0.14398632770775474"/>
      </right>
      <top style="thin">
        <color theme="0" tint="-4.3519394512771994E-2"/>
      </top>
      <bottom style="thin">
        <color theme="0" tint="-0.14401684621723074"/>
      </bottom>
      <diagonal/>
    </border>
    <border>
      <left/>
      <right/>
      <top/>
      <bottom style="thin">
        <color theme="0" tint="-0.13217566454054383"/>
      </bottom>
      <diagonal/>
    </border>
    <border>
      <left/>
      <right style="thin">
        <color theme="0" tint="-0.13217566454054383"/>
      </right>
      <top style="thin">
        <color theme="0" tint="-0.13217566454054383"/>
      </top>
      <bottom style="thin">
        <color theme="0" tint="-0.13217566454054383"/>
      </bottom>
      <diagonal/>
    </border>
    <border>
      <left/>
      <right/>
      <top style="thin">
        <color theme="0" tint="-0.13217566454054383"/>
      </top>
      <bottom style="thin">
        <color theme="0" tint="-0.13217566454054383"/>
      </bottom>
      <diagonal/>
    </border>
    <border>
      <left style="thin">
        <color theme="0" tint="-0.13217566454054383"/>
      </left>
      <right/>
      <top style="thin">
        <color theme="0" tint="-0.13217566454054383"/>
      </top>
      <bottom style="thin">
        <color theme="0" tint="-0.13217566454054383"/>
      </bottom>
      <diagonal/>
    </border>
    <border>
      <left/>
      <right style="thin">
        <color theme="0" tint="-0.13211462752159184"/>
      </right>
      <top style="thin">
        <color theme="0" tint="-0.13217566454054383"/>
      </top>
      <bottom style="thin">
        <color theme="0" tint="-0.13217566454054383"/>
      </bottom>
      <diagonal/>
    </border>
    <border>
      <left style="thin">
        <color theme="0" tint="-0.13211462752159184"/>
      </left>
      <right/>
      <top style="thin">
        <color theme="0" tint="-0.13217566454054383"/>
      </top>
      <bottom style="thin">
        <color theme="0" tint="-0.13217566454054383"/>
      </bottom>
      <diagonal/>
    </border>
    <border>
      <left/>
      <right/>
      <top style="thin">
        <color rgb="FFDDDDDD"/>
      </top>
      <bottom style="thin">
        <color rgb="FFF7F7F7"/>
      </bottom>
      <diagonal/>
    </border>
    <border>
      <left style="thin">
        <color rgb="FFDDDDDD"/>
      </left>
      <right/>
      <top style="thin">
        <color rgb="FFDDDDDD"/>
      </top>
      <bottom style="thin">
        <color rgb="FFF7F7F7"/>
      </bottom>
      <diagonal/>
    </border>
    <border>
      <left/>
      <right style="thin">
        <color theme="0" tint="-0.13217566454054383"/>
      </right>
      <top style="thin">
        <color theme="0" tint="-3.1403546250801113E-2"/>
      </top>
      <bottom style="thin">
        <color theme="0" tint="-3.1403546250801113E-2"/>
      </bottom>
      <diagonal/>
    </border>
    <border>
      <left/>
      <right/>
      <top style="thin">
        <color theme="0" tint="-3.1403546250801113E-2"/>
      </top>
      <bottom style="thin">
        <color theme="0" tint="-3.1403546250801113E-2"/>
      </bottom>
      <diagonal/>
    </border>
    <border>
      <left style="thin">
        <color theme="0" tint="-0.13217566454054383"/>
      </left>
      <right/>
      <top style="thin">
        <color theme="0" tint="-3.1403546250801113E-2"/>
      </top>
      <bottom style="thin">
        <color theme="0" tint="-3.1403546250801113E-2"/>
      </bottom>
      <diagonal/>
    </border>
    <border>
      <left/>
      <right style="thin">
        <color theme="0" tint="-0.13211462752159184"/>
      </right>
      <top style="thin">
        <color theme="0" tint="-3.1403546250801113E-2"/>
      </top>
      <bottom style="thin">
        <color theme="0" tint="-3.1403546250801113E-2"/>
      </bottom>
      <diagonal/>
    </border>
    <border>
      <left style="thin">
        <color theme="0" tint="-0.13211462752159184"/>
      </left>
      <right/>
      <top style="thin">
        <color theme="0" tint="-3.1403546250801113E-2"/>
      </top>
      <bottom style="thin">
        <color theme="0" tint="-3.1403546250801113E-2"/>
      </bottom>
      <diagonal/>
    </border>
    <border>
      <left/>
      <right/>
      <top style="thin">
        <color theme="0" tint="-0.13217566454054383"/>
      </top>
      <bottom style="thin">
        <color theme="0" tint="-3.1403546250801113E-2"/>
      </bottom>
      <diagonal/>
    </border>
    <border>
      <left/>
      <right style="thin">
        <color theme="0" tint="-0.13217566454054383"/>
      </right>
      <top style="thin">
        <color theme="0" tint="-3.1403546250801113E-2"/>
      </top>
      <bottom style="thin">
        <color theme="0" tint="-0.13217566454054383"/>
      </bottom>
      <diagonal/>
    </border>
    <border>
      <left/>
      <right/>
      <top style="thin">
        <color theme="0" tint="-3.1403546250801113E-2"/>
      </top>
      <bottom style="thin">
        <color theme="0" tint="-0.1358684041871395"/>
      </bottom>
      <diagonal/>
    </border>
    <border>
      <left/>
      <right style="thin">
        <color theme="0" tint="-0.13217566454054383"/>
      </right>
      <top style="thin">
        <color theme="0" tint="-3.1403546250801113E-2"/>
      </top>
      <bottom style="thin">
        <color theme="0" tint="-0.1358684041871395"/>
      </bottom>
      <diagonal/>
    </border>
    <border>
      <left style="thin">
        <color theme="0" tint="-0.13217566454054383"/>
      </left>
      <right/>
      <top style="thin">
        <color theme="0" tint="-3.1403546250801113E-2"/>
      </top>
      <bottom style="thin">
        <color theme="0" tint="-0.1358684041871395"/>
      </bottom>
      <diagonal/>
    </border>
    <border>
      <left/>
      <right style="thin">
        <color theme="0" tint="-0.13211462752159184"/>
      </right>
      <top style="thin">
        <color theme="0" tint="-3.1403546250801113E-2"/>
      </top>
      <bottom style="thin">
        <color theme="0" tint="-0.1358684041871395"/>
      </bottom>
      <diagonal/>
    </border>
    <border>
      <left style="thin">
        <color theme="0" tint="-0.13211462752159184"/>
      </left>
      <right/>
      <top style="thin">
        <color theme="0" tint="-3.1403546250801113E-2"/>
      </top>
      <bottom style="thin">
        <color theme="0" tint="-0.1358684041871395"/>
      </bottom>
      <diagonal/>
    </border>
    <border>
      <left/>
      <right/>
      <top style="thin">
        <color rgb="FFDCDCDC"/>
      </top>
      <bottom/>
      <diagonal/>
    </border>
    <border>
      <left/>
      <right style="thin">
        <color theme="0" tint="-0.13217566454054383"/>
      </right>
      <top style="thin">
        <color theme="0" tint="-3.1403546250801113E-2"/>
      </top>
      <bottom style="thin">
        <color theme="0" tint="-0.14654988250373852"/>
      </bottom>
      <diagonal/>
    </border>
    <border>
      <left/>
      <right/>
      <top style="thin">
        <color theme="0" tint="-3.1403546250801113E-2"/>
      </top>
      <bottom style="thin">
        <color theme="0" tint="-0.14654988250373852"/>
      </bottom>
      <diagonal/>
    </border>
    <border>
      <left style="thin">
        <color theme="0" tint="-0.13217566454054383"/>
      </left>
      <right/>
      <top style="thin">
        <color theme="0" tint="-3.1403546250801113E-2"/>
      </top>
      <bottom style="thin">
        <color theme="0" tint="-0.14654988250373852"/>
      </bottom>
      <diagonal/>
    </border>
    <border>
      <left/>
      <right style="thin">
        <color theme="0" tint="-0.14957121494186223"/>
      </right>
      <top style="thin">
        <color theme="0" tint="-3.1403546250801113E-2"/>
      </top>
      <bottom style="thin">
        <color theme="0" tint="-3.1403546250801113E-2"/>
      </bottom>
      <diagonal/>
    </border>
    <border>
      <left style="thin">
        <color rgb="FFD9D9D9"/>
      </left>
      <right/>
      <top style="thin">
        <color rgb="FFF7F7F7"/>
      </top>
      <bottom style="thin">
        <color rgb="FFF7F7F7"/>
      </bottom>
      <diagonal/>
    </border>
    <border>
      <left/>
      <right style="thin">
        <color theme="0" tint="-0.14181951353495895"/>
      </right>
      <top style="thin">
        <color theme="0" tint="-0.14181951353495895"/>
      </top>
      <bottom style="thin">
        <color theme="0" tint="-0.14185003204443494"/>
      </bottom>
      <diagonal/>
    </border>
    <border>
      <left/>
      <right/>
      <top style="thin">
        <color theme="0" tint="-0.14185003204443494"/>
      </top>
      <bottom style="thin">
        <color theme="0" tint="-0.14185003204443494"/>
      </bottom>
      <diagonal/>
    </border>
    <border>
      <left/>
      <right style="thin">
        <color rgb="FFDADADA"/>
      </right>
      <top style="thin">
        <color theme="0" tint="-0.14185003204443494"/>
      </top>
      <bottom style="thin">
        <color theme="0" tint="-0.14185003204443494"/>
      </bottom>
      <diagonal/>
    </border>
    <border>
      <left style="thin">
        <color rgb="FFDADADA"/>
      </left>
      <right/>
      <top style="thin">
        <color theme="0" tint="-0.14206366161076692"/>
      </top>
      <bottom style="thin">
        <color theme="0" tint="-0.14206366161076692"/>
      </bottom>
      <diagonal/>
    </border>
    <border>
      <left/>
      <right/>
      <top style="thin">
        <color theme="0" tint="-0.14206366161076692"/>
      </top>
      <bottom style="thin">
        <color theme="0" tint="-0.14206366161076692"/>
      </bottom>
      <diagonal/>
    </border>
    <border>
      <left style="thin">
        <color theme="0" tint="-0.14203314310129092"/>
      </left>
      <right/>
      <top style="thin">
        <color theme="0" tint="-0.14206366161076692"/>
      </top>
      <bottom style="thin">
        <color theme="0" tint="-0.14206366161076692"/>
      </bottom>
      <diagonal/>
    </border>
    <border>
      <left/>
      <right style="thin">
        <color theme="0" tint="-0.14203314310129092"/>
      </right>
      <top style="thin">
        <color theme="0" tint="-0.14206366161076692"/>
      </top>
      <bottom style="thin">
        <color theme="0" tint="-0.14206366161076692"/>
      </bottom>
      <diagonal/>
    </border>
    <border>
      <left/>
      <right/>
      <top style="thin">
        <color rgb="FFDBDBDB"/>
      </top>
      <bottom style="thin">
        <color rgb="FFDADADA"/>
      </bottom>
      <diagonal/>
    </border>
    <border>
      <left/>
      <right style="thin">
        <color theme="0" tint="-0.14206366161076692"/>
      </right>
      <top style="thin">
        <color theme="0" tint="-0.14206366161076692"/>
      </top>
      <bottom style="thin">
        <color theme="0" tint="-0.14178899502548295"/>
      </bottom>
      <diagonal/>
    </border>
    <border>
      <left/>
      <right/>
      <top style="thin">
        <color theme="0" tint="-0.14206366161076692"/>
      </top>
      <bottom style="thin">
        <color theme="0" tint="-0.14178899502548295"/>
      </bottom>
      <diagonal/>
    </border>
    <border>
      <left/>
      <right style="thin">
        <color theme="0" tint="-0.14181951353495895"/>
      </right>
      <top style="thin">
        <color theme="0" tint="-0.14185003204443494"/>
      </top>
      <bottom style="thin">
        <color theme="0" tint="-0.14185003204443494"/>
      </bottom>
      <diagonal/>
    </border>
    <border>
      <left/>
      <right style="thin">
        <color theme="0" tint="-0.14185003204443494"/>
      </right>
      <top style="thin">
        <color theme="0" tint="-0.14185003204443494"/>
      </top>
      <bottom style="thin">
        <color theme="0" tint="-0.14185003204443494"/>
      </bottom>
      <diagonal/>
    </border>
    <border>
      <left style="thin">
        <color theme="0" tint="-0.14185003204443494"/>
      </left>
      <right/>
      <top style="thin">
        <color theme="0" tint="-0.14185003204443494"/>
      </top>
      <bottom style="thin">
        <color theme="0" tint="-0.14185003204443494"/>
      </bottom>
      <diagonal/>
    </border>
    <border>
      <left/>
      <right style="thin">
        <color theme="0" tint="-0.14206366161076692"/>
      </right>
      <top style="thin">
        <color theme="0" tint="-0.14178899502548295"/>
      </top>
      <bottom style="thin">
        <color theme="0" tint="-0.14178899502548295"/>
      </bottom>
      <diagonal/>
    </border>
    <border>
      <left/>
      <right/>
      <top style="thin">
        <color theme="0" tint="-0.14178899502548295"/>
      </top>
      <bottom style="thin">
        <color theme="0" tint="-0.14178899502548295"/>
      </bottom>
      <diagonal/>
    </border>
    <border>
      <left/>
      <right style="thin">
        <color rgb="FFDBDBDB"/>
      </right>
      <top style="thin">
        <color rgb="FFDBDBDB"/>
      </top>
      <bottom style="thin">
        <color rgb="FFF3F3F3"/>
      </bottom>
      <diagonal/>
    </border>
    <border>
      <left/>
      <right/>
      <top style="thin">
        <color theme="0" tint="-4.8310800500503556E-2"/>
      </top>
      <bottom style="thin">
        <color theme="0" tint="-4.8310800500503556E-2"/>
      </bottom>
      <diagonal/>
    </border>
    <border>
      <left/>
      <right/>
      <top style="thin">
        <color rgb="FFDBDBDB"/>
      </top>
      <bottom style="thin">
        <color rgb="FFF3F3F3"/>
      </bottom>
      <diagonal/>
    </border>
    <border>
      <left style="thin">
        <color rgb="FFDBDBDB"/>
      </left>
      <right/>
      <top style="thin">
        <color rgb="FFDBDBDB"/>
      </top>
      <bottom style="thin">
        <color rgb="FFF3F3F3"/>
      </bottom>
      <diagonal/>
    </border>
    <border>
      <left/>
      <right style="thin">
        <color theme="0" tint="-0.14181951353495895"/>
      </right>
      <top style="thin">
        <color theme="0" tint="-4.8310800500503556E-2"/>
      </top>
      <bottom style="thin">
        <color theme="0" tint="-4.8310800500503556E-2"/>
      </bottom>
      <diagonal/>
    </border>
    <border>
      <left/>
      <right style="thin">
        <color theme="0" tint="-0.14185003204443494"/>
      </right>
      <top style="thin">
        <color theme="0" tint="-4.8310800500503556E-2"/>
      </top>
      <bottom style="thin">
        <color theme="0" tint="-4.8310800500503556E-2"/>
      </bottom>
      <diagonal/>
    </border>
    <border>
      <left style="thin">
        <color theme="0" tint="-0.14185003204443494"/>
      </left>
      <right/>
      <top style="thin">
        <color theme="0" tint="-4.8310800500503556E-2"/>
      </top>
      <bottom style="thin">
        <color theme="0" tint="-4.8310800500503556E-2"/>
      </bottom>
      <diagonal/>
    </border>
    <border>
      <left/>
      <right style="thin">
        <color theme="0" tint="-0.14206366161076692"/>
      </right>
      <top style="thin">
        <color theme="0" tint="-4.8310800500503556E-2"/>
      </top>
      <bottom style="thin">
        <color theme="0" tint="-4.8310800500503556E-2"/>
      </bottom>
      <diagonal/>
    </border>
    <border>
      <left style="thin">
        <color rgb="FFDBDBDB"/>
      </left>
      <right/>
      <top style="thin">
        <color rgb="FFF3F3F3"/>
      </top>
      <bottom style="thin">
        <color rgb="FFF3F3F3"/>
      </bottom>
      <diagonal/>
    </border>
    <border>
      <left style="thin">
        <color theme="0" tint="-0.14206366161076692"/>
      </left>
      <right/>
      <top style="thin">
        <color theme="0" tint="-4.8310800500503556E-2"/>
      </top>
      <bottom style="thin">
        <color theme="0" tint="-4.8310800500503556E-2"/>
      </bottom>
      <diagonal/>
    </border>
    <border>
      <left/>
      <right style="thin">
        <color theme="0" tint="-0.14154484694967498"/>
      </right>
      <top style="thin">
        <color theme="0" tint="-0.14154484694967498"/>
      </top>
      <bottom style="thin">
        <color theme="0" tint="-0.14157536545915098"/>
      </bottom>
      <diagonal/>
    </border>
    <border>
      <left/>
      <right/>
      <top style="thin">
        <color theme="0" tint="-0.14157536545915098"/>
      </top>
      <bottom style="thin">
        <color theme="0" tint="-0.14157536545915098"/>
      </bottom>
      <diagonal/>
    </border>
    <border>
      <left/>
      <right style="thin">
        <color rgb="FFDADADA"/>
      </right>
      <top style="thin">
        <color theme="0" tint="-0.14157536545915098"/>
      </top>
      <bottom style="thin">
        <color theme="0" tint="-0.14157536545915098"/>
      </bottom>
      <diagonal/>
    </border>
    <border>
      <left style="thin">
        <color rgb="FFDADADA"/>
      </left>
      <right/>
      <top style="thin">
        <color theme="0" tint="-0.14178899502548295"/>
      </top>
      <bottom style="thin">
        <color theme="0" tint="-0.14178899502548295"/>
      </bottom>
      <diagonal/>
    </border>
    <border>
      <left style="thin">
        <color theme="0" tint="-0.14175847651600695"/>
      </left>
      <right/>
      <top style="thin">
        <color theme="0" tint="-0.14178899502548295"/>
      </top>
      <bottom style="thin">
        <color theme="0" tint="-0.14178899502548295"/>
      </bottom>
      <diagonal/>
    </border>
    <border>
      <left/>
      <right style="thin">
        <color theme="0" tint="-0.14175847651600695"/>
      </right>
      <top style="thin">
        <color theme="0" tint="-0.14178899502548295"/>
      </top>
      <bottom style="thin">
        <color theme="0" tint="-0.14178899502548295"/>
      </bottom>
      <diagonal/>
    </border>
    <border>
      <left/>
      <right style="thin">
        <color theme="0" tint="-0.14178899502548295"/>
      </right>
      <top style="thin">
        <color theme="0" tint="-0.14178899502548295"/>
      </top>
      <bottom style="thin">
        <color theme="0" tint="-0.14151432844019898"/>
      </bottom>
      <diagonal/>
    </border>
    <border>
      <left/>
      <right/>
      <top style="thin">
        <color theme="0" tint="-0.14178899502548295"/>
      </top>
      <bottom style="thin">
        <color theme="0" tint="-0.14151432844019898"/>
      </bottom>
      <diagonal/>
    </border>
    <border>
      <left/>
      <right style="thin">
        <color theme="0" tint="-0.14154484694967498"/>
      </right>
      <top style="thin">
        <color theme="0" tint="-0.14157536545915098"/>
      </top>
      <bottom style="thin">
        <color theme="0" tint="-0.14157536545915098"/>
      </bottom>
      <diagonal/>
    </border>
    <border>
      <left/>
      <right style="thin">
        <color theme="0" tint="-0.14157536545915098"/>
      </right>
      <top style="thin">
        <color theme="0" tint="-0.14157536545915098"/>
      </top>
      <bottom style="thin">
        <color theme="0" tint="-0.14157536545915098"/>
      </bottom>
      <diagonal/>
    </border>
    <border>
      <left style="thin">
        <color theme="0" tint="-0.14157536545915098"/>
      </left>
      <right/>
      <top style="thin">
        <color theme="0" tint="-0.14157536545915098"/>
      </top>
      <bottom style="thin">
        <color theme="0" tint="-0.14157536545915098"/>
      </bottom>
      <diagonal/>
    </border>
    <border>
      <left/>
      <right style="thin">
        <color theme="0" tint="-0.14178899502548295"/>
      </right>
      <top style="thin">
        <color theme="0" tint="-0.14151432844019898"/>
      </top>
      <bottom style="thin">
        <color theme="0" tint="-0.14151432844019898"/>
      </bottom>
      <diagonal/>
    </border>
    <border>
      <left/>
      <right/>
      <top style="thin">
        <color theme="0" tint="-0.14151432844019898"/>
      </top>
      <bottom style="thin">
        <color theme="0" tint="-0.14151432844019898"/>
      </bottom>
      <diagonal/>
    </border>
    <border>
      <left/>
      <right/>
      <top style="thin">
        <color theme="0" tint="-4.8036133915219582E-2"/>
      </top>
      <bottom style="thin">
        <color theme="0" tint="-4.8036133915219582E-2"/>
      </bottom>
      <diagonal/>
    </border>
    <border>
      <left/>
      <right style="thin">
        <color theme="0" tint="-0.14178899502548295"/>
      </right>
      <top style="thin">
        <color theme="0" tint="-4.8036133915219582E-2"/>
      </top>
      <bottom style="thin">
        <color theme="0" tint="-4.8036133915219582E-2"/>
      </bottom>
      <diagonal/>
    </border>
    <border>
      <left/>
      <right style="thin">
        <color theme="0" tint="-0.14154484694967498"/>
      </right>
      <top style="thin">
        <color theme="0" tint="-4.8036133915219582E-2"/>
      </top>
      <bottom style="thin">
        <color theme="0" tint="-4.8036133915219582E-2"/>
      </bottom>
      <diagonal/>
    </border>
    <border>
      <left/>
      <right style="thin">
        <color theme="0" tint="-0.14157536545915098"/>
      </right>
      <top style="thin">
        <color theme="0" tint="-4.8036133915219582E-2"/>
      </top>
      <bottom style="thin">
        <color theme="0" tint="-4.8036133915219582E-2"/>
      </bottom>
      <diagonal/>
    </border>
    <border>
      <left style="thin">
        <color theme="0" tint="-0.14157536545915098"/>
      </left>
      <right/>
      <top style="thin">
        <color theme="0" tint="-4.8036133915219582E-2"/>
      </top>
      <bottom style="thin">
        <color theme="0" tint="-4.8036133915219582E-2"/>
      </bottom>
      <diagonal/>
    </border>
    <border>
      <left/>
      <right style="thin">
        <color rgb="FFDBDBDB"/>
      </right>
      <top style="thin">
        <color rgb="FFF3F3F3"/>
      </top>
      <bottom style="thin">
        <color rgb="FFF3F3F3"/>
      </bottom>
      <diagonal/>
    </border>
    <border>
      <left/>
      <right style="thin">
        <color rgb="FFDBDBDB"/>
      </right>
      <top style="thin">
        <color rgb="FFF3F3F3"/>
      </top>
      <bottom style="thin">
        <color rgb="FFDBDBDB"/>
      </bottom>
      <diagonal/>
    </border>
    <border>
      <left/>
      <right/>
      <top style="thin">
        <color theme="0" tint="-4.8310800500503556E-2"/>
      </top>
      <bottom style="thin">
        <color theme="0" tint="-0.14157536545915098"/>
      </bottom>
      <diagonal/>
    </border>
    <border>
      <left/>
      <right/>
      <top style="thin">
        <color rgb="FFF3F3F3"/>
      </top>
      <bottom style="thin">
        <color rgb="FFDBDBDB"/>
      </bottom>
      <diagonal/>
    </border>
    <border>
      <left style="thin">
        <color rgb="FFDBDBDB"/>
      </left>
      <right/>
      <top style="thin">
        <color rgb="FFF3F3F3"/>
      </top>
      <bottom style="thin">
        <color rgb="FFDBDBDB"/>
      </bottom>
      <diagonal/>
    </border>
    <border>
      <left/>
      <right/>
      <top/>
      <bottom style="thin">
        <color theme="0" tint="-0.14853358561967833"/>
      </bottom>
      <diagonal/>
    </border>
    <border>
      <left/>
      <right style="thin">
        <color theme="0" tint="-0.14850306711020234"/>
      </right>
      <top style="thin">
        <color theme="0" tint="-0.14853358561967833"/>
      </top>
      <bottom style="thin">
        <color theme="0" tint="-0.14850306711020234"/>
      </bottom>
      <diagonal/>
    </border>
    <border>
      <left/>
      <right/>
      <top style="thin">
        <color theme="0" tint="-0.14853358561967833"/>
      </top>
      <bottom style="thin">
        <color theme="0" tint="-0.14850306711020234"/>
      </bottom>
      <diagonal/>
    </border>
    <border>
      <left style="thin">
        <color theme="0" tint="-0.14850306711020234"/>
      </left>
      <right/>
      <top style="thin">
        <color theme="0" tint="-0.14853358561967833"/>
      </top>
      <bottom style="thin">
        <color theme="0" tint="-0.14850306711020234"/>
      </bottom>
      <diagonal/>
    </border>
    <border>
      <left style="thin">
        <color theme="0" tint="-0.14844203009125034"/>
      </left>
      <right/>
      <top style="thin">
        <color theme="0" tint="-0.14853358561967833"/>
      </top>
      <bottom style="thin">
        <color theme="0" tint="-0.14850306711020234"/>
      </bottom>
      <diagonal/>
    </border>
    <border>
      <left/>
      <right style="thin">
        <color theme="0" tint="-0.14847254860072634"/>
      </right>
      <top style="thin">
        <color theme="0" tint="-0.14853358561967833"/>
      </top>
      <bottom style="thin">
        <color theme="0" tint="-0.14850306711020234"/>
      </bottom>
      <diagonal/>
    </border>
    <border>
      <left/>
      <right style="thin">
        <color theme="0" tint="-0.14850306711020234"/>
      </right>
      <top style="thin">
        <color theme="0" tint="-4.8554948576311534E-2"/>
      </top>
      <bottom style="thin">
        <color theme="0" tint="-4.8554948576311534E-2"/>
      </bottom>
      <diagonal/>
    </border>
    <border>
      <left/>
      <right/>
      <top style="thin">
        <color theme="0" tint="-4.8554948576311534E-2"/>
      </top>
      <bottom style="thin">
        <color theme="0" tint="-4.8554948576311534E-2"/>
      </bottom>
      <diagonal/>
    </border>
    <border>
      <left style="thin">
        <color theme="0" tint="-0.14850306711020234"/>
      </left>
      <right/>
      <top style="thin">
        <color theme="0" tint="-4.8554948576311534E-2"/>
      </top>
      <bottom style="thin">
        <color theme="0" tint="-4.8554948576311534E-2"/>
      </bottom>
      <diagonal/>
    </border>
    <border>
      <left style="thin">
        <color theme="0" tint="-0.14844203009125034"/>
      </left>
      <right/>
      <top style="thin">
        <color theme="0" tint="-4.8554948576311534E-2"/>
      </top>
      <bottom style="thin">
        <color theme="0" tint="-4.8554948576311534E-2"/>
      </bottom>
      <diagonal/>
    </border>
    <border>
      <left/>
      <right style="thin">
        <color theme="0" tint="-0.14847254860072634"/>
      </right>
      <top style="thin">
        <color theme="0" tint="-4.8554948576311534E-2"/>
      </top>
      <bottom style="thin">
        <color theme="0" tint="-4.8554948576311534E-2"/>
      </bottom>
      <diagonal/>
    </border>
    <border>
      <left/>
      <right/>
      <top style="thin">
        <color rgb="FFF3F3F3"/>
      </top>
      <bottom style="thin">
        <color rgb="FFD9D9D9"/>
      </bottom>
      <diagonal/>
    </border>
    <border>
      <left style="thin">
        <color rgb="FFD9D9D9"/>
      </left>
      <right/>
      <top style="thin">
        <color rgb="FFF3F3F3"/>
      </top>
      <bottom style="thin">
        <color rgb="FFD9D9D9"/>
      </bottom>
      <diagonal/>
    </border>
    <border>
      <left/>
      <right style="thin">
        <color theme="0" tint="-0.14850306711020234"/>
      </right>
      <top style="thin">
        <color theme="0" tint="-0.14850306711020234"/>
      </top>
      <bottom style="thin">
        <color theme="0" tint="-0.14850306711020234"/>
      </bottom>
      <diagonal/>
    </border>
    <border>
      <left/>
      <right/>
      <top style="thin">
        <color theme="0" tint="-0.14850306711020234"/>
      </top>
      <bottom style="thin">
        <color theme="0" tint="-0.14850306711020234"/>
      </bottom>
      <diagonal/>
    </border>
    <border>
      <left style="thin">
        <color theme="0" tint="-0.14850306711020234"/>
      </left>
      <right/>
      <top style="thin">
        <color theme="0" tint="-0.14850306711020234"/>
      </top>
      <bottom style="thin">
        <color theme="0" tint="-0.14850306711020234"/>
      </bottom>
      <diagonal/>
    </border>
    <border>
      <left style="thin">
        <color theme="0" tint="-0.14844203009125034"/>
      </left>
      <right/>
      <top style="thin">
        <color theme="0" tint="-0.14850306711020234"/>
      </top>
      <bottom style="thin">
        <color theme="0" tint="-0.14850306711020234"/>
      </bottom>
      <diagonal/>
    </border>
    <border>
      <left/>
      <right style="thin">
        <color theme="0" tint="-0.14847254860072634"/>
      </right>
      <top style="thin">
        <color theme="0" tint="-0.14850306711020234"/>
      </top>
      <bottom style="thin">
        <color theme="0" tint="-0.14850306711020234"/>
      </bottom>
      <diagonal/>
    </border>
    <border>
      <left/>
      <right style="thin">
        <color theme="0" tint="-0.14850306711020234"/>
      </right>
      <top style="thin">
        <color theme="0" tint="-4.8554948576311534E-2"/>
      </top>
      <bottom style="thin">
        <color theme="0" tint="-0.14850306711020234"/>
      </bottom>
      <diagonal/>
    </border>
    <border>
      <left/>
      <right/>
      <top style="thin">
        <color theme="0" tint="-4.8554948576311534E-2"/>
      </top>
      <bottom style="thin">
        <color theme="0" tint="-0.14850306711020234"/>
      </bottom>
      <diagonal/>
    </border>
    <border>
      <left style="thin">
        <color theme="0" tint="-0.14850306711020234"/>
      </left>
      <right/>
      <top style="thin">
        <color theme="0" tint="-4.8554948576311534E-2"/>
      </top>
      <bottom style="thin">
        <color theme="0" tint="-0.14850306711020234"/>
      </bottom>
      <diagonal/>
    </border>
    <border>
      <left style="thin">
        <color theme="0" tint="-0.14844203009125034"/>
      </left>
      <right/>
      <top style="thin">
        <color theme="0" tint="-4.8554948576311534E-2"/>
      </top>
      <bottom style="thin">
        <color theme="0" tint="-0.14850306711020234"/>
      </bottom>
      <diagonal/>
    </border>
    <border>
      <left/>
      <right style="thin">
        <color theme="0" tint="-0.14847254860072634"/>
      </right>
      <top style="thin">
        <color theme="0" tint="-4.8554948576311534E-2"/>
      </top>
      <bottom style="thin">
        <color theme="0" tint="-0.14850306711020234"/>
      </bottom>
      <diagonal/>
    </border>
    <border>
      <left/>
      <right/>
      <top style="thin">
        <color theme="0" tint="-0.14850306711020234"/>
      </top>
      <bottom/>
      <diagonal/>
    </border>
    <border>
      <left/>
      <right/>
      <top/>
      <bottom style="thin">
        <color theme="0" tint="-0.13696707052827539"/>
      </bottom>
      <diagonal/>
    </border>
    <border>
      <left/>
      <right/>
      <top style="thin">
        <color rgb="FFDCDCDC"/>
      </top>
      <bottom style="thin">
        <color rgb="FFDCDCDC"/>
      </bottom>
      <diagonal/>
    </border>
    <border>
      <left/>
      <right style="thin">
        <color theme="0" tint="-0.13696707052827539"/>
      </right>
      <top style="thin">
        <color theme="0" tint="-0.13696707052827539"/>
      </top>
      <bottom style="thin">
        <color theme="0" tint="-0.13696707052827539"/>
      </bottom>
      <diagonal/>
    </border>
    <border>
      <left/>
      <right/>
      <top style="thin">
        <color theme="0" tint="-0.13696707052827539"/>
      </top>
      <bottom style="thin">
        <color theme="0" tint="-0.13696707052827539"/>
      </bottom>
      <diagonal/>
    </border>
    <border>
      <left style="thin">
        <color theme="0" tint="-0.13696707052827539"/>
      </left>
      <right/>
      <top style="thin">
        <color theme="0" tint="-0.13696707052827539"/>
      </top>
      <bottom style="thin">
        <color theme="0" tint="-0.13696707052827539"/>
      </bottom>
      <diagonal/>
    </border>
    <border>
      <left style="thin">
        <color theme="0" tint="-0.1369060335093234"/>
      </left>
      <right/>
      <top style="thin">
        <color theme="0" tint="-0.13696707052827539"/>
      </top>
      <bottom style="thin">
        <color theme="0" tint="-0.13696707052827539"/>
      </bottom>
      <diagonal/>
    </border>
    <border>
      <left/>
      <right style="thin">
        <color theme="0" tint="-0.1368755149998474"/>
      </right>
      <top style="thin">
        <color theme="0" tint="-0.13696707052827539"/>
      </top>
      <bottom style="thin">
        <color theme="0" tint="-0.13696707052827539"/>
      </bottom>
      <diagonal/>
    </border>
    <border>
      <left/>
      <right style="thin">
        <color theme="0" tint="-0.13696707052827539"/>
      </right>
      <top style="thin">
        <color theme="0" tint="-0.13696707052827539"/>
      </top>
      <bottom style="thin">
        <color theme="0" tint="-0.1369365520187994"/>
      </bottom>
      <diagonal/>
    </border>
    <border>
      <left/>
      <right/>
      <top style="thin">
        <color theme="0" tint="-0.13696707052827539"/>
      </top>
      <bottom style="thin">
        <color theme="0" tint="-0.1369365520187994"/>
      </bottom>
      <diagonal/>
    </border>
    <border>
      <left style="thin">
        <color theme="0" tint="-0.13696707052827539"/>
      </left>
      <right/>
      <top style="thin">
        <color theme="0" tint="-0.13696707052827539"/>
      </top>
      <bottom style="thin">
        <color theme="0" tint="-0.1369365520187994"/>
      </bottom>
      <diagonal/>
    </border>
    <border>
      <left style="thin">
        <color theme="0" tint="-0.1369060335093234"/>
      </left>
      <right/>
      <top style="thin">
        <color theme="0" tint="-0.13696707052827539"/>
      </top>
      <bottom style="thin">
        <color theme="0" tint="-0.1369365520187994"/>
      </bottom>
      <diagonal/>
    </border>
    <border>
      <left/>
      <right style="thin">
        <color theme="0" tint="-0.1368755149998474"/>
      </right>
      <top style="thin">
        <color theme="0" tint="-0.13696707052827539"/>
      </top>
      <bottom style="thin">
        <color theme="0" tint="-0.1369365520187994"/>
      </bottom>
      <diagonal/>
    </border>
    <border>
      <left/>
      <right style="thin">
        <color rgb="FFDADADA"/>
      </right>
      <top style="thin">
        <color rgb="FFDBDBDB"/>
      </top>
      <bottom style="thin">
        <color rgb="FFD9D9D9"/>
      </bottom>
      <diagonal/>
    </border>
    <border>
      <left/>
      <right/>
      <top style="thin">
        <color rgb="FFDBDBDB"/>
      </top>
      <bottom style="thin">
        <color rgb="FFD9D9D9"/>
      </bottom>
      <diagonal/>
    </border>
    <border>
      <left/>
      <right style="thin">
        <color rgb="FFDBDBDB"/>
      </right>
      <top style="thin">
        <color rgb="FFDBDBDB"/>
      </top>
      <bottom style="thin">
        <color rgb="FFD9D9D9"/>
      </bottom>
      <diagonal/>
    </border>
    <border>
      <left style="thin">
        <color theme="0" tint="-0.13696707052827539"/>
      </left>
      <right/>
      <top style="thin">
        <color theme="0" tint="-0.1369365520187994"/>
      </top>
      <bottom style="thin">
        <color theme="0" tint="-0.14368114261299478"/>
      </bottom>
      <diagonal/>
    </border>
    <border>
      <left style="thin">
        <color rgb="FFDBDBDB"/>
      </left>
      <right/>
      <top style="thin">
        <color rgb="FFDBDBDB"/>
      </top>
      <bottom style="thin">
        <color rgb="FFD9D9D9"/>
      </bottom>
      <diagonal/>
    </border>
    <border>
      <left style="thin">
        <color theme="0" tint="-0.1369060335093234"/>
      </left>
      <right/>
      <top style="thin">
        <color rgb="FFDBDBDB"/>
      </top>
      <bottom style="thin">
        <color rgb="FFD9D9D9"/>
      </bottom>
      <diagonal/>
    </border>
    <border>
      <left/>
      <right style="thin">
        <color theme="0" tint="-0.1368755149998474"/>
      </right>
      <top style="thin">
        <color rgb="FFDBDBDB"/>
      </top>
      <bottom style="thin">
        <color rgb="FFD9D9D9"/>
      </bottom>
      <diagonal/>
    </border>
    <border>
      <left/>
      <right style="thin">
        <color rgb="FFDADADA"/>
      </right>
      <top style="thin">
        <color rgb="FFD9D9D9"/>
      </top>
      <bottom style="thin">
        <color rgb="FFF3F3F3"/>
      </bottom>
      <diagonal/>
    </border>
    <border>
      <left/>
      <right style="thin">
        <color rgb="FFDBDBDB"/>
      </right>
      <top style="thin">
        <color rgb="FFD9D9D9"/>
      </top>
      <bottom style="thin">
        <color rgb="FFF3F3F3"/>
      </bottom>
      <diagonal/>
    </border>
    <border>
      <left style="thin">
        <color rgb="FFDBDBDB"/>
      </left>
      <right/>
      <top style="thin">
        <color rgb="FFD9D9D9"/>
      </top>
      <bottom style="thin">
        <color rgb="FFF3F3F3"/>
      </bottom>
      <diagonal/>
    </border>
    <border>
      <left style="thin">
        <color theme="0" tint="-0.1369060335093234"/>
      </left>
      <right/>
      <top style="thin">
        <color rgb="FFD9D9D9"/>
      </top>
      <bottom style="thin">
        <color rgb="FFF3F3F3"/>
      </bottom>
      <diagonal/>
    </border>
    <border>
      <left/>
      <right style="thin">
        <color theme="0" tint="-0.1368755149998474"/>
      </right>
      <top style="thin">
        <color rgb="FFD9D9D9"/>
      </top>
      <bottom style="thin">
        <color rgb="FFF3F3F3"/>
      </bottom>
      <diagonal/>
    </border>
    <border>
      <left/>
      <right style="thin">
        <color theme="0" tint="-0.14331492049928282"/>
      </right>
      <top style="thin">
        <color theme="0" tint="-4.5930356761375773E-2"/>
      </top>
      <bottom style="thin">
        <color theme="0" tint="-4.5930356761375773E-2"/>
      </bottom>
      <diagonal/>
    </border>
    <border>
      <left/>
      <right style="thin">
        <color theme="0" tint="-0.1369365520187994"/>
      </right>
      <top style="thin">
        <color theme="0" tint="-4.5930356761375773E-2"/>
      </top>
      <bottom style="thin">
        <color theme="0" tint="-4.5930356761375773E-2"/>
      </bottom>
      <diagonal/>
    </border>
    <border>
      <left style="thin">
        <color theme="0" tint="-0.13696707052827539"/>
      </left>
      <right/>
      <top style="thin">
        <color theme="0" tint="-4.5930356761375773E-2"/>
      </top>
      <bottom style="thin">
        <color theme="0" tint="-4.5930356761375773E-2"/>
      </bottom>
      <diagonal/>
    </border>
    <border>
      <left style="thin">
        <color theme="0" tint="-0.1369060335093234"/>
      </left>
      <right/>
      <top style="thin">
        <color theme="0" tint="-4.5930356761375773E-2"/>
      </top>
      <bottom style="thin">
        <color theme="0" tint="-4.5930356761375773E-2"/>
      </bottom>
      <diagonal/>
    </border>
    <border>
      <left/>
      <right style="thin">
        <color theme="0" tint="-0.1368755149998474"/>
      </right>
      <top style="thin">
        <color theme="0" tint="-4.5930356761375773E-2"/>
      </top>
      <bottom style="thin">
        <color theme="0" tint="-4.5930356761375773E-2"/>
      </bottom>
      <diagonal/>
    </border>
    <border>
      <left/>
      <right style="thin">
        <color theme="0" tint="-0.13696707052827539"/>
      </right>
      <top style="thin">
        <color theme="0" tint="-4.5930356761375773E-2"/>
      </top>
      <bottom style="thin">
        <color theme="0" tint="-4.5930356761375773E-2"/>
      </bottom>
      <diagonal/>
    </border>
    <border>
      <left style="thin">
        <color rgb="FFDBDBDB"/>
      </left>
      <right/>
      <top style="thin">
        <color rgb="FFDADADA"/>
      </top>
      <bottom style="thin">
        <color rgb="FFF3F3F3"/>
      </bottom>
      <diagonal/>
    </border>
    <border>
      <left style="thin">
        <color theme="0" tint="-0.1369060335093234"/>
      </left>
      <right/>
      <top style="thin">
        <color rgb="FFDADADA"/>
      </top>
      <bottom style="thin">
        <color rgb="FFF3F3F3"/>
      </bottom>
      <diagonal/>
    </border>
    <border>
      <left/>
      <right style="thin">
        <color theme="0" tint="-0.1368755149998474"/>
      </right>
      <top style="thin">
        <color rgb="FFDADADA"/>
      </top>
      <bottom style="thin">
        <color rgb="FFF3F3F3"/>
      </bottom>
      <diagonal/>
    </border>
    <border>
      <left/>
      <right style="thin">
        <color theme="0" tint="-0.14331492049928282"/>
      </right>
      <top style="thin">
        <color theme="0" tint="-4.5930356761375773E-2"/>
      </top>
      <bottom style="thin">
        <color theme="0" tint="-0.14786217841120639"/>
      </bottom>
      <diagonal/>
    </border>
    <border>
      <left/>
      <right/>
      <top style="thin">
        <color theme="0" tint="-4.5930356761375773E-2"/>
      </top>
      <bottom style="thin">
        <color theme="0" tint="-0.14786217841120639"/>
      </bottom>
      <diagonal/>
    </border>
    <border>
      <left/>
      <right style="thin">
        <color theme="0" tint="-0.1369365520187994"/>
      </right>
      <top style="thin">
        <color theme="0" tint="-4.5930356761375773E-2"/>
      </top>
      <bottom style="thin">
        <color theme="0" tint="-0.14786217841120639"/>
      </bottom>
      <diagonal/>
    </border>
    <border>
      <left style="thin">
        <color theme="0" tint="-0.13696707052827539"/>
      </left>
      <right/>
      <top style="thin">
        <color theme="0" tint="-4.5930356761375773E-2"/>
      </top>
      <bottom style="thin">
        <color theme="0" tint="-0.14786217841120639"/>
      </bottom>
      <diagonal/>
    </border>
    <border>
      <left style="thin">
        <color theme="0" tint="-0.1369060335093234"/>
      </left>
      <right/>
      <top style="thin">
        <color theme="0" tint="-4.5930356761375773E-2"/>
      </top>
      <bottom style="thin">
        <color theme="0" tint="-0.14786217841120639"/>
      </bottom>
      <diagonal/>
    </border>
    <border>
      <left/>
      <right style="thin">
        <color theme="0" tint="-0.1368755149998474"/>
      </right>
      <top style="thin">
        <color theme="0" tint="-4.5930356761375773E-2"/>
      </top>
      <bottom style="thin">
        <color theme="0" tint="-0.14786217841120639"/>
      </bottom>
      <diagonal/>
    </border>
    <border>
      <left/>
      <right/>
      <top/>
      <bottom style="thin">
        <color theme="0" tint="-0.13718070009460737"/>
      </bottom>
      <diagonal/>
    </border>
    <border>
      <left/>
      <right style="thin">
        <color theme="0" tint="-0.13718070009460737"/>
      </right>
      <top style="thin">
        <color theme="0" tint="-0.13718070009460737"/>
      </top>
      <bottom style="thin">
        <color theme="0" tint="-0.13718070009460737"/>
      </bottom>
      <diagonal/>
    </border>
    <border>
      <left/>
      <right/>
      <top style="thin">
        <color theme="0" tint="-0.13718070009460737"/>
      </top>
      <bottom style="thin">
        <color theme="0" tint="-0.13718070009460737"/>
      </bottom>
      <diagonal/>
    </border>
    <border>
      <left/>
      <right style="thin">
        <color rgb="FFDCDCDC"/>
      </right>
      <top style="thin">
        <color rgb="FFDCDCDC"/>
      </top>
      <bottom style="thin">
        <color rgb="FFDCDCDC"/>
      </bottom>
      <diagonal/>
    </border>
    <border>
      <left style="thin">
        <color theme="0" tint="-0.13718070009460737"/>
      </left>
      <right/>
      <top style="thin">
        <color theme="0" tint="-0.13718070009460737"/>
      </top>
      <bottom style="thin">
        <color theme="0" tint="-0.13718070009460737"/>
      </bottom>
      <diagonal/>
    </border>
    <border>
      <left style="thin">
        <color theme="0" tint="-0.13715018158513137"/>
      </left>
      <right/>
      <top style="thin">
        <color theme="0" tint="-0.13718070009460737"/>
      </top>
      <bottom style="thin">
        <color theme="0" tint="-0.13718070009460737"/>
      </bottom>
      <diagonal/>
    </border>
    <border>
      <left/>
      <right style="thin">
        <color theme="0" tint="-0.13711966307565537"/>
      </right>
      <top style="thin">
        <color theme="0" tint="-0.13718070009460737"/>
      </top>
      <bottom style="thin">
        <color theme="0" tint="-0.13718070009460737"/>
      </bottom>
      <diagonal/>
    </border>
    <border>
      <left/>
      <right style="thin">
        <color theme="0" tint="-0.13718070009460737"/>
      </right>
      <top style="thin">
        <color theme="0" tint="-0.13718070009460737"/>
      </top>
      <bottom style="thin">
        <color theme="0" tint="-0.13715018158513137"/>
      </bottom>
      <diagonal/>
    </border>
    <border>
      <left/>
      <right/>
      <top style="thin">
        <color theme="0" tint="-0.13718070009460737"/>
      </top>
      <bottom style="thin">
        <color theme="0" tint="-0.13715018158513137"/>
      </bottom>
      <diagonal/>
    </border>
    <border>
      <left style="thin">
        <color theme="0" tint="-0.13718070009460737"/>
      </left>
      <right/>
      <top style="thin">
        <color theme="0" tint="-0.13718070009460737"/>
      </top>
      <bottom style="thin">
        <color theme="0" tint="-0.13715018158513137"/>
      </bottom>
      <diagonal/>
    </border>
    <border>
      <left style="thin">
        <color theme="0" tint="-0.13715018158513137"/>
      </left>
      <right/>
      <top style="thin">
        <color theme="0" tint="-0.13718070009460737"/>
      </top>
      <bottom style="thin">
        <color theme="0" tint="-0.13715018158513137"/>
      </bottom>
      <diagonal/>
    </border>
    <border>
      <left/>
      <right style="thin">
        <color theme="0" tint="-0.13711966307565537"/>
      </right>
      <top style="thin">
        <color theme="0" tint="-0.13718070009460737"/>
      </top>
      <bottom style="thin">
        <color theme="0" tint="-0.13715018158513137"/>
      </bottom>
      <diagonal/>
    </border>
    <border>
      <left/>
      <right style="thin">
        <color rgb="FFDADADA"/>
      </right>
      <top style="thin">
        <color rgb="FFDCDCDC"/>
      </top>
      <bottom style="thin">
        <color rgb="FFDADADA"/>
      </bottom>
      <diagonal/>
    </border>
    <border>
      <left/>
      <right/>
      <top style="thin">
        <color theme="0" tint="-0.13715018158513137"/>
      </top>
      <bottom style="thin">
        <color theme="0" tint="-0.14389477217932675"/>
      </bottom>
      <diagonal/>
    </border>
    <border>
      <left/>
      <right style="thin">
        <color rgb="FFDCDCDC"/>
      </right>
      <top style="thin">
        <color rgb="FFDCDCDC"/>
      </top>
      <bottom style="thin">
        <color rgb="FFDADADA"/>
      </bottom>
      <diagonal/>
    </border>
    <border>
      <left style="thin">
        <color theme="0" tint="-0.13718070009460737"/>
      </left>
      <right/>
      <top style="thin">
        <color theme="0" tint="-0.13715018158513137"/>
      </top>
      <bottom style="thin">
        <color theme="0" tint="-0.14389477217932675"/>
      </bottom>
      <diagonal/>
    </border>
    <border>
      <left/>
      <right/>
      <top style="thin">
        <color rgb="FFDCDCDC"/>
      </top>
      <bottom style="thin">
        <color rgb="FFDADADA"/>
      </bottom>
      <diagonal/>
    </border>
    <border>
      <left style="thin">
        <color rgb="FFDCDCDC"/>
      </left>
      <right/>
      <top style="thin">
        <color rgb="FFDCDCDC"/>
      </top>
      <bottom style="thin">
        <color rgb="FFDADADA"/>
      </bottom>
      <diagonal/>
    </border>
    <border>
      <left/>
      <right style="thin">
        <color rgb="FFDCDCDC"/>
      </right>
      <top style="thin">
        <color rgb="FFDADADA"/>
      </top>
      <bottom style="thin">
        <color rgb="FFF3F3F3"/>
      </bottom>
      <diagonal/>
    </border>
    <border>
      <left style="thin">
        <color rgb="FFDCDCDC"/>
      </left>
      <right/>
      <top style="thin">
        <color rgb="FFDADADA"/>
      </top>
      <bottom style="thin">
        <color rgb="FFF3F3F3"/>
      </bottom>
      <diagonal/>
    </border>
    <border>
      <left/>
      <right style="thin">
        <color theme="0" tint="-0.1435285500656148"/>
      </right>
      <top style="thin">
        <color theme="0" tint="-4.6143986327707755E-2"/>
      </top>
      <bottom style="thin">
        <color theme="0" tint="-4.6143986327707755E-2"/>
      </bottom>
      <diagonal/>
    </border>
    <border>
      <left/>
      <right/>
      <top style="thin">
        <color theme="0" tint="-4.6143986327707755E-2"/>
      </top>
      <bottom style="thin">
        <color theme="0" tint="-4.6143986327707755E-2"/>
      </bottom>
      <diagonal/>
    </border>
    <border>
      <left/>
      <right style="thin">
        <color rgb="FFDCDCDC"/>
      </right>
      <top style="thin">
        <color rgb="FFF3F3F3"/>
      </top>
      <bottom style="thin">
        <color rgb="FFF3F3F3"/>
      </bottom>
      <diagonal/>
    </border>
    <border>
      <left style="thin">
        <color theme="0" tint="-0.13718070009460737"/>
      </left>
      <right/>
      <top style="thin">
        <color theme="0" tint="-4.6143986327707755E-2"/>
      </top>
      <bottom style="thin">
        <color theme="0" tint="-4.6143986327707755E-2"/>
      </bottom>
      <diagonal/>
    </border>
    <border>
      <left/>
      <right style="thin">
        <color theme="0" tint="-0.13718070009460737"/>
      </right>
      <top style="thin">
        <color theme="0" tint="-4.6143986327707755E-2"/>
      </top>
      <bottom style="thin">
        <color theme="0" tint="-4.6143986327707755E-2"/>
      </bottom>
      <diagonal/>
    </border>
    <border>
      <left style="thin">
        <color theme="0" tint="-0.13715018158513137"/>
      </left>
      <right/>
      <top style="thin">
        <color theme="0" tint="-4.6143986327707755E-2"/>
      </top>
      <bottom style="thin">
        <color theme="0" tint="-4.6143986327707755E-2"/>
      </bottom>
      <diagonal/>
    </border>
    <border>
      <left/>
      <right style="thin">
        <color theme="0" tint="-0.13711966307565537"/>
      </right>
      <top style="thin">
        <color theme="0" tint="-4.6143986327707755E-2"/>
      </top>
      <bottom style="thin">
        <color theme="0" tint="-4.6143986327707755E-2"/>
      </bottom>
      <diagonal/>
    </border>
    <border>
      <left/>
      <right style="thin">
        <color rgb="FFDBDBDB"/>
      </right>
      <top style="thin">
        <color rgb="FFF3F3F3"/>
      </top>
      <bottom style="thin">
        <color rgb="FFDADADA"/>
      </bottom>
      <diagonal/>
    </border>
    <border>
      <left/>
      <right style="thin">
        <color rgb="FFDCDCDC"/>
      </right>
      <top style="thin">
        <color rgb="FFF3F3F3"/>
      </top>
      <bottom style="thin">
        <color rgb="FFDADADA"/>
      </bottom>
      <diagonal/>
    </border>
    <border>
      <left style="thin">
        <color rgb="FFDCDCDC"/>
      </left>
      <right/>
      <top style="thin">
        <color rgb="FFF3F3F3"/>
      </top>
      <bottom style="thin">
        <color rgb="FFDADADA"/>
      </bottom>
      <diagonal/>
    </border>
    <border>
      <left/>
      <right style="thin">
        <color theme="0" tint="-0.14392529068880275"/>
      </right>
      <top style="thin">
        <color theme="0" tint="-0.14612262337107457"/>
      </top>
      <bottom style="thin">
        <color theme="0" tint="-0.14612262337107457"/>
      </bottom>
      <diagonal/>
    </border>
    <border>
      <left/>
      <right style="thin">
        <color rgb="FFDCDCDC"/>
      </right>
      <top style="thin">
        <color rgb="FFDADADA"/>
      </top>
      <bottom style="thin">
        <color rgb="FFDADADA"/>
      </bottom>
      <diagonal/>
    </border>
    <border>
      <left style="thin">
        <color theme="0" tint="-0.13718070009460737"/>
      </left>
      <right/>
      <top style="thin">
        <color theme="0" tint="-0.14612262337107457"/>
      </top>
      <bottom style="thin">
        <color theme="0" tint="-0.14612262337107457"/>
      </bottom>
      <diagonal/>
    </border>
    <border>
      <left/>
      <right style="thin">
        <color theme="0" tint="-0.13718070009460737"/>
      </right>
      <top style="thin">
        <color theme="0" tint="-0.14612262337107457"/>
      </top>
      <bottom style="thin">
        <color theme="0" tint="-0.14612262337107457"/>
      </bottom>
      <diagonal/>
    </border>
    <border>
      <left style="thin">
        <color theme="0" tint="-0.13715018158513137"/>
      </left>
      <right/>
      <top style="thin">
        <color theme="0" tint="-0.14612262337107457"/>
      </top>
      <bottom style="thin">
        <color theme="0" tint="-0.14612262337107457"/>
      </bottom>
      <diagonal/>
    </border>
    <border>
      <left/>
      <right style="thin">
        <color theme="0" tint="-0.13711966307565537"/>
      </right>
      <top style="thin">
        <color theme="0" tint="-0.14612262337107457"/>
      </top>
      <bottom style="thin">
        <color theme="0" tint="-0.14612262337107457"/>
      </bottom>
      <diagonal/>
    </border>
    <border>
      <left/>
      <right style="thin">
        <color theme="0" tint="-0.13715018158513137"/>
      </right>
      <top style="thin">
        <color theme="0" tint="-4.6143986327707755E-2"/>
      </top>
      <bottom style="thin">
        <color theme="0" tint="-0.14612262337107457"/>
      </bottom>
      <diagonal/>
    </border>
    <border>
      <left/>
      <right/>
      <top style="thin">
        <color theme="0" tint="-4.6143986327707755E-2"/>
      </top>
      <bottom style="thin">
        <color theme="0" tint="-0.14612262337107457"/>
      </bottom>
      <diagonal/>
    </border>
    <border>
      <left style="thin">
        <color theme="0" tint="-0.13718070009460737"/>
      </left>
      <right/>
      <top style="thin">
        <color theme="0" tint="-4.6143986327707755E-2"/>
      </top>
      <bottom style="thin">
        <color theme="0" tint="-0.14612262337107457"/>
      </bottom>
      <diagonal/>
    </border>
    <border>
      <left/>
      <right style="thin">
        <color theme="0" tint="-0.13718070009460737"/>
      </right>
      <top style="thin">
        <color theme="0" tint="-4.6143986327707755E-2"/>
      </top>
      <bottom style="thin">
        <color theme="0" tint="-0.14612262337107457"/>
      </bottom>
      <diagonal/>
    </border>
    <border>
      <left style="thin">
        <color theme="0" tint="-0.13715018158513137"/>
      </left>
      <right/>
      <top style="thin">
        <color theme="0" tint="-4.6143986327707755E-2"/>
      </top>
      <bottom style="thin">
        <color theme="0" tint="-0.14612262337107457"/>
      </bottom>
      <diagonal/>
    </border>
    <border>
      <left/>
      <right style="thin">
        <color theme="0" tint="-0.13711966307565537"/>
      </right>
      <top style="thin">
        <color theme="0" tint="-4.6143986327707755E-2"/>
      </top>
      <bottom style="thin">
        <color theme="0" tint="-0.14612262337107457"/>
      </bottom>
      <diagonal/>
    </border>
    <border>
      <left style="thin">
        <color theme="0" tint="-4.4373912778099919E-2"/>
      </left>
      <right/>
      <top style="thin">
        <color theme="0" tint="-0.14432203131199073"/>
      </top>
      <bottom style="thin">
        <color theme="0" tint="-4.4373912778099919E-2"/>
      </bottom>
      <diagonal/>
    </border>
    <border>
      <left style="thin">
        <color theme="0" tint="-4.4373912778099919E-2"/>
      </left>
      <right/>
      <top style="thin">
        <color theme="0" tint="-4.4373912778099919E-2"/>
      </top>
      <bottom style="thin">
        <color theme="0" tint="-4.4373912778099919E-2"/>
      </bottom>
      <diagonal/>
    </border>
    <border>
      <left style="thin">
        <color theme="0" tint="-4.4373912778099919E-2"/>
      </left>
      <right/>
      <top style="thin">
        <color theme="0" tint="-4.4373912778099919E-2"/>
      </top>
      <bottom style="thin">
        <color theme="0" tint="-0.14432203131199073"/>
      </bottom>
      <diagonal/>
    </border>
  </borders>
  <cellStyleXfs count="38">
    <xf numFmtId="0" fontId="0" fillId="0" borderId="0"/>
    <xf numFmtId="9" fontId="21" fillId="0" borderId="0" applyFont="0" applyFill="0" applyBorder="0" applyAlignment="0" applyProtection="0"/>
    <xf numFmtId="0" fontId="1" fillId="0" borderId="0" applyNumberFormat="0" applyFill="0" applyBorder="0" applyAlignment="0" applyProtection="0"/>
    <xf numFmtId="0" fontId="21" fillId="0" borderId="0"/>
    <xf numFmtId="43" fontId="21"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3" fontId="37" fillId="0" borderId="0" applyFont="0" applyFill="0" applyBorder="0" applyAlignment="0" applyProtection="0"/>
    <xf numFmtId="0" fontId="37" fillId="0" borderId="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54" fillId="0" borderId="0"/>
    <xf numFmtId="0" fontId="40" fillId="0" borderId="0"/>
    <xf numFmtId="43" fontId="40" fillId="0" borderId="0" applyFont="0" applyFill="0" applyBorder="0" applyAlignment="0" applyProtection="0"/>
    <xf numFmtId="0" fontId="37" fillId="0" borderId="0"/>
    <xf numFmtId="0" fontId="37" fillId="0" borderId="0"/>
  </cellStyleXfs>
  <cellXfs count="3718">
    <xf numFmtId="0" fontId="0" fillId="0" borderId="0" xfId="0"/>
    <xf numFmtId="0" fontId="2" fillId="0" borderId="0" xfId="0" applyFont="1"/>
    <xf numFmtId="0" fontId="3" fillId="0" borderId="0" xfId="0" applyFont="1"/>
    <xf numFmtId="0" fontId="4" fillId="0" borderId="0" xfId="0" applyFont="1"/>
    <xf numFmtId="0" fontId="12" fillId="2" borderId="0" xfId="0" applyFont="1" applyFill="1" applyAlignment="1">
      <alignment vertical="center"/>
    </xf>
    <xf numFmtId="0" fontId="13" fillId="2" borderId="0" xfId="0" applyFont="1" applyFill="1" applyAlignment="1">
      <alignment horizontal="right" vertical="center"/>
    </xf>
    <xf numFmtId="0" fontId="14" fillId="0" borderId="0" xfId="0" applyFont="1" applyAlignment="1">
      <alignment vertical="center"/>
    </xf>
    <xf numFmtId="0" fontId="0" fillId="0" borderId="0" xfId="0" applyAlignment="1">
      <alignment horizontal="right" vertical="top"/>
    </xf>
    <xf numFmtId="0" fontId="14" fillId="0" borderId="0" xfId="0" applyFont="1" applyAlignment="1">
      <alignment vertical="top"/>
    </xf>
    <xf numFmtId="0" fontId="15" fillId="0" borderId="1" xfId="2" applyNumberFormat="1" applyFont="1" applyBorder="1" applyAlignment="1"/>
    <xf numFmtId="0" fontId="15" fillId="0" borderId="2" xfId="2" quotePrefix="1" applyNumberFormat="1" applyFont="1" applyBorder="1" applyAlignment="1">
      <alignment horizontal="right"/>
    </xf>
    <xf numFmtId="0" fontId="16" fillId="0" borderId="0" xfId="2" applyNumberFormat="1" applyFont="1" applyBorder="1" applyAlignment="1"/>
    <xf numFmtId="0" fontId="16" fillId="0" borderId="0" xfId="2" quotePrefix="1" applyNumberFormat="1" applyFont="1" applyBorder="1" applyAlignment="1">
      <alignment horizontal="right"/>
    </xf>
    <xf numFmtId="0" fontId="17" fillId="0" borderId="0" xfId="2" applyNumberFormat="1" applyFont="1" applyBorder="1" applyAlignment="1"/>
    <xf numFmtId="0" fontId="16" fillId="0" borderId="0" xfId="0" quotePrefix="1" applyFont="1" applyAlignment="1">
      <alignment horizontal="right"/>
    </xf>
    <xf numFmtId="0" fontId="15" fillId="0" borderId="1" xfId="2" applyNumberFormat="1" applyFont="1" applyBorder="1" applyAlignment="1">
      <alignment horizontal="left" indent="1"/>
    </xf>
    <xf numFmtId="0" fontId="15" fillId="0" borderId="1" xfId="2" quotePrefix="1" applyNumberFormat="1" applyFont="1" applyBorder="1" applyAlignment="1">
      <alignment horizontal="right"/>
    </xf>
    <xf numFmtId="0" fontId="17" fillId="0" borderId="1" xfId="2" applyNumberFormat="1" applyFont="1" applyBorder="1" applyAlignment="1"/>
    <xf numFmtId="0" fontId="16" fillId="0" borderId="1" xfId="2" quotePrefix="1" applyNumberFormat="1" applyFont="1" applyBorder="1" applyAlignment="1">
      <alignment horizontal="right"/>
    </xf>
    <xf numFmtId="0" fontId="18" fillId="0" borderId="0" xfId="2" applyNumberFormat="1" applyFont="1" applyBorder="1" applyAlignment="1"/>
    <xf numFmtId="0" fontId="18" fillId="0" borderId="0" xfId="2" quotePrefix="1" applyFont="1" applyBorder="1" applyAlignment="1">
      <alignment horizontal="right"/>
    </xf>
    <xf numFmtId="0" fontId="15" fillId="0" borderId="0" xfId="2" applyNumberFormat="1" applyFont="1" applyBorder="1" applyAlignment="1">
      <alignment vertical="center"/>
    </xf>
    <xf numFmtId="0" fontId="21" fillId="0" borderId="0" xfId="3"/>
    <xf numFmtId="0" fontId="27" fillId="0" borderId="4" xfId="3" applyFont="1" applyBorder="1" applyAlignment="1">
      <alignment vertical="center" wrapText="1"/>
    </xf>
    <xf numFmtId="0" fontId="28" fillId="0" borderId="4" xfId="3" applyFont="1" applyBorder="1" applyAlignment="1">
      <alignment vertical="center" wrapText="1"/>
    </xf>
    <xf numFmtId="164" fontId="26" fillId="0" borderId="5" xfId="3" applyNumberFormat="1" applyFont="1" applyBorder="1" applyAlignment="1">
      <alignment horizontal="right" vertical="center"/>
    </xf>
    <xf numFmtId="164" fontId="25" fillId="0" borderId="5" xfId="3" applyNumberFormat="1" applyFont="1" applyBorder="1" applyAlignment="1">
      <alignment horizontal="right" vertical="center"/>
    </xf>
    <xf numFmtId="164" fontId="25" fillId="0" borderId="6" xfId="3" applyNumberFormat="1" applyFont="1" applyBorder="1" applyAlignment="1">
      <alignment horizontal="right" vertical="center"/>
    </xf>
    <xf numFmtId="164" fontId="25" fillId="0" borderId="7" xfId="3" applyNumberFormat="1" applyFont="1" applyBorder="1" applyAlignment="1">
      <alignment horizontal="right" vertical="center"/>
    </xf>
    <xf numFmtId="164" fontId="25" fillId="0" borderId="4" xfId="3" applyNumberFormat="1" applyFont="1" applyBorder="1" applyAlignment="1">
      <alignment horizontal="right" vertical="center"/>
    </xf>
    <xf numFmtId="0" fontId="26" fillId="0" borderId="8" xfId="3" applyFont="1" applyBorder="1" applyAlignment="1">
      <alignment vertical="center"/>
    </xf>
    <xf numFmtId="41" fontId="25" fillId="0" borderId="9" xfId="3" applyNumberFormat="1" applyFont="1" applyBorder="1" applyAlignment="1">
      <alignment horizontal="right" vertical="center"/>
    </xf>
    <xf numFmtId="41" fontId="25" fillId="0" borderId="10" xfId="3" applyNumberFormat="1" applyFont="1" applyBorder="1" applyAlignment="1">
      <alignment horizontal="right" vertical="center"/>
    </xf>
    <xf numFmtId="41" fontId="25" fillId="0" borderId="11" xfId="3" applyNumberFormat="1" applyFont="1" applyBorder="1" applyAlignment="1">
      <alignment vertical="center"/>
    </xf>
    <xf numFmtId="41" fontId="25" fillId="0" borderId="9" xfId="3" applyNumberFormat="1" applyFont="1" applyBorder="1" applyAlignment="1">
      <alignment vertical="center"/>
    </xf>
    <xf numFmtId="41" fontId="25" fillId="0" borderId="8" xfId="3" applyNumberFormat="1" applyFont="1" applyBorder="1" applyAlignment="1">
      <alignment vertical="center"/>
    </xf>
    <xf numFmtId="0" fontId="26" fillId="0" borderId="12" xfId="3" applyFont="1" applyBorder="1" applyAlignment="1">
      <alignment horizontal="left" vertical="center" indent="1"/>
    </xf>
    <xf numFmtId="165" fontId="26" fillId="0" borderId="13" xfId="3" applyNumberFormat="1" applyFont="1" applyBorder="1" applyAlignment="1">
      <alignment vertical="center"/>
    </xf>
    <xf numFmtId="165" fontId="26" fillId="0" borderId="14" xfId="3" applyNumberFormat="1" applyFont="1" applyBorder="1" applyAlignment="1">
      <alignment vertical="center"/>
    </xf>
    <xf numFmtId="165" fontId="26" fillId="0" borderId="15" xfId="3" applyNumberFormat="1" applyFont="1" applyBorder="1" applyAlignment="1">
      <alignment vertical="center"/>
    </xf>
    <xf numFmtId="165" fontId="26" fillId="0" borderId="16" xfId="3" applyNumberFormat="1" applyFont="1" applyBorder="1" applyAlignment="1">
      <alignment vertical="center"/>
    </xf>
    <xf numFmtId="165" fontId="26" fillId="0" borderId="12" xfId="3" applyNumberFormat="1" applyFont="1" applyBorder="1" applyAlignment="1">
      <alignment vertical="center"/>
    </xf>
    <xf numFmtId="0" fontId="25" fillId="0" borderId="12" xfId="3" applyFont="1" applyBorder="1" applyAlignment="1">
      <alignment horizontal="left" vertical="center" indent="2"/>
    </xf>
    <xf numFmtId="165" fontId="25" fillId="0" borderId="13" xfId="3" applyNumberFormat="1" applyFont="1" applyBorder="1" applyAlignment="1">
      <alignment vertical="center"/>
    </xf>
    <xf numFmtId="165" fontId="25" fillId="0" borderId="14" xfId="3" applyNumberFormat="1" applyFont="1" applyBorder="1" applyAlignment="1">
      <alignment vertical="center"/>
    </xf>
    <xf numFmtId="165" fontId="25" fillId="0" borderId="15" xfId="3" applyNumberFormat="1" applyFont="1" applyBorder="1" applyAlignment="1">
      <alignment vertical="center"/>
    </xf>
    <xf numFmtId="165" fontId="25" fillId="0" borderId="16" xfId="3" applyNumberFormat="1" applyFont="1" applyBorder="1" applyAlignment="1">
      <alignment vertical="center"/>
    </xf>
    <xf numFmtId="165" fontId="25" fillId="0" borderId="12" xfId="3" applyNumberFormat="1" applyFont="1" applyBorder="1" applyAlignment="1">
      <alignment vertical="center"/>
    </xf>
    <xf numFmtId="0" fontId="26" fillId="0" borderId="12" xfId="3" applyFont="1" applyBorder="1" applyAlignment="1">
      <alignment vertical="center"/>
    </xf>
    <xf numFmtId="0" fontId="26" fillId="0" borderId="4" xfId="3" applyFont="1" applyBorder="1" applyAlignment="1">
      <alignment vertical="center"/>
    </xf>
    <xf numFmtId="165" fontId="26" fillId="0" borderId="5" xfId="3" applyNumberFormat="1" applyFont="1" applyBorder="1" applyAlignment="1">
      <alignment vertical="center"/>
    </xf>
    <xf numFmtId="165" fontId="26" fillId="0" borderId="6" xfId="3" applyNumberFormat="1" applyFont="1" applyBorder="1" applyAlignment="1">
      <alignment vertical="center"/>
    </xf>
    <xf numFmtId="165" fontId="26" fillId="0" borderId="17" xfId="3" applyNumberFormat="1" applyFont="1" applyBorder="1" applyAlignment="1">
      <alignment vertical="center"/>
    </xf>
    <xf numFmtId="165" fontId="26" fillId="0" borderId="7" xfId="3" applyNumberFormat="1" applyFont="1" applyBorder="1" applyAlignment="1">
      <alignment vertical="center"/>
    </xf>
    <xf numFmtId="165" fontId="26" fillId="0" borderId="4" xfId="3" applyNumberFormat="1" applyFont="1" applyBorder="1" applyAlignment="1">
      <alignment vertical="center"/>
    </xf>
    <xf numFmtId="165" fontId="25" fillId="0" borderId="17" xfId="3" applyNumberFormat="1" applyFont="1" applyBorder="1" applyAlignment="1">
      <alignment vertical="center"/>
    </xf>
    <xf numFmtId="165" fontId="25" fillId="0" borderId="5" xfId="3" applyNumberFormat="1" applyFont="1" applyBorder="1" applyAlignment="1">
      <alignment vertical="center"/>
    </xf>
    <xf numFmtId="165" fontId="25" fillId="0" borderId="6" xfId="3" applyNumberFormat="1" applyFont="1" applyBorder="1" applyAlignment="1">
      <alignment vertical="center"/>
    </xf>
    <xf numFmtId="165" fontId="25" fillId="0" borderId="7" xfId="3" applyNumberFormat="1" applyFont="1" applyBorder="1" applyAlignment="1">
      <alignment vertical="center"/>
    </xf>
    <xf numFmtId="165" fontId="25" fillId="0" borderId="4" xfId="3" applyNumberFormat="1" applyFont="1" applyBorder="1" applyAlignment="1">
      <alignment vertical="center"/>
    </xf>
    <xf numFmtId="165" fontId="25" fillId="0" borderId="9" xfId="3" applyNumberFormat="1" applyFont="1" applyBorder="1" applyAlignment="1">
      <alignment vertical="center"/>
    </xf>
    <xf numFmtId="165" fontId="25" fillId="0" borderId="10" xfId="3" applyNumberFormat="1" applyFont="1" applyBorder="1" applyAlignment="1">
      <alignment vertical="center"/>
    </xf>
    <xf numFmtId="165" fontId="25" fillId="0" borderId="18" xfId="3" applyNumberFormat="1" applyFont="1" applyBorder="1" applyAlignment="1">
      <alignment vertical="center"/>
    </xf>
    <xf numFmtId="165" fontId="25" fillId="0" borderId="11" xfId="3" applyNumberFormat="1" applyFont="1" applyBorder="1" applyAlignment="1">
      <alignment vertical="center"/>
    </xf>
    <xf numFmtId="165" fontId="25" fillId="0" borderId="8" xfId="3" applyNumberFormat="1" applyFont="1" applyBorder="1" applyAlignment="1">
      <alignment vertical="center"/>
    </xf>
    <xf numFmtId="165" fontId="26" fillId="0" borderId="19" xfId="3" applyNumberFormat="1" applyFont="1" applyBorder="1" applyAlignment="1">
      <alignment vertical="center"/>
    </xf>
    <xf numFmtId="0" fontId="29" fillId="0" borderId="20" xfId="3" applyFont="1" applyBorder="1" applyAlignment="1">
      <alignment vertical="center"/>
    </xf>
    <xf numFmtId="41" fontId="29" fillId="0" borderId="20" xfId="3" applyNumberFormat="1" applyFont="1" applyBorder="1" applyAlignment="1">
      <alignment vertical="center"/>
    </xf>
    <xf numFmtId="41" fontId="30" fillId="0" borderId="20" xfId="3" applyNumberFormat="1" applyFont="1" applyBorder="1" applyAlignment="1">
      <alignment vertical="center"/>
    </xf>
    <xf numFmtId="0" fontId="17" fillId="0" borderId="0" xfId="3" applyFont="1" applyAlignment="1">
      <alignment horizontal="left"/>
    </xf>
    <xf numFmtId="0" fontId="34" fillId="4" borderId="23" xfId="3" applyFont="1" applyFill="1" applyBorder="1" applyAlignment="1">
      <alignment vertical="top"/>
    </xf>
    <xf numFmtId="0" fontId="34" fillId="4" borderId="27" xfId="3" applyFont="1" applyFill="1" applyBorder="1" applyAlignment="1">
      <alignment horizontal="center" vertical="top"/>
    </xf>
    <xf numFmtId="49" fontId="34" fillId="4" borderId="28" xfId="4" applyNumberFormat="1" applyFont="1" applyFill="1" applyBorder="1" applyAlignment="1">
      <alignment vertical="top" wrapText="1"/>
    </xf>
    <xf numFmtId="0" fontId="34" fillId="4" borderId="29" xfId="3" applyFont="1" applyFill="1" applyBorder="1" applyAlignment="1">
      <alignment horizontal="center" vertical="top" wrapText="1"/>
    </xf>
    <xf numFmtId="0" fontId="34" fillId="4" borderId="30" xfId="3" applyFont="1" applyFill="1" applyBorder="1" applyAlignment="1">
      <alignment horizontal="center" vertical="top" wrapText="1"/>
    </xf>
    <xf numFmtId="0" fontId="34" fillId="4" borderId="29" xfId="3" applyFont="1" applyFill="1" applyBorder="1" applyAlignment="1">
      <alignment horizontal="center" vertical="top"/>
    </xf>
    <xf numFmtId="0" fontId="34" fillId="4" borderId="31" xfId="3" applyFont="1" applyFill="1" applyBorder="1" applyAlignment="1">
      <alignment horizontal="center" vertical="top" wrapText="1"/>
    </xf>
    <xf numFmtId="0" fontId="31" fillId="4" borderId="32" xfId="3" applyFont="1" applyFill="1" applyBorder="1" applyAlignment="1">
      <alignment vertical="center"/>
    </xf>
    <xf numFmtId="0" fontId="31" fillId="4" borderId="33" xfId="3" applyFont="1" applyFill="1" applyBorder="1" applyAlignment="1">
      <alignment horizontal="center" vertical="center"/>
    </xf>
    <xf numFmtId="49" fontId="31" fillId="4" borderId="34" xfId="4" applyNumberFormat="1" applyFont="1" applyFill="1" applyBorder="1" applyAlignment="1">
      <alignment vertical="center" wrapText="1"/>
    </xf>
    <xf numFmtId="0" fontId="31" fillId="4" borderId="37" xfId="3" applyFont="1" applyFill="1" applyBorder="1" applyAlignment="1">
      <alignment vertical="center"/>
    </xf>
    <xf numFmtId="0" fontId="31" fillId="4" borderId="38" xfId="3" applyFont="1" applyFill="1" applyBorder="1" applyAlignment="1">
      <alignment horizontal="center" vertical="center"/>
    </xf>
    <xf numFmtId="49" fontId="31" fillId="4" borderId="39" xfId="4" applyNumberFormat="1" applyFont="1" applyFill="1" applyBorder="1" applyAlignment="1">
      <alignment vertical="center" wrapText="1"/>
    </xf>
    <xf numFmtId="0" fontId="31" fillId="4" borderId="42" xfId="3" applyFont="1" applyFill="1" applyBorder="1" applyAlignment="1">
      <alignment vertical="center"/>
    </xf>
    <xf numFmtId="0" fontId="31" fillId="4" borderId="43" xfId="3" applyFont="1" applyFill="1" applyBorder="1" applyAlignment="1">
      <alignment horizontal="center" vertical="center"/>
    </xf>
    <xf numFmtId="49" fontId="31" fillId="4" borderId="44" xfId="4" applyNumberFormat="1" applyFont="1" applyFill="1" applyBorder="1" applyAlignment="1">
      <alignment vertical="center" wrapText="1"/>
    </xf>
    <xf numFmtId="0" fontId="31" fillId="4" borderId="49" xfId="3" applyFont="1" applyFill="1" applyBorder="1" applyAlignment="1">
      <alignment vertical="center"/>
    </xf>
    <xf numFmtId="0" fontId="31" fillId="4" borderId="48" xfId="3" applyFont="1" applyFill="1" applyBorder="1" applyAlignment="1">
      <alignment vertical="center" wrapText="1"/>
    </xf>
    <xf numFmtId="0" fontId="31" fillId="4" borderId="49" xfId="3" applyFont="1" applyFill="1" applyBorder="1" applyAlignment="1">
      <alignment vertical="center" wrapText="1"/>
    </xf>
    <xf numFmtId="0" fontId="31" fillId="4" borderId="47" xfId="3" applyFont="1" applyFill="1" applyBorder="1" applyAlignment="1">
      <alignment vertical="center"/>
    </xf>
    <xf numFmtId="0" fontId="31" fillId="4" borderId="47" xfId="3" applyFont="1" applyFill="1" applyBorder="1" applyAlignment="1">
      <alignment vertical="center" wrapText="1"/>
    </xf>
    <xf numFmtId="0" fontId="23" fillId="5" borderId="52" xfId="3" applyFont="1" applyFill="1" applyBorder="1" applyAlignment="1">
      <alignment vertical="center" wrapText="1"/>
    </xf>
    <xf numFmtId="0" fontId="14" fillId="0" borderId="52" xfId="3" applyFont="1" applyBorder="1" applyAlignment="1">
      <alignment horizontal="left" vertical="center" wrapText="1"/>
    </xf>
    <xf numFmtId="0" fontId="23" fillId="0" borderId="53" xfId="3" applyFont="1" applyBorder="1" applyAlignment="1">
      <alignment horizontal="right" vertical="center"/>
    </xf>
    <xf numFmtId="0" fontId="24" fillId="0" borderId="53" xfId="3" applyFont="1" applyBorder="1" applyAlignment="1">
      <alignment horizontal="right" vertical="center"/>
    </xf>
    <xf numFmtId="0" fontId="24" fillId="0" borderId="54" xfId="3" applyFont="1" applyBorder="1" applyAlignment="1">
      <alignment horizontal="right" vertical="center"/>
    </xf>
    <xf numFmtId="0" fontId="24" fillId="0" borderId="55" xfId="3" applyFont="1" applyBorder="1" applyAlignment="1">
      <alignment horizontal="right" vertical="center"/>
    </xf>
    <xf numFmtId="166" fontId="24" fillId="0" borderId="55" xfId="3" applyNumberFormat="1" applyFont="1" applyBorder="1" applyAlignment="1">
      <alignment vertical="center"/>
    </xf>
    <xf numFmtId="166" fontId="24" fillId="0" borderId="54" xfId="3" applyNumberFormat="1" applyFont="1" applyBorder="1" applyAlignment="1">
      <alignment vertical="center"/>
    </xf>
    <xf numFmtId="166" fontId="24" fillId="0" borderId="53" xfId="3" applyNumberFormat="1" applyFont="1" applyBorder="1" applyAlignment="1">
      <alignment vertical="center"/>
    </xf>
    <xf numFmtId="0" fontId="23" fillId="0" borderId="56" xfId="3" applyFont="1" applyBorder="1" applyAlignment="1">
      <alignment horizontal="left" vertical="center" wrapText="1" indent="1"/>
    </xf>
    <xf numFmtId="166" fontId="23" fillId="0" borderId="57" xfId="3" applyNumberFormat="1" applyFont="1" applyBorder="1" applyAlignment="1">
      <alignment vertical="center"/>
    </xf>
    <xf numFmtId="166" fontId="24" fillId="0" borderId="57" xfId="3" applyNumberFormat="1" applyFont="1" applyBorder="1" applyAlignment="1">
      <alignment vertical="center"/>
    </xf>
    <xf numFmtId="166" fontId="24" fillId="0" borderId="58" xfId="3" applyNumberFormat="1" applyFont="1" applyBorder="1" applyAlignment="1">
      <alignment vertical="center"/>
    </xf>
    <xf numFmtId="166" fontId="23" fillId="0" borderId="59" xfId="3" applyNumberFormat="1" applyFont="1" applyBorder="1" applyAlignment="1">
      <alignment vertical="center"/>
    </xf>
    <xf numFmtId="166" fontId="23" fillId="0" borderId="58" xfId="3" applyNumberFormat="1" applyFont="1" applyBorder="1" applyAlignment="1">
      <alignment vertical="center"/>
    </xf>
    <xf numFmtId="166" fontId="23" fillId="0" borderId="59" xfId="3" applyNumberFormat="1" applyFont="1" applyBorder="1" applyAlignment="1">
      <alignment horizontal="right" vertical="center"/>
    </xf>
    <xf numFmtId="166" fontId="23" fillId="0" borderId="58" xfId="3" applyNumberFormat="1" applyFont="1" applyBorder="1" applyAlignment="1">
      <alignment horizontal="right" vertical="center"/>
    </xf>
    <xf numFmtId="0" fontId="24" fillId="0" borderId="60" xfId="3" applyFont="1" applyBorder="1" applyAlignment="1">
      <alignment horizontal="left" vertical="center" indent="2"/>
    </xf>
    <xf numFmtId="165" fontId="23" fillId="0" borderId="61" xfId="3" applyNumberFormat="1" applyFont="1" applyBorder="1" applyAlignment="1">
      <alignment horizontal="right" vertical="center"/>
    </xf>
    <xf numFmtId="165" fontId="24" fillId="0" borderId="61" xfId="3" applyNumberFormat="1" applyFont="1" applyBorder="1" applyAlignment="1">
      <alignment horizontal="right" vertical="center"/>
    </xf>
    <xf numFmtId="165" fontId="24" fillId="0" borderId="62" xfId="3" applyNumberFormat="1" applyFont="1" applyBorder="1" applyAlignment="1">
      <alignment horizontal="right" vertical="center"/>
    </xf>
    <xf numFmtId="165" fontId="24" fillId="0" borderId="63" xfId="3" applyNumberFormat="1" applyFont="1" applyBorder="1" applyAlignment="1">
      <alignment vertical="center"/>
    </xf>
    <xf numFmtId="165" fontId="24" fillId="0" borderId="61" xfId="3" applyNumberFormat="1" applyFont="1" applyBorder="1" applyAlignment="1">
      <alignment vertical="center"/>
    </xf>
    <xf numFmtId="165" fontId="24" fillId="0" borderId="62" xfId="3" applyNumberFormat="1" applyFont="1" applyBorder="1" applyAlignment="1">
      <alignment vertical="center"/>
    </xf>
    <xf numFmtId="165" fontId="24" fillId="0" borderId="63" xfId="3" applyNumberFormat="1" applyFont="1" applyBorder="1" applyAlignment="1">
      <alignment horizontal="right" vertical="center"/>
    </xf>
    <xf numFmtId="167" fontId="23" fillId="0" borderId="61" xfId="3" applyNumberFormat="1" applyFont="1" applyBorder="1" applyAlignment="1">
      <alignment horizontal="right" vertical="center"/>
    </xf>
    <xf numFmtId="167" fontId="24" fillId="0" borderId="61" xfId="3" applyNumberFormat="1" applyFont="1" applyBorder="1" applyAlignment="1">
      <alignment horizontal="right" vertical="center"/>
    </xf>
    <xf numFmtId="167" fontId="24" fillId="0" borderId="62" xfId="3" applyNumberFormat="1" applyFont="1" applyBorder="1" applyAlignment="1">
      <alignment horizontal="right" vertical="center"/>
    </xf>
    <xf numFmtId="167" fontId="24" fillId="0" borderId="63" xfId="3" applyNumberFormat="1" applyFont="1" applyBorder="1" applyAlignment="1">
      <alignment vertical="center"/>
    </xf>
    <xf numFmtId="167" fontId="24" fillId="0" borderId="61" xfId="3" applyNumberFormat="1" applyFont="1" applyBorder="1" applyAlignment="1">
      <alignment vertical="center"/>
    </xf>
    <xf numFmtId="167" fontId="24" fillId="0" borderId="62" xfId="3" applyNumberFormat="1" applyFont="1" applyBorder="1" applyAlignment="1">
      <alignment vertical="center"/>
    </xf>
    <xf numFmtId="167" fontId="24" fillId="0" borderId="63" xfId="3" applyNumberFormat="1" applyFont="1" applyBorder="1" applyAlignment="1">
      <alignment horizontal="right" vertical="center"/>
    </xf>
    <xf numFmtId="168" fontId="23" fillId="0" borderId="61" xfId="3" applyNumberFormat="1" applyFont="1" applyBorder="1" applyAlignment="1">
      <alignment horizontal="right" vertical="center"/>
    </xf>
    <xf numFmtId="168" fontId="24" fillId="0" borderId="61" xfId="3" applyNumberFormat="1" applyFont="1" applyBorder="1" applyAlignment="1">
      <alignment horizontal="right" vertical="center"/>
    </xf>
    <xf numFmtId="168" fontId="24" fillId="0" borderId="62" xfId="3" applyNumberFormat="1" applyFont="1" applyBorder="1" applyAlignment="1">
      <alignment horizontal="right" vertical="center"/>
    </xf>
    <xf numFmtId="168" fontId="24" fillId="0" borderId="63" xfId="3" applyNumberFormat="1" applyFont="1" applyBorder="1" applyAlignment="1">
      <alignment vertical="center"/>
    </xf>
    <xf numFmtId="168" fontId="24" fillId="0" borderId="61" xfId="3" applyNumberFormat="1" applyFont="1" applyBorder="1" applyAlignment="1">
      <alignment vertical="center"/>
    </xf>
    <xf numFmtId="168" fontId="24" fillId="0" borderId="62" xfId="3" applyNumberFormat="1" applyFont="1" applyBorder="1" applyAlignment="1">
      <alignment vertical="center"/>
    </xf>
    <xf numFmtId="168" fontId="24" fillId="0" borderId="63" xfId="3" applyNumberFormat="1" applyFont="1" applyBorder="1" applyAlignment="1">
      <alignment horizontal="right" vertical="center"/>
    </xf>
    <xf numFmtId="0" fontId="23" fillId="0" borderId="60" xfId="3" applyFont="1" applyBorder="1" applyAlignment="1">
      <alignment horizontal="left" vertical="center" indent="1"/>
    </xf>
    <xf numFmtId="41" fontId="23" fillId="0" borderId="61" xfId="3" applyNumberFormat="1" applyFont="1" applyBorder="1" applyAlignment="1">
      <alignment horizontal="right" vertical="center"/>
    </xf>
    <xf numFmtId="41" fontId="24" fillId="0" borderId="61" xfId="3" applyNumberFormat="1" applyFont="1" applyBorder="1" applyAlignment="1">
      <alignment horizontal="right" vertical="center"/>
    </xf>
    <xf numFmtId="41" fontId="24" fillId="0" borderId="62" xfId="3" applyNumberFormat="1" applyFont="1" applyBorder="1" applyAlignment="1">
      <alignment horizontal="right" vertical="center"/>
    </xf>
    <xf numFmtId="41" fontId="24" fillId="0" borderId="63" xfId="3" applyNumberFormat="1" applyFont="1" applyBorder="1" applyAlignment="1">
      <alignment vertical="center"/>
    </xf>
    <xf numFmtId="41" fontId="24" fillId="0" borderId="61" xfId="3" applyNumberFormat="1" applyFont="1" applyBorder="1" applyAlignment="1">
      <alignment vertical="center"/>
    </xf>
    <xf numFmtId="41" fontId="24" fillId="0" borderId="62" xfId="3" applyNumberFormat="1" applyFont="1" applyBorder="1" applyAlignment="1">
      <alignment vertical="center"/>
    </xf>
    <xf numFmtId="41" fontId="24" fillId="0" borderId="63" xfId="3" applyNumberFormat="1" applyFont="1" applyBorder="1" applyAlignment="1">
      <alignment horizontal="right" vertical="center"/>
    </xf>
    <xf numFmtId="0" fontId="23" fillId="0" borderId="55" xfId="3" applyFont="1" applyBorder="1" applyAlignment="1">
      <alignment horizontal="right" vertical="center"/>
    </xf>
    <xf numFmtId="0" fontId="23" fillId="0" borderId="54" xfId="3" applyFont="1" applyBorder="1" applyAlignment="1">
      <alignment horizontal="right" vertical="center"/>
    </xf>
    <xf numFmtId="166" fontId="23" fillId="0" borderId="55" xfId="3" applyNumberFormat="1" applyFont="1" applyBorder="1" applyAlignment="1">
      <alignment vertical="center"/>
    </xf>
    <xf numFmtId="166" fontId="23" fillId="0" borderId="54" xfId="3" applyNumberFormat="1" applyFont="1" applyBorder="1" applyAlignment="1">
      <alignment vertical="center"/>
    </xf>
    <xf numFmtId="166" fontId="23" fillId="0" borderId="53" xfId="3" applyNumberFormat="1" applyFont="1" applyBorder="1" applyAlignment="1">
      <alignment vertical="center"/>
    </xf>
    <xf numFmtId="0" fontId="24" fillId="0" borderId="56" xfId="3" applyFont="1" applyBorder="1" applyAlignment="1">
      <alignment horizontal="left" vertical="center" indent="1"/>
    </xf>
    <xf numFmtId="168" fontId="23" fillId="0" borderId="57" xfId="3" applyNumberFormat="1" applyFont="1" applyBorder="1" applyAlignment="1">
      <alignment horizontal="right" vertical="center"/>
    </xf>
    <xf numFmtId="168" fontId="24" fillId="0" borderId="57" xfId="3" applyNumberFormat="1" applyFont="1" applyBorder="1" applyAlignment="1">
      <alignment horizontal="right" vertical="center"/>
    </xf>
    <xf numFmtId="168" fontId="24" fillId="0" borderId="58" xfId="3" applyNumberFormat="1" applyFont="1" applyBorder="1" applyAlignment="1">
      <alignment horizontal="right" vertical="center"/>
    </xf>
    <xf numFmtId="168" fontId="24" fillId="0" borderId="59" xfId="3" applyNumberFormat="1" applyFont="1" applyBorder="1" applyAlignment="1">
      <alignment vertical="center"/>
    </xf>
    <xf numFmtId="168" fontId="24" fillId="0" borderId="57" xfId="3" applyNumberFormat="1" applyFont="1" applyBorder="1" applyAlignment="1">
      <alignment vertical="center"/>
    </xf>
    <xf numFmtId="168" fontId="24" fillId="0" borderId="58" xfId="3" applyNumberFormat="1" applyFont="1" applyBorder="1" applyAlignment="1">
      <alignment vertical="center"/>
    </xf>
    <xf numFmtId="169" fontId="24" fillId="7" borderId="64" xfId="3" applyNumberFormat="1" applyFont="1" applyFill="1" applyBorder="1" applyAlignment="1">
      <alignment vertical="center"/>
    </xf>
    <xf numFmtId="169" fontId="24" fillId="7" borderId="65" xfId="3" applyNumberFormat="1" applyFont="1" applyFill="1" applyBorder="1" applyAlignment="1">
      <alignment vertical="center"/>
    </xf>
    <xf numFmtId="169" fontId="24" fillId="7" borderId="66" xfId="3" applyNumberFormat="1" applyFont="1" applyFill="1" applyBorder="1" applyAlignment="1">
      <alignment vertical="center"/>
    </xf>
    <xf numFmtId="0" fontId="24" fillId="0" borderId="60" xfId="3" applyFont="1" applyBorder="1" applyAlignment="1">
      <alignment horizontal="left" vertical="center" indent="1"/>
    </xf>
    <xf numFmtId="169" fontId="24" fillId="7" borderId="67" xfId="3" applyNumberFormat="1" applyFont="1" applyFill="1" applyBorder="1" applyAlignment="1">
      <alignment vertical="center"/>
    </xf>
    <xf numFmtId="169" fontId="24" fillId="7" borderId="68" xfId="3" applyNumberFormat="1" applyFont="1" applyFill="1" applyBorder="1" applyAlignment="1">
      <alignment vertical="center"/>
    </xf>
    <xf numFmtId="169" fontId="24" fillId="7" borderId="0" xfId="3" applyNumberFormat="1" applyFont="1" applyFill="1" applyAlignment="1">
      <alignment vertical="center"/>
    </xf>
    <xf numFmtId="0" fontId="24" fillId="0" borderId="69" xfId="3" applyFont="1" applyBorder="1" applyAlignment="1">
      <alignment horizontal="left" vertical="center" indent="1"/>
    </xf>
    <xf numFmtId="168" fontId="23" fillId="0" borderId="70" xfId="3" applyNumberFormat="1" applyFont="1" applyBorder="1" applyAlignment="1">
      <alignment horizontal="right" vertical="center"/>
    </xf>
    <xf numFmtId="168" fontId="24" fillId="0" borderId="70" xfId="3" applyNumberFormat="1" applyFont="1" applyBorder="1" applyAlignment="1">
      <alignment horizontal="right" vertical="center"/>
    </xf>
    <xf numFmtId="168" fontId="24" fillId="0" borderId="71" xfId="3" applyNumberFormat="1" applyFont="1" applyBorder="1" applyAlignment="1">
      <alignment horizontal="right" vertical="center"/>
    </xf>
    <xf numFmtId="168" fontId="24" fillId="0" borderId="72" xfId="3" applyNumberFormat="1" applyFont="1" applyBorder="1" applyAlignment="1">
      <alignment vertical="center"/>
    </xf>
    <xf numFmtId="168" fontId="24" fillId="0" borderId="70" xfId="3" applyNumberFormat="1" applyFont="1" applyBorder="1" applyAlignment="1">
      <alignment vertical="center"/>
    </xf>
    <xf numFmtId="168" fontId="24" fillId="0" borderId="71" xfId="3" applyNumberFormat="1" applyFont="1" applyBorder="1" applyAlignment="1">
      <alignment vertical="center"/>
    </xf>
    <xf numFmtId="169" fontId="24" fillId="7" borderId="73" xfId="3" applyNumberFormat="1" applyFont="1" applyFill="1" applyBorder="1" applyAlignment="1">
      <alignment vertical="center"/>
    </xf>
    <xf numFmtId="169" fontId="24" fillId="7" borderId="74" xfId="3" applyNumberFormat="1" applyFont="1" applyFill="1" applyBorder="1" applyAlignment="1">
      <alignment vertical="center"/>
    </xf>
    <xf numFmtId="169" fontId="24" fillId="7" borderId="75" xfId="3" applyNumberFormat="1" applyFont="1" applyFill="1" applyBorder="1" applyAlignment="1">
      <alignment vertical="center"/>
    </xf>
    <xf numFmtId="165" fontId="23" fillId="0" borderId="57" xfId="3" applyNumberFormat="1" applyFont="1" applyBorder="1" applyAlignment="1">
      <alignment horizontal="right" vertical="center"/>
    </xf>
    <xf numFmtId="165" fontId="24" fillId="0" borderId="57" xfId="3" applyNumberFormat="1" applyFont="1" applyBorder="1" applyAlignment="1">
      <alignment horizontal="right" vertical="center"/>
    </xf>
    <xf numFmtId="165" fontId="24" fillId="0" borderId="58" xfId="3" applyNumberFormat="1" applyFont="1" applyBorder="1" applyAlignment="1">
      <alignment horizontal="right" vertical="center"/>
    </xf>
    <xf numFmtId="165" fontId="24" fillId="0" borderId="59" xfId="3" applyNumberFormat="1" applyFont="1" applyBorder="1" applyAlignment="1">
      <alignment vertical="center"/>
    </xf>
    <xf numFmtId="165" fontId="24" fillId="0" borderId="57" xfId="3" applyNumberFormat="1" applyFont="1" applyBorder="1" applyAlignment="1">
      <alignment vertical="center"/>
    </xf>
    <xf numFmtId="165" fontId="24" fillId="0" borderId="58" xfId="3" applyNumberFormat="1" applyFont="1" applyBorder="1" applyAlignment="1">
      <alignment vertical="center"/>
    </xf>
    <xf numFmtId="41" fontId="24" fillId="7" borderId="76" xfId="3" applyNumberFormat="1" applyFont="1" applyFill="1" applyBorder="1" applyAlignment="1">
      <alignment vertical="center"/>
    </xf>
    <xf numFmtId="41" fontId="24" fillId="7" borderId="77" xfId="3" applyNumberFormat="1" applyFont="1" applyFill="1" applyBorder="1" applyAlignment="1">
      <alignment vertical="center"/>
    </xf>
    <xf numFmtId="41" fontId="24" fillId="7" borderId="66" xfId="3" applyNumberFormat="1" applyFont="1" applyFill="1" applyBorder="1" applyAlignment="1">
      <alignment vertical="center"/>
    </xf>
    <xf numFmtId="167" fontId="24" fillId="0" borderId="78" xfId="5" applyNumberFormat="1" applyFont="1" applyBorder="1" applyAlignment="1">
      <alignment horizontal="right" vertical="center"/>
    </xf>
    <xf numFmtId="167" fontId="24" fillId="0" borderId="79" xfId="5" applyNumberFormat="1" applyFont="1" applyBorder="1" applyAlignment="1">
      <alignment horizontal="right" vertical="center"/>
    </xf>
    <xf numFmtId="167" fontId="24" fillId="0" borderId="80" xfId="5" applyNumberFormat="1" applyFont="1" applyBorder="1" applyAlignment="1">
      <alignment horizontal="right" vertical="center"/>
    </xf>
    <xf numFmtId="167" fontId="24" fillId="0" borderId="81" xfId="5" applyNumberFormat="1" applyFont="1" applyBorder="1" applyAlignment="1">
      <alignment vertical="center"/>
    </xf>
    <xf numFmtId="167" fontId="24" fillId="0" borderId="79" xfId="5" applyNumberFormat="1" applyFont="1" applyBorder="1" applyAlignment="1">
      <alignment vertical="center"/>
    </xf>
    <xf numFmtId="170" fontId="24" fillId="7" borderId="67" xfId="3" applyNumberFormat="1" applyFont="1" applyFill="1" applyBorder="1" applyAlignment="1">
      <alignment vertical="center"/>
    </xf>
    <xf numFmtId="170" fontId="24" fillId="7" borderId="68" xfId="3" applyNumberFormat="1" applyFont="1" applyFill="1" applyBorder="1" applyAlignment="1">
      <alignment vertical="center"/>
    </xf>
    <xf numFmtId="170" fontId="24" fillId="7" borderId="0" xfId="3" applyNumberFormat="1" applyFont="1" applyFill="1" applyAlignment="1">
      <alignment vertical="center"/>
    </xf>
    <xf numFmtId="41" fontId="24" fillId="7" borderId="67" xfId="3" applyNumberFormat="1" applyFont="1" applyFill="1" applyBorder="1" applyAlignment="1">
      <alignment vertical="center"/>
    </xf>
    <xf numFmtId="41" fontId="24" fillId="7" borderId="68" xfId="3" applyNumberFormat="1" applyFont="1" applyFill="1" applyBorder="1" applyAlignment="1">
      <alignment vertical="center"/>
    </xf>
    <xf numFmtId="41" fontId="24" fillId="7" borderId="0" xfId="3" applyNumberFormat="1" applyFont="1" applyFill="1" applyAlignment="1">
      <alignment vertical="center"/>
    </xf>
    <xf numFmtId="41" fontId="24" fillId="7" borderId="82" xfId="3" applyNumberFormat="1" applyFont="1" applyFill="1" applyBorder="1" applyAlignment="1">
      <alignment vertical="center"/>
    </xf>
    <xf numFmtId="41" fontId="24" fillId="7" borderId="83" xfId="3" applyNumberFormat="1" applyFont="1" applyFill="1" applyBorder="1" applyAlignment="1">
      <alignment vertical="center"/>
    </xf>
    <xf numFmtId="41" fontId="24" fillId="7" borderId="84" xfId="3" applyNumberFormat="1" applyFont="1" applyFill="1" applyBorder="1" applyAlignment="1">
      <alignment vertical="center"/>
    </xf>
    <xf numFmtId="167" fontId="24" fillId="0" borderId="85" xfId="3" applyNumberFormat="1" applyFont="1" applyBorder="1" applyAlignment="1">
      <alignment vertical="center"/>
    </xf>
    <xf numFmtId="167" fontId="24" fillId="0" borderId="86" xfId="3" applyNumberFormat="1" applyFont="1" applyBorder="1" applyAlignment="1">
      <alignment horizontal="right" vertical="center"/>
    </xf>
    <xf numFmtId="167" fontId="24" fillId="0" borderId="87" xfId="3" applyNumberFormat="1" applyFont="1" applyBorder="1" applyAlignment="1">
      <alignment horizontal="right" vertical="center"/>
    </xf>
    <xf numFmtId="169" fontId="24" fillId="7" borderId="88" xfId="3" applyNumberFormat="1" applyFont="1" applyFill="1" applyBorder="1" applyAlignment="1">
      <alignment vertical="center"/>
    </xf>
    <xf numFmtId="171" fontId="24" fillId="7" borderId="67" xfId="3" applyNumberFormat="1" applyFont="1" applyFill="1" applyBorder="1" applyAlignment="1">
      <alignment vertical="center"/>
    </xf>
    <xf numFmtId="171" fontId="24" fillId="7" borderId="68" xfId="3" applyNumberFormat="1" applyFont="1" applyFill="1" applyBorder="1" applyAlignment="1">
      <alignment vertical="center"/>
    </xf>
    <xf numFmtId="171" fontId="24" fillId="7" borderId="0" xfId="3" applyNumberFormat="1" applyFont="1" applyFill="1" applyAlignment="1">
      <alignment vertical="center"/>
    </xf>
    <xf numFmtId="0" fontId="24" fillId="0" borderId="89" xfId="3" applyFont="1" applyBorder="1" applyAlignment="1">
      <alignment horizontal="left" vertical="center" indent="1"/>
    </xf>
    <xf numFmtId="165" fontId="23" fillId="0" borderId="90" xfId="3" applyNumberFormat="1" applyFont="1" applyBorder="1" applyAlignment="1">
      <alignment horizontal="right" vertical="center"/>
    </xf>
    <xf numFmtId="165" fontId="24" fillId="0" borderId="90" xfId="3" applyNumberFormat="1" applyFont="1" applyBorder="1" applyAlignment="1">
      <alignment horizontal="right" vertical="center"/>
    </xf>
    <xf numFmtId="165" fontId="24" fillId="0" borderId="89" xfId="3" applyNumberFormat="1" applyFont="1" applyBorder="1" applyAlignment="1">
      <alignment horizontal="right" vertical="center"/>
    </xf>
    <xf numFmtId="165" fontId="24" fillId="0" borderId="91" xfId="3" applyNumberFormat="1" applyFont="1" applyBorder="1" applyAlignment="1">
      <alignment vertical="center"/>
    </xf>
    <xf numFmtId="165" fontId="24" fillId="0" borderId="90" xfId="3" applyNumberFormat="1" applyFont="1" applyBorder="1" applyAlignment="1">
      <alignment vertical="center"/>
    </xf>
    <xf numFmtId="165" fontId="24" fillId="0" borderId="89" xfId="3" applyNumberFormat="1" applyFont="1" applyBorder="1" applyAlignment="1">
      <alignment vertical="center"/>
    </xf>
    <xf numFmtId="0" fontId="24" fillId="0" borderId="92" xfId="3" applyFont="1" applyBorder="1" applyAlignment="1">
      <alignment horizontal="left" vertical="center" indent="1"/>
    </xf>
    <xf numFmtId="168" fontId="23" fillId="0" borderId="93" xfId="3" applyNumberFormat="1" applyFont="1" applyBorder="1" applyAlignment="1">
      <alignment horizontal="right" vertical="center"/>
    </xf>
    <xf numFmtId="168" fontId="24" fillId="0" borderId="93" xfId="3" applyNumberFormat="1" applyFont="1" applyBorder="1" applyAlignment="1">
      <alignment horizontal="right" vertical="center"/>
    </xf>
    <xf numFmtId="168" fontId="24" fillId="0" borderId="94" xfId="3" applyNumberFormat="1" applyFont="1" applyBorder="1" applyAlignment="1">
      <alignment horizontal="right" vertical="center"/>
    </xf>
    <xf numFmtId="168" fontId="24" fillId="0" borderId="95" xfId="3" applyNumberFormat="1" applyFont="1" applyBorder="1" applyAlignment="1">
      <alignment vertical="center"/>
    </xf>
    <xf numFmtId="168" fontId="24" fillId="0" borderId="93" xfId="3" applyNumberFormat="1" applyFont="1" applyBorder="1" applyAlignment="1">
      <alignment vertical="center"/>
    </xf>
    <xf numFmtId="168" fontId="24" fillId="0" borderId="94" xfId="3" applyNumberFormat="1" applyFont="1" applyBorder="1" applyAlignment="1">
      <alignment vertical="center"/>
    </xf>
    <xf numFmtId="0" fontId="24" fillId="0" borderId="96" xfId="3" applyFont="1" applyBorder="1" applyAlignment="1">
      <alignment horizontal="left" vertical="top" wrapText="1" indent="1"/>
    </xf>
    <xf numFmtId="168" fontId="23" fillId="0" borderId="97" xfId="3" applyNumberFormat="1" applyFont="1" applyBorder="1" applyAlignment="1">
      <alignment horizontal="right" vertical="top"/>
    </xf>
    <xf numFmtId="168" fontId="24" fillId="0" borderId="97" xfId="3" applyNumberFormat="1" applyFont="1" applyBorder="1" applyAlignment="1">
      <alignment horizontal="right" vertical="top"/>
    </xf>
    <xf numFmtId="168" fontId="24" fillId="0" borderId="96" xfId="3" applyNumberFormat="1" applyFont="1" applyBorder="1" applyAlignment="1">
      <alignment horizontal="right" vertical="top"/>
    </xf>
    <xf numFmtId="168" fontId="24" fillId="0" borderId="98" xfId="3" applyNumberFormat="1" applyFont="1" applyBorder="1" applyAlignment="1">
      <alignment horizontal="right" vertical="top"/>
    </xf>
    <xf numFmtId="41" fontId="24" fillId="7" borderId="99" xfId="3" applyNumberFormat="1" applyFont="1" applyFill="1" applyBorder="1" applyAlignment="1">
      <alignment vertical="top"/>
    </xf>
    <xf numFmtId="41" fontId="24" fillId="7" borderId="100" xfId="3" applyNumberFormat="1" applyFont="1" applyFill="1" applyBorder="1" applyAlignment="1">
      <alignment vertical="top"/>
    </xf>
    <xf numFmtId="41" fontId="24" fillId="7" borderId="101" xfId="3" applyNumberFormat="1" applyFont="1" applyFill="1" applyBorder="1" applyAlignment="1">
      <alignment vertical="top"/>
    </xf>
    <xf numFmtId="0" fontId="23" fillId="5" borderId="103" xfId="3" applyFont="1" applyFill="1" applyBorder="1" applyAlignment="1">
      <alignment vertical="center" wrapText="1"/>
    </xf>
    <xf numFmtId="0" fontId="23" fillId="0" borderId="52" xfId="3" applyFont="1" applyBorder="1" applyAlignment="1">
      <alignment vertical="center" wrapText="1"/>
    </xf>
    <xf numFmtId="166" fontId="23" fillId="0" borderId="53" xfId="3" applyNumberFormat="1" applyFont="1" applyBorder="1" applyAlignment="1">
      <alignment horizontal="right" vertical="center"/>
    </xf>
    <xf numFmtId="166" fontId="24" fillId="0" borderId="53" xfId="3" applyNumberFormat="1" applyFont="1" applyBorder="1" applyAlignment="1">
      <alignment horizontal="right" vertical="center"/>
    </xf>
    <xf numFmtId="166" fontId="24" fillId="0" borderId="103" xfId="3" applyNumberFormat="1" applyFont="1" applyBorder="1" applyAlignment="1">
      <alignment horizontal="right" vertical="center"/>
    </xf>
    <xf numFmtId="166" fontId="24" fillId="0" borderId="55" xfId="3" applyNumberFormat="1" applyFont="1" applyBorder="1" applyAlignment="1">
      <alignment horizontal="right" vertical="center"/>
    </xf>
    <xf numFmtId="166" fontId="24" fillId="0" borderId="54" xfId="3" applyNumberFormat="1" applyFont="1" applyBorder="1" applyAlignment="1">
      <alignment horizontal="right" vertical="center"/>
    </xf>
    <xf numFmtId="166" fontId="24" fillId="0" borderId="110" xfId="3" applyNumberFormat="1" applyFont="1" applyBorder="1" applyAlignment="1">
      <alignment vertical="center"/>
    </xf>
    <xf numFmtId="166" fontId="24" fillId="0" borderId="111" xfId="3" applyNumberFormat="1" applyFont="1" applyBorder="1" applyAlignment="1">
      <alignment vertical="center"/>
    </xf>
    <xf numFmtId="0" fontId="14" fillId="0" borderId="52" xfId="3" applyFont="1" applyBorder="1" applyAlignment="1">
      <alignment vertical="center" wrapText="1"/>
    </xf>
    <xf numFmtId="0" fontId="23" fillId="0" borderId="53" xfId="3" applyFont="1" applyBorder="1" applyAlignment="1">
      <alignment vertical="center"/>
    </xf>
    <xf numFmtId="3" fontId="24" fillId="0" borderId="53" xfId="3" applyNumberFormat="1" applyFont="1" applyBorder="1" applyAlignment="1">
      <alignment vertical="center"/>
    </xf>
    <xf numFmtId="3" fontId="24" fillId="0" borderId="103" xfId="3" applyNumberFormat="1" applyFont="1" applyBorder="1" applyAlignment="1">
      <alignment vertical="center"/>
    </xf>
    <xf numFmtId="0" fontId="24" fillId="0" borderId="55" xfId="3" applyFont="1" applyBorder="1" applyAlignment="1">
      <alignment vertical="center"/>
    </xf>
    <xf numFmtId="0" fontId="24" fillId="0" borderId="53" xfId="3" applyFont="1" applyBorder="1" applyAlignment="1">
      <alignment vertical="center"/>
    </xf>
    <xf numFmtId="0" fontId="24" fillId="0" borderId="54" xfId="3" applyFont="1" applyBorder="1" applyAlignment="1">
      <alignment vertical="center"/>
    </xf>
    <xf numFmtId="0" fontId="24" fillId="0" borderId="110" xfId="3" applyFont="1" applyBorder="1" applyAlignment="1">
      <alignment horizontal="right" vertical="center"/>
    </xf>
    <xf numFmtId="0" fontId="24" fillId="0" borderId="111" xfId="3" applyFont="1" applyBorder="1" applyAlignment="1">
      <alignment horizontal="right" vertical="center"/>
    </xf>
    <xf numFmtId="167" fontId="23" fillId="0" borderId="57" xfId="3" applyNumberFormat="1" applyFont="1" applyBorder="1" applyAlignment="1">
      <alignment horizontal="right" vertical="center"/>
    </xf>
    <xf numFmtId="167" fontId="24" fillId="0" borderId="57" xfId="3" applyNumberFormat="1" applyFont="1" applyBorder="1" applyAlignment="1">
      <alignment horizontal="right" vertical="center"/>
    </xf>
    <xf numFmtId="167" fontId="24" fillId="0" borderId="112" xfId="3" applyNumberFormat="1" applyFont="1" applyBorder="1" applyAlignment="1">
      <alignment horizontal="right" vertical="center"/>
    </xf>
    <xf numFmtId="167" fontId="24" fillId="0" borderId="113" xfId="5" applyNumberFormat="1" applyFont="1" applyBorder="1" applyAlignment="1">
      <alignment vertical="center"/>
    </xf>
    <xf numFmtId="167" fontId="24" fillId="0" borderId="114" xfId="5" applyNumberFormat="1" applyFont="1" applyBorder="1" applyAlignment="1">
      <alignment vertical="center"/>
    </xf>
    <xf numFmtId="167" fontId="24" fillId="0" borderId="115" xfId="5" applyNumberFormat="1" applyFont="1" applyBorder="1" applyAlignment="1">
      <alignment vertical="center"/>
    </xf>
    <xf numFmtId="167" fontId="24" fillId="0" borderId="59" xfId="3" applyNumberFormat="1" applyFont="1" applyBorder="1" applyAlignment="1">
      <alignment vertical="center"/>
    </xf>
    <xf numFmtId="167" fontId="24" fillId="0" borderId="57" xfId="3" applyNumberFormat="1" applyFont="1" applyBorder="1" applyAlignment="1">
      <alignment vertical="center"/>
    </xf>
    <xf numFmtId="167" fontId="24" fillId="0" borderId="116" xfId="3" applyNumberFormat="1" applyFont="1" applyBorder="1" applyAlignment="1">
      <alignment horizontal="right" vertical="center"/>
    </xf>
    <xf numFmtId="167" fontId="24" fillId="0" borderId="117" xfId="3" applyNumberFormat="1" applyFont="1" applyBorder="1" applyAlignment="1">
      <alignment horizontal="right" vertical="center"/>
    </xf>
    <xf numFmtId="170" fontId="23" fillId="0" borderId="61" xfId="3" applyNumberFormat="1" applyFont="1" applyBorder="1" applyAlignment="1">
      <alignment horizontal="right" vertical="center"/>
    </xf>
    <xf numFmtId="170" fontId="24" fillId="0" borderId="61" xfId="3" applyNumberFormat="1" applyFont="1" applyBorder="1" applyAlignment="1">
      <alignment horizontal="right" vertical="center"/>
    </xf>
    <xf numFmtId="170" fontId="24" fillId="0" borderId="89" xfId="3" applyNumberFormat="1" applyFont="1" applyBorder="1" applyAlignment="1">
      <alignment horizontal="right" vertical="center"/>
    </xf>
    <xf numFmtId="170" fontId="24" fillId="0" borderId="63" xfId="3" applyNumberFormat="1" applyFont="1" applyBorder="1" applyAlignment="1">
      <alignment vertical="center"/>
    </xf>
    <xf numFmtId="170" fontId="24" fillId="0" borderId="61" xfId="3" applyNumberFormat="1" applyFont="1" applyBorder="1" applyAlignment="1">
      <alignment vertical="center"/>
    </xf>
    <xf numFmtId="170" fontId="24" fillId="0" borderId="62" xfId="3" applyNumberFormat="1" applyFont="1" applyBorder="1" applyAlignment="1">
      <alignment vertical="center"/>
    </xf>
    <xf numFmtId="170" fontId="24" fillId="0" borderId="118" xfId="3" applyNumberFormat="1" applyFont="1" applyBorder="1" applyAlignment="1">
      <alignment horizontal="right" vertical="center"/>
    </xf>
    <xf numFmtId="170" fontId="24" fillId="0" borderId="119" xfId="3" applyNumberFormat="1" applyFont="1" applyBorder="1" applyAlignment="1">
      <alignment horizontal="right" vertical="center"/>
    </xf>
    <xf numFmtId="167" fontId="24" fillId="0" borderId="89" xfId="3" applyNumberFormat="1" applyFont="1" applyBorder="1" applyAlignment="1">
      <alignment horizontal="right" vertical="center"/>
    </xf>
    <xf numFmtId="167" fontId="24" fillId="0" borderId="118" xfId="3" applyNumberFormat="1" applyFont="1" applyBorder="1" applyAlignment="1">
      <alignment horizontal="right" vertical="center"/>
    </xf>
    <xf numFmtId="167" fontId="24" fillId="0" borderId="119" xfId="3" applyNumberFormat="1" applyFont="1" applyBorder="1" applyAlignment="1">
      <alignment horizontal="right" vertical="center"/>
    </xf>
    <xf numFmtId="172" fontId="23" fillId="0" borderId="61" xfId="3" applyNumberFormat="1" applyFont="1" applyBorder="1" applyAlignment="1">
      <alignment horizontal="right" vertical="center"/>
    </xf>
    <xf numFmtId="172" fontId="24" fillId="0" borderId="61" xfId="3" applyNumberFormat="1" applyFont="1" applyBorder="1" applyAlignment="1">
      <alignment horizontal="right" vertical="center"/>
    </xf>
    <xf numFmtId="172" fontId="24" fillId="0" borderId="89" xfId="3" applyNumberFormat="1" applyFont="1" applyBorder="1" applyAlignment="1">
      <alignment horizontal="right" vertical="center"/>
    </xf>
    <xf numFmtId="172" fontId="24" fillId="0" borderId="63" xfId="3" applyNumberFormat="1" applyFont="1" applyBorder="1" applyAlignment="1">
      <alignment vertical="center"/>
    </xf>
    <xf numFmtId="172" fontId="24" fillId="0" borderId="61" xfId="3" applyNumberFormat="1" applyFont="1" applyBorder="1" applyAlignment="1">
      <alignment vertical="center"/>
    </xf>
    <xf numFmtId="172" fontId="24" fillId="0" borderId="62" xfId="3" applyNumberFormat="1" applyFont="1" applyBorder="1" applyAlignment="1">
      <alignment vertical="center"/>
    </xf>
    <xf numFmtId="172" fontId="24" fillId="0" borderId="118" xfId="3" applyNumberFormat="1" applyFont="1" applyBorder="1" applyAlignment="1">
      <alignment horizontal="right" vertical="center"/>
    </xf>
    <xf numFmtId="172" fontId="24" fillId="0" borderId="119" xfId="3" applyNumberFormat="1" applyFont="1" applyBorder="1" applyAlignment="1">
      <alignment horizontal="right" vertical="center"/>
    </xf>
    <xf numFmtId="168" fontId="24" fillId="0" borderId="89" xfId="3" applyNumberFormat="1" applyFont="1" applyBorder="1" applyAlignment="1">
      <alignment horizontal="right" vertical="center"/>
    </xf>
    <xf numFmtId="168" fontId="24" fillId="0" borderId="118" xfId="3" applyNumberFormat="1" applyFont="1" applyBorder="1" applyAlignment="1">
      <alignment horizontal="right" vertical="center"/>
    </xf>
    <xf numFmtId="168" fontId="24" fillId="0" borderId="119" xfId="3" applyNumberFormat="1" applyFont="1" applyBorder="1" applyAlignment="1">
      <alignment horizontal="right" vertical="center"/>
    </xf>
    <xf numFmtId="165" fontId="24" fillId="0" borderId="118" xfId="3" applyNumberFormat="1" applyFont="1" applyBorder="1" applyAlignment="1">
      <alignment horizontal="right" vertical="center"/>
    </xf>
    <xf numFmtId="165" fontId="24" fillId="0" borderId="119" xfId="3" applyNumberFormat="1" applyFont="1" applyBorder="1" applyAlignment="1">
      <alignment horizontal="right" vertical="center"/>
    </xf>
    <xf numFmtId="0" fontId="24" fillId="0" borderId="69" xfId="3" applyFont="1" applyBorder="1" applyAlignment="1">
      <alignment vertical="center"/>
    </xf>
    <xf numFmtId="41" fontId="23" fillId="0" borderId="70" xfId="3" applyNumberFormat="1" applyFont="1" applyBorder="1" applyAlignment="1">
      <alignment horizontal="right" vertical="center"/>
    </xf>
    <xf numFmtId="41" fontId="24" fillId="0" borderId="70" xfId="3" applyNumberFormat="1" applyFont="1" applyBorder="1" applyAlignment="1">
      <alignment horizontal="right" vertical="center"/>
    </xf>
    <xf numFmtId="41" fontId="24" fillId="0" borderId="96" xfId="3" applyNumberFormat="1" applyFont="1" applyBorder="1" applyAlignment="1">
      <alignment horizontal="right" vertical="center"/>
    </xf>
    <xf numFmtId="41" fontId="24" fillId="0" borderId="72" xfId="3" applyNumberFormat="1" applyFont="1" applyBorder="1" applyAlignment="1">
      <alignment vertical="center"/>
    </xf>
    <xf numFmtId="41" fontId="24" fillId="0" borderId="70" xfId="3" applyNumberFormat="1" applyFont="1" applyBorder="1" applyAlignment="1">
      <alignment vertical="center"/>
    </xf>
    <xf numFmtId="41" fontId="24" fillId="0" borderId="71" xfId="3" applyNumberFormat="1" applyFont="1" applyBorder="1" applyAlignment="1">
      <alignment vertical="center"/>
    </xf>
    <xf numFmtId="41" fontId="24" fillId="0" borderId="120" xfId="3" applyNumberFormat="1" applyFont="1" applyBorder="1" applyAlignment="1">
      <alignment horizontal="right" vertical="center"/>
    </xf>
    <xf numFmtId="41" fontId="24" fillId="0" borderId="121" xfId="3" applyNumberFormat="1" applyFont="1" applyBorder="1" applyAlignment="1">
      <alignment horizontal="right" vertical="center"/>
    </xf>
    <xf numFmtId="3" fontId="23" fillId="0" borderId="53" xfId="3" applyNumberFormat="1" applyFont="1" applyBorder="1" applyAlignment="1">
      <alignment horizontal="right" vertical="center"/>
    </xf>
    <xf numFmtId="3" fontId="24" fillId="0" borderId="53" xfId="3" applyNumberFormat="1" applyFont="1" applyBorder="1" applyAlignment="1">
      <alignment horizontal="right" vertical="center"/>
    </xf>
    <xf numFmtId="3" fontId="24" fillId="0" borderId="103" xfId="3" applyNumberFormat="1" applyFont="1" applyBorder="1" applyAlignment="1">
      <alignment horizontal="right" vertical="center"/>
    </xf>
    <xf numFmtId="165" fontId="24" fillId="0" borderId="122" xfId="3" applyNumberFormat="1" applyFont="1" applyBorder="1" applyAlignment="1">
      <alignment horizontal="right" vertical="center"/>
    </xf>
    <xf numFmtId="165" fontId="24" fillId="0" borderId="116" xfId="3" applyNumberFormat="1" applyFont="1" applyBorder="1" applyAlignment="1">
      <alignment horizontal="right" vertical="center"/>
    </xf>
    <xf numFmtId="165" fontId="24" fillId="0" borderId="117" xfId="3" applyNumberFormat="1" applyFont="1" applyBorder="1" applyAlignment="1">
      <alignment vertical="center"/>
    </xf>
    <xf numFmtId="41" fontId="24" fillId="7" borderId="116" xfId="3" applyNumberFormat="1" applyFont="1" applyFill="1" applyBorder="1" applyAlignment="1">
      <alignment horizontal="right" vertical="center"/>
    </xf>
    <xf numFmtId="41" fontId="24" fillId="7" borderId="117" xfId="3" applyNumberFormat="1" applyFont="1" applyFill="1" applyBorder="1" applyAlignment="1">
      <alignment horizontal="right" vertical="center"/>
    </xf>
    <xf numFmtId="41" fontId="24" fillId="7" borderId="57" xfId="3" applyNumberFormat="1" applyFont="1" applyFill="1" applyBorder="1" applyAlignment="1">
      <alignment horizontal="right" vertical="center"/>
    </xf>
    <xf numFmtId="41" fontId="24" fillId="0" borderId="89" xfId="3" applyNumberFormat="1" applyFont="1" applyBorder="1" applyAlignment="1">
      <alignment horizontal="right" vertical="center"/>
    </xf>
    <xf numFmtId="41" fontId="24" fillId="0" borderId="118" xfId="3" applyNumberFormat="1" applyFont="1" applyBorder="1" applyAlignment="1">
      <alignment horizontal="right" vertical="center"/>
    </xf>
    <xf numFmtId="41" fontId="24" fillId="0" borderId="119" xfId="3" applyNumberFormat="1" applyFont="1" applyBorder="1" applyAlignment="1">
      <alignment horizontal="right" vertical="center"/>
    </xf>
    <xf numFmtId="41" fontId="24" fillId="7" borderId="123" xfId="3" applyNumberFormat="1" applyFont="1" applyFill="1" applyBorder="1" applyAlignment="1">
      <alignment vertical="center"/>
    </xf>
    <xf numFmtId="41" fontId="24" fillId="7" borderId="124" xfId="3" applyNumberFormat="1" applyFont="1" applyFill="1" applyBorder="1" applyAlignment="1">
      <alignment vertical="center"/>
    </xf>
    <xf numFmtId="41" fontId="24" fillId="7" borderId="88" xfId="3" applyNumberFormat="1" applyFont="1" applyFill="1" applyBorder="1" applyAlignment="1">
      <alignment vertical="center"/>
    </xf>
    <xf numFmtId="41" fontId="24" fillId="7" borderId="125" xfId="3" applyNumberFormat="1" applyFont="1" applyFill="1" applyBorder="1" applyAlignment="1">
      <alignment vertical="center"/>
    </xf>
    <xf numFmtId="41" fontId="24" fillId="7" borderId="126" xfId="3" applyNumberFormat="1" applyFont="1" applyFill="1" applyBorder="1" applyAlignment="1">
      <alignment vertical="center"/>
    </xf>
    <xf numFmtId="41" fontId="23" fillId="0" borderId="70" xfId="3" applyNumberFormat="1" applyFont="1" applyBorder="1" applyAlignment="1">
      <alignment vertical="center"/>
    </xf>
    <xf numFmtId="41" fontId="24" fillId="0" borderId="96" xfId="3" applyNumberFormat="1" applyFont="1" applyBorder="1" applyAlignment="1">
      <alignment vertical="center"/>
    </xf>
    <xf numFmtId="165" fontId="24" fillId="0" borderId="72" xfId="3" applyNumberFormat="1" applyFont="1" applyBorder="1" applyAlignment="1">
      <alignment vertical="center"/>
    </xf>
    <xf numFmtId="165" fontId="24" fillId="0" borderId="70" xfId="3" applyNumberFormat="1" applyFont="1" applyBorder="1" applyAlignment="1">
      <alignment vertical="center"/>
    </xf>
    <xf numFmtId="165" fontId="24" fillId="0" borderId="71" xfId="3" applyNumberFormat="1" applyFont="1" applyBorder="1" applyAlignment="1">
      <alignment vertical="center"/>
    </xf>
    <xf numFmtId="41" fontId="24" fillId="7" borderId="127" xfId="3" applyNumberFormat="1" applyFont="1" applyFill="1" applyBorder="1" applyAlignment="1">
      <alignment vertical="center"/>
    </xf>
    <xf numFmtId="41" fontId="24" fillId="7" borderId="128" xfId="3" applyNumberFormat="1" applyFont="1" applyFill="1" applyBorder="1" applyAlignment="1">
      <alignment vertical="center"/>
    </xf>
    <xf numFmtId="41" fontId="24" fillId="7" borderId="101" xfId="3" applyNumberFormat="1" applyFont="1" applyFill="1" applyBorder="1" applyAlignment="1">
      <alignment vertical="center"/>
    </xf>
    <xf numFmtId="3" fontId="23" fillId="0" borderId="53" xfId="3" applyNumberFormat="1" applyFont="1" applyBorder="1" applyAlignment="1">
      <alignment vertical="center"/>
    </xf>
    <xf numFmtId="0" fontId="24" fillId="0" borderId="107" xfId="3" applyFont="1" applyBorder="1" applyAlignment="1">
      <alignment vertical="center"/>
    </xf>
    <xf numFmtId="165" fontId="17" fillId="0" borderId="57" xfId="3" applyNumberFormat="1" applyFont="1" applyBorder="1" applyAlignment="1">
      <alignment vertical="center"/>
    </xf>
    <xf numFmtId="165" fontId="16" fillId="0" borderId="57" xfId="3" applyNumberFormat="1" applyFont="1" applyBorder="1" applyAlignment="1">
      <alignment vertical="center"/>
    </xf>
    <xf numFmtId="165" fontId="16" fillId="0" borderId="58" xfId="3" applyNumberFormat="1" applyFont="1" applyBorder="1" applyAlignment="1">
      <alignment vertical="center"/>
    </xf>
    <xf numFmtId="165" fontId="16" fillId="0" borderId="59" xfId="3" applyNumberFormat="1" applyFont="1" applyBorder="1" applyAlignment="1">
      <alignment vertical="center"/>
    </xf>
    <xf numFmtId="41" fontId="16" fillId="0" borderId="59" xfId="3" applyNumberFormat="1" applyFont="1" applyBorder="1" applyAlignment="1">
      <alignment horizontal="right" vertical="center"/>
    </xf>
    <xf numFmtId="41" fontId="16" fillId="0" borderId="57" xfId="3" applyNumberFormat="1" applyFont="1" applyBorder="1" applyAlignment="1">
      <alignment horizontal="right" vertical="center"/>
    </xf>
    <xf numFmtId="165" fontId="17" fillId="0" borderId="61" xfId="3" applyNumberFormat="1" applyFont="1" applyBorder="1" applyAlignment="1">
      <alignment vertical="center"/>
    </xf>
    <xf numFmtId="165" fontId="16" fillId="0" borderId="61" xfId="3" applyNumberFormat="1" applyFont="1" applyBorder="1" applyAlignment="1">
      <alignment vertical="center"/>
    </xf>
    <xf numFmtId="165" fontId="16" fillId="0" borderId="62" xfId="3" applyNumberFormat="1" applyFont="1" applyBorder="1" applyAlignment="1">
      <alignment vertical="center"/>
    </xf>
    <xf numFmtId="165" fontId="16" fillId="0" borderId="63" xfId="3" applyNumberFormat="1" applyFont="1" applyBorder="1" applyAlignment="1">
      <alignment vertical="center"/>
    </xf>
    <xf numFmtId="41" fontId="16" fillId="0" borderId="63" xfId="3" applyNumberFormat="1" applyFont="1" applyBorder="1" applyAlignment="1">
      <alignment horizontal="right" vertical="center"/>
    </xf>
    <xf numFmtId="41" fontId="16" fillId="0" borderId="61" xfId="3" applyNumberFormat="1" applyFont="1" applyBorder="1" applyAlignment="1">
      <alignment horizontal="right" vertical="center"/>
    </xf>
    <xf numFmtId="165" fontId="17" fillId="0" borderId="70" xfId="3" applyNumberFormat="1" applyFont="1" applyBorder="1" applyAlignment="1">
      <alignment vertical="center"/>
    </xf>
    <xf numFmtId="165" fontId="16" fillId="0" borderId="70" xfId="3" applyNumberFormat="1" applyFont="1" applyBorder="1" applyAlignment="1">
      <alignment vertical="center"/>
    </xf>
    <xf numFmtId="165" fontId="16" fillId="0" borderId="71" xfId="3" applyNumberFormat="1" applyFont="1" applyBorder="1" applyAlignment="1">
      <alignment vertical="center"/>
    </xf>
    <xf numFmtId="165" fontId="16" fillId="0" borderId="72" xfId="3" applyNumberFormat="1" applyFont="1" applyBorder="1" applyAlignment="1">
      <alignment vertical="center"/>
    </xf>
    <xf numFmtId="41" fontId="16" fillId="0" borderId="72" xfId="3" applyNumberFormat="1" applyFont="1" applyBorder="1" applyAlignment="1">
      <alignment horizontal="right" vertical="center"/>
    </xf>
    <xf numFmtId="41" fontId="16" fillId="0" borderId="70" xfId="3" applyNumberFormat="1" applyFont="1" applyBorder="1" applyAlignment="1">
      <alignment horizontal="right" vertical="center"/>
    </xf>
    <xf numFmtId="41" fontId="24" fillId="7" borderId="129" xfId="3" applyNumberFormat="1" applyFont="1" applyFill="1" applyBorder="1" applyAlignment="1">
      <alignment vertical="center"/>
    </xf>
    <xf numFmtId="0" fontId="31" fillId="0" borderId="66" xfId="3" applyFont="1" applyBorder="1" applyAlignment="1">
      <alignment horizontal="left" vertical="center" indent="1"/>
    </xf>
    <xf numFmtId="41" fontId="31" fillId="0" borderId="66" xfId="3" applyNumberFormat="1" applyFont="1" applyBorder="1" applyAlignment="1">
      <alignment horizontal="right" vertical="center"/>
    </xf>
    <xf numFmtId="165" fontId="31" fillId="0" borderId="66" xfId="3" applyNumberFormat="1" applyFont="1" applyBorder="1" applyAlignment="1">
      <alignment horizontal="right" vertical="center"/>
    </xf>
    <xf numFmtId="165" fontId="38" fillId="0" borderId="66" xfId="3" applyNumberFormat="1" applyFont="1" applyBorder="1" applyAlignment="1">
      <alignment vertical="center"/>
    </xf>
    <xf numFmtId="41" fontId="38" fillId="0" borderId="66" xfId="3" applyNumberFormat="1" applyFont="1" applyBorder="1" applyAlignment="1">
      <alignment horizontal="right" vertical="center"/>
    </xf>
    <xf numFmtId="165" fontId="31" fillId="0" borderId="66" xfId="3" applyNumberFormat="1" applyFont="1" applyBorder="1" applyAlignment="1">
      <alignment vertical="center"/>
    </xf>
    <xf numFmtId="0" fontId="31" fillId="0" borderId="0" xfId="3" applyFont="1" applyAlignment="1">
      <alignment horizontal="left" vertical="center"/>
    </xf>
    <xf numFmtId="0" fontId="30" fillId="0" borderId="0" xfId="3" applyFont="1" applyAlignment="1">
      <alignment horizontal="left" vertical="center"/>
    </xf>
    <xf numFmtId="0" fontId="35" fillId="0" borderId="52" xfId="3" applyFont="1" applyBorder="1" applyAlignment="1">
      <alignment vertical="center" wrapText="1"/>
    </xf>
    <xf numFmtId="0" fontId="24" fillId="0" borderId="56" xfId="3" applyFont="1" applyBorder="1" applyAlignment="1">
      <alignment vertical="center"/>
    </xf>
    <xf numFmtId="165" fontId="24" fillId="0" borderId="130" xfId="5" applyNumberFormat="1" applyFont="1" applyBorder="1" applyAlignment="1">
      <alignment vertical="center"/>
    </xf>
    <xf numFmtId="165" fontId="24" fillId="0" borderId="131" xfId="5" applyNumberFormat="1" applyFont="1" applyBorder="1" applyAlignment="1">
      <alignment vertical="center"/>
    </xf>
    <xf numFmtId="165" fontId="24" fillId="0" borderId="132" xfId="5" applyNumberFormat="1" applyFont="1" applyBorder="1" applyAlignment="1">
      <alignment vertical="center"/>
    </xf>
    <xf numFmtId="165" fontId="24" fillId="0" borderId="59" xfId="3" applyNumberFormat="1" applyFont="1" applyBorder="1" applyAlignment="1">
      <alignment horizontal="right" vertical="center"/>
    </xf>
    <xf numFmtId="0" fontId="24" fillId="0" borderId="60" xfId="3" applyFont="1" applyBorder="1" applyAlignment="1">
      <alignment vertical="center"/>
    </xf>
    <xf numFmtId="165" fontId="24" fillId="0" borderId="133" xfId="5" applyNumberFormat="1" applyFont="1" applyBorder="1" applyAlignment="1">
      <alignment vertical="center"/>
    </xf>
    <xf numFmtId="165" fontId="24" fillId="0" borderId="93" xfId="5" applyNumberFormat="1" applyFont="1" applyBorder="1" applyAlignment="1">
      <alignment vertical="center"/>
    </xf>
    <xf numFmtId="165" fontId="24" fillId="0" borderId="134" xfId="5" applyNumberFormat="1" applyFont="1" applyBorder="1" applyAlignment="1">
      <alignment vertical="center"/>
    </xf>
    <xf numFmtId="0" fontId="23" fillId="0" borderId="60" xfId="3" applyFont="1" applyBorder="1" applyAlignment="1">
      <alignment vertical="center"/>
    </xf>
    <xf numFmtId="41" fontId="24" fillId="0" borderId="133" xfId="5" applyNumberFormat="1" applyFont="1" applyBorder="1" applyAlignment="1">
      <alignment vertical="center"/>
    </xf>
    <xf numFmtId="41" fontId="24" fillId="0" borderId="93" xfId="5" applyNumberFormat="1" applyFont="1" applyBorder="1" applyAlignment="1">
      <alignment vertical="center"/>
    </xf>
    <xf numFmtId="41" fontId="24" fillId="0" borderId="134" xfId="5" applyNumberFormat="1" applyFont="1" applyBorder="1" applyAlignment="1">
      <alignment vertical="center"/>
    </xf>
    <xf numFmtId="0" fontId="23" fillId="0" borderId="60" xfId="3" applyFont="1" applyBorder="1" applyAlignment="1">
      <alignment vertical="center" wrapText="1"/>
    </xf>
    <xf numFmtId="165" fontId="17" fillId="0" borderId="61" xfId="3" applyNumberFormat="1" applyFont="1" applyBorder="1" applyAlignment="1">
      <alignment horizontal="right" vertical="center"/>
    </xf>
    <xf numFmtId="165" fontId="16" fillId="0" borderId="61" xfId="3" applyNumberFormat="1" applyFont="1" applyBorder="1" applyAlignment="1">
      <alignment horizontal="right" vertical="center"/>
    </xf>
    <xf numFmtId="165" fontId="16" fillId="0" borderId="89" xfId="3" applyNumberFormat="1" applyFont="1" applyBorder="1" applyAlignment="1">
      <alignment horizontal="right" vertical="center"/>
    </xf>
    <xf numFmtId="165" fontId="16" fillId="0" borderId="63" xfId="3" applyNumberFormat="1" applyFont="1" applyBorder="1" applyAlignment="1">
      <alignment horizontal="right" vertical="center"/>
    </xf>
    <xf numFmtId="165" fontId="16" fillId="0" borderId="62" xfId="3" applyNumberFormat="1" applyFont="1" applyBorder="1" applyAlignment="1">
      <alignment horizontal="right" vertical="center"/>
    </xf>
    <xf numFmtId="0" fontId="24" fillId="0" borderId="60" xfId="3" applyFont="1" applyBorder="1" applyAlignment="1">
      <alignment horizontal="left" vertical="center"/>
    </xf>
    <xf numFmtId="0" fontId="23" fillId="0" borderId="69" xfId="3" applyFont="1" applyBorder="1" applyAlignment="1">
      <alignment vertical="center"/>
    </xf>
    <xf numFmtId="165" fontId="23" fillId="0" borderId="70" xfId="3" applyNumberFormat="1" applyFont="1" applyBorder="1" applyAlignment="1">
      <alignment horizontal="right" vertical="center"/>
    </xf>
    <xf numFmtId="165" fontId="24" fillId="0" borderId="70" xfId="3" applyNumberFormat="1" applyFont="1" applyBorder="1" applyAlignment="1">
      <alignment horizontal="right" vertical="center"/>
    </xf>
    <xf numFmtId="165" fontId="24" fillId="0" borderId="96" xfId="3" applyNumberFormat="1" applyFont="1" applyBorder="1" applyAlignment="1">
      <alignment horizontal="right" vertical="center"/>
    </xf>
    <xf numFmtId="165" fontId="24" fillId="0" borderId="72" xfId="3" applyNumberFormat="1" applyFont="1" applyBorder="1" applyAlignment="1">
      <alignment horizontal="right" vertical="center"/>
    </xf>
    <xf numFmtId="165" fontId="24" fillId="0" borderId="71" xfId="3" applyNumberFormat="1" applyFont="1" applyBorder="1" applyAlignment="1">
      <alignment horizontal="right" vertical="center"/>
    </xf>
    <xf numFmtId="0" fontId="30" fillId="0" borderId="66" xfId="3" applyFont="1" applyBorder="1"/>
    <xf numFmtId="0" fontId="14" fillId="8" borderId="136" xfId="3" applyFont="1" applyFill="1" applyBorder="1" applyAlignment="1" applyProtection="1">
      <alignment vertical="center" wrapText="1"/>
      <protection locked="0"/>
    </xf>
    <xf numFmtId="0" fontId="14" fillId="0" borderId="136" xfId="3" applyFont="1" applyBorder="1" applyAlignment="1" applyProtection="1">
      <alignment vertical="center" wrapText="1"/>
      <protection locked="0"/>
    </xf>
    <xf numFmtId="0" fontId="23" fillId="0" borderId="137" xfId="3" applyFont="1" applyBorder="1" applyAlignment="1" applyProtection="1">
      <alignment horizontal="right" vertical="center"/>
      <protection locked="0"/>
    </xf>
    <xf numFmtId="0" fontId="24" fillId="0" borderId="137" xfId="3" applyFont="1" applyBorder="1" applyAlignment="1" applyProtection="1">
      <alignment horizontal="right" vertical="center"/>
      <protection locked="0"/>
    </xf>
    <xf numFmtId="0" fontId="24" fillId="0" borderId="138" xfId="3" applyFont="1" applyBorder="1" applyAlignment="1">
      <alignment horizontal="right" vertical="center"/>
    </xf>
    <xf numFmtId="0" fontId="24" fillId="0" borderId="17" xfId="3" applyFont="1" applyBorder="1" applyAlignment="1">
      <alignment horizontal="right" vertical="center"/>
    </xf>
    <xf numFmtId="0" fontId="24" fillId="0" borderId="137" xfId="3" applyFont="1" applyBorder="1" applyAlignment="1">
      <alignment horizontal="right" vertical="center"/>
    </xf>
    <xf numFmtId="0" fontId="24" fillId="0" borderId="139" xfId="3" applyFont="1" applyBorder="1" applyAlignment="1">
      <alignment horizontal="right" vertical="center"/>
    </xf>
    <xf numFmtId="0" fontId="24" fillId="0" borderId="140" xfId="3" applyFont="1" applyBorder="1" applyAlignment="1">
      <alignment horizontal="right" vertical="center"/>
    </xf>
    <xf numFmtId="166" fontId="24" fillId="0" borderId="141" xfId="3" applyNumberFormat="1" applyFont="1" applyBorder="1" applyAlignment="1" applyProtection="1">
      <alignment vertical="center"/>
      <protection locked="0"/>
    </xf>
    <xf numFmtId="166" fontId="24" fillId="0" borderId="138" xfId="3" applyNumberFormat="1" applyFont="1" applyBorder="1" applyAlignment="1" applyProtection="1">
      <alignment vertical="center"/>
      <protection locked="0"/>
    </xf>
    <xf numFmtId="166" fontId="24" fillId="0" borderId="137" xfId="3" applyNumberFormat="1" applyFont="1" applyBorder="1" applyAlignment="1" applyProtection="1">
      <alignment vertical="center"/>
      <protection locked="0"/>
    </xf>
    <xf numFmtId="0" fontId="14" fillId="0" borderId="142" xfId="3" applyFont="1" applyBorder="1" applyAlignment="1" applyProtection="1">
      <alignment vertical="center"/>
      <protection locked="0"/>
    </xf>
    <xf numFmtId="0" fontId="24" fillId="0" borderId="143" xfId="3" applyFont="1" applyBorder="1" applyAlignment="1" applyProtection="1">
      <alignment vertical="center"/>
      <protection locked="0"/>
    </xf>
    <xf numFmtId="0" fontId="23" fillId="0" borderId="143" xfId="3" applyFont="1" applyBorder="1" applyAlignment="1" applyProtection="1">
      <alignment vertical="center"/>
      <protection locked="0"/>
    </xf>
    <xf numFmtId="0" fontId="24" fillId="0" borderId="144" xfId="3" applyFont="1" applyBorder="1" applyAlignment="1">
      <alignment vertical="center"/>
    </xf>
    <xf numFmtId="0" fontId="24" fillId="0" borderId="18" xfId="3" applyFont="1" applyBorder="1" applyAlignment="1">
      <alignment vertical="center"/>
    </xf>
    <xf numFmtId="0" fontId="24" fillId="0" borderId="143" xfId="3" applyFont="1" applyBorder="1" applyAlignment="1">
      <alignment vertical="center"/>
    </xf>
    <xf numFmtId="0" fontId="24" fillId="0" borderId="145" xfId="3" applyFont="1" applyBorder="1" applyAlignment="1">
      <alignment vertical="center"/>
    </xf>
    <xf numFmtId="0" fontId="24" fillId="0" borderId="146" xfId="3" applyFont="1" applyBorder="1" applyAlignment="1">
      <alignment vertical="center"/>
    </xf>
    <xf numFmtId="0" fontId="24" fillId="0" borderId="147" xfId="3" applyFont="1" applyBorder="1" applyAlignment="1" applyProtection="1">
      <alignment vertical="center"/>
      <protection locked="0"/>
    </xf>
    <xf numFmtId="0" fontId="24" fillId="0" borderId="144" xfId="3" applyFont="1" applyBorder="1" applyAlignment="1" applyProtection="1">
      <alignment vertical="center"/>
      <protection locked="0"/>
    </xf>
    <xf numFmtId="0" fontId="24" fillId="0" borderId="148" xfId="3" applyFont="1" applyBorder="1" applyAlignment="1" applyProtection="1">
      <alignment vertical="center"/>
      <protection locked="0"/>
    </xf>
    <xf numFmtId="165" fontId="23" fillId="0" borderId="149" xfId="3" applyNumberFormat="1" applyFont="1" applyBorder="1" applyAlignment="1" applyProtection="1">
      <alignment horizontal="right" vertical="center"/>
      <protection locked="0"/>
    </xf>
    <xf numFmtId="165" fontId="24" fillId="0" borderId="149" xfId="3" applyNumberFormat="1" applyFont="1" applyBorder="1" applyAlignment="1">
      <alignment horizontal="right" vertical="center"/>
    </xf>
    <xf numFmtId="165" fontId="24" fillId="0" borderId="150" xfId="3" applyNumberFormat="1" applyFont="1" applyBorder="1" applyAlignment="1">
      <alignment horizontal="right" vertical="center"/>
    </xf>
    <xf numFmtId="165" fontId="24" fillId="0" borderId="151" xfId="6" applyNumberFormat="1" applyFont="1" applyBorder="1" applyAlignment="1" applyProtection="1">
      <alignment horizontal="right" vertical="center"/>
      <protection locked="0"/>
    </xf>
    <xf numFmtId="165" fontId="24" fillId="0" borderId="152" xfId="6" applyNumberFormat="1" applyFont="1" applyBorder="1" applyAlignment="1" applyProtection="1">
      <alignment horizontal="right" vertical="center"/>
      <protection locked="0"/>
    </xf>
    <xf numFmtId="165" fontId="24" fillId="0" borderId="152" xfId="6" applyNumberFormat="1" applyFont="1" applyBorder="1" applyAlignment="1">
      <alignment horizontal="right" vertical="center"/>
    </xf>
    <xf numFmtId="165" fontId="24" fillId="0" borderId="153" xfId="6" applyNumberFormat="1" applyFont="1" applyBorder="1" applyAlignment="1">
      <alignment horizontal="right" vertical="center"/>
    </xf>
    <xf numFmtId="165" fontId="24" fillId="0" borderId="154" xfId="3" applyNumberFormat="1" applyFont="1" applyBorder="1" applyAlignment="1">
      <alignment vertical="center"/>
    </xf>
    <xf numFmtId="165" fontId="24" fillId="0" borderId="149" xfId="3" applyNumberFormat="1" applyFont="1" applyBorder="1" applyAlignment="1">
      <alignment vertical="center"/>
    </xf>
    <xf numFmtId="165" fontId="24" fillId="0" borderId="155" xfId="3" applyNumberFormat="1" applyFont="1" applyBorder="1" applyAlignment="1" applyProtection="1">
      <alignment vertical="center"/>
      <protection locked="0"/>
    </xf>
    <xf numFmtId="165" fontId="24" fillId="0" borderId="150" xfId="3" applyNumberFormat="1" applyFont="1" applyBorder="1" applyAlignment="1" applyProtection="1">
      <alignment vertical="center"/>
      <protection locked="0"/>
    </xf>
    <xf numFmtId="0" fontId="24" fillId="0" borderId="148" xfId="3" applyFont="1" applyBorder="1" applyAlignment="1" applyProtection="1">
      <alignment horizontal="left" vertical="center" indent="1"/>
      <protection locked="0"/>
    </xf>
    <xf numFmtId="165" fontId="23" fillId="0" borderId="149" xfId="5" applyNumberFormat="1" applyFont="1" applyBorder="1" applyAlignment="1" applyProtection="1">
      <alignment horizontal="right" vertical="center"/>
      <protection locked="0"/>
    </xf>
    <xf numFmtId="165" fontId="24" fillId="0" borderId="149" xfId="5" applyNumberFormat="1" applyFont="1" applyBorder="1" applyAlignment="1">
      <alignment horizontal="right" vertical="center"/>
    </xf>
    <xf numFmtId="165" fontId="24" fillId="0" borderId="150" xfId="5" applyNumberFormat="1" applyFont="1" applyBorder="1" applyAlignment="1">
      <alignment horizontal="right" vertical="center"/>
    </xf>
    <xf numFmtId="165" fontId="24" fillId="0" borderId="152" xfId="5" applyNumberFormat="1" applyFont="1" applyBorder="1" applyAlignment="1" applyProtection="1">
      <alignment horizontal="right" vertical="center"/>
      <protection locked="0"/>
    </xf>
    <xf numFmtId="165" fontId="24" fillId="0" borderId="152" xfId="5" applyNumberFormat="1" applyFont="1" applyBorder="1" applyAlignment="1">
      <alignment horizontal="right" vertical="center"/>
    </xf>
    <xf numFmtId="165" fontId="24" fillId="0" borderId="153" xfId="5" applyNumberFormat="1" applyFont="1" applyBorder="1" applyAlignment="1">
      <alignment horizontal="right" vertical="center"/>
    </xf>
    <xf numFmtId="165" fontId="24" fillId="0" borderId="154" xfId="5" applyNumberFormat="1" applyFont="1" applyBorder="1" applyAlignment="1">
      <alignment vertical="center"/>
    </xf>
    <xf numFmtId="165" fontId="24" fillId="0" borderId="149" xfId="5" applyNumberFormat="1" applyFont="1" applyBorder="1" applyAlignment="1">
      <alignment vertical="center"/>
    </xf>
    <xf numFmtId="165" fontId="24" fillId="0" borderId="155" xfId="5" applyNumberFormat="1" applyFont="1" applyBorder="1" applyAlignment="1" applyProtection="1">
      <alignment vertical="center"/>
      <protection locked="0"/>
    </xf>
    <xf numFmtId="165" fontId="24" fillId="0" borderId="150" xfId="5" applyNumberFormat="1" applyFont="1" applyBorder="1" applyAlignment="1" applyProtection="1">
      <alignment vertical="center"/>
      <protection locked="0"/>
    </xf>
    <xf numFmtId="0" fontId="23" fillId="0" borderId="148" xfId="3" applyFont="1" applyBorder="1" applyAlignment="1" applyProtection="1">
      <alignment vertical="center"/>
      <protection locked="0"/>
    </xf>
    <xf numFmtId="165" fontId="24" fillId="0" borderId="15" xfId="3" applyNumberFormat="1" applyFont="1" applyBorder="1" applyAlignment="1">
      <alignment horizontal="right" vertical="center"/>
    </xf>
    <xf numFmtId="165" fontId="24" fillId="0" borderId="156" xfId="3" applyNumberFormat="1" applyFont="1" applyBorder="1" applyAlignment="1">
      <alignment horizontal="right" vertical="center"/>
    </xf>
    <xf numFmtId="165" fontId="24" fillId="0" borderId="151" xfId="7" applyNumberFormat="1" applyFont="1" applyBorder="1" applyAlignment="1" applyProtection="1">
      <alignment horizontal="right" vertical="center"/>
      <protection locked="0"/>
    </xf>
    <xf numFmtId="165" fontId="24" fillId="0" borderId="152" xfId="7" applyNumberFormat="1" applyFont="1" applyBorder="1" applyAlignment="1" applyProtection="1">
      <alignment horizontal="right" vertical="center"/>
      <protection locked="0"/>
    </xf>
    <xf numFmtId="165" fontId="24" fillId="0" borderId="152" xfId="7" applyNumberFormat="1" applyFont="1" applyBorder="1" applyAlignment="1">
      <alignment horizontal="right" vertical="center"/>
    </xf>
    <xf numFmtId="165" fontId="24" fillId="0" borderId="153" xfId="7" applyNumberFormat="1" applyFont="1" applyBorder="1" applyAlignment="1">
      <alignment horizontal="right" vertical="center"/>
    </xf>
    <xf numFmtId="41" fontId="23" fillId="0" borderId="149" xfId="3" applyNumberFormat="1" applyFont="1" applyBorder="1" applyAlignment="1" applyProtection="1">
      <alignment horizontal="right" vertical="center"/>
      <protection locked="0"/>
    </xf>
    <xf numFmtId="41" fontId="24" fillId="0" borderId="149" xfId="3" applyNumberFormat="1" applyFont="1" applyBorder="1" applyAlignment="1">
      <alignment horizontal="right" vertical="center"/>
    </xf>
    <xf numFmtId="41" fontId="24" fillId="0" borderId="150" xfId="3" applyNumberFormat="1" applyFont="1" applyBorder="1" applyAlignment="1">
      <alignment horizontal="right" vertical="center"/>
    </xf>
    <xf numFmtId="41" fontId="24" fillId="0" borderId="15" xfId="3" applyNumberFormat="1" applyFont="1" applyBorder="1" applyAlignment="1">
      <alignment horizontal="right" vertical="center"/>
    </xf>
    <xf numFmtId="41" fontId="24" fillId="0" borderId="156" xfId="3" applyNumberFormat="1" applyFont="1" applyBorder="1" applyAlignment="1">
      <alignment horizontal="right" vertical="center"/>
    </xf>
    <xf numFmtId="41" fontId="24" fillId="0" borderId="154" xfId="3" applyNumberFormat="1" applyFont="1" applyBorder="1" applyAlignment="1">
      <alignment vertical="center"/>
    </xf>
    <xf numFmtId="41" fontId="24" fillId="0" borderId="149" xfId="3" applyNumberFormat="1" applyFont="1" applyBorder="1" applyAlignment="1">
      <alignment vertical="center"/>
    </xf>
    <xf numFmtId="41" fontId="24" fillId="0" borderId="155" xfId="3" applyNumberFormat="1" applyFont="1" applyBorder="1" applyAlignment="1" applyProtection="1">
      <alignment vertical="center"/>
      <protection locked="0"/>
    </xf>
    <xf numFmtId="41" fontId="24" fillId="0" borderId="150" xfId="3" applyNumberFormat="1" applyFont="1" applyBorder="1" applyAlignment="1" applyProtection="1">
      <alignment vertical="center"/>
      <protection locked="0"/>
    </xf>
    <xf numFmtId="165" fontId="24" fillId="0" borderId="151" xfId="8" applyNumberFormat="1" applyFont="1" applyBorder="1" applyAlignment="1" applyProtection="1">
      <alignment horizontal="right" vertical="center"/>
      <protection locked="0"/>
    </xf>
    <xf numFmtId="165" fontId="24" fillId="0" borderId="152" xfId="8" applyNumberFormat="1" applyFont="1" applyBorder="1" applyAlignment="1" applyProtection="1">
      <alignment horizontal="right" vertical="center"/>
      <protection locked="0"/>
    </xf>
    <xf numFmtId="165" fontId="24" fillId="0" borderId="152" xfId="8" applyNumberFormat="1" applyFont="1" applyBorder="1" applyAlignment="1">
      <alignment horizontal="right" vertical="center"/>
    </xf>
    <xf numFmtId="165" fontId="24" fillId="0" borderId="153" xfId="8" applyNumberFormat="1" applyFont="1" applyBorder="1" applyAlignment="1">
      <alignment horizontal="right" vertical="center"/>
    </xf>
    <xf numFmtId="165" fontId="24" fillId="0" borderId="151" xfId="9" applyNumberFormat="1" applyFont="1" applyBorder="1" applyAlignment="1" applyProtection="1">
      <alignment horizontal="right" vertical="center"/>
      <protection locked="0"/>
    </xf>
    <xf numFmtId="165" fontId="24" fillId="0" borderId="152" xfId="9" applyNumberFormat="1" applyFont="1" applyBorder="1" applyAlignment="1" applyProtection="1">
      <alignment horizontal="right" vertical="center"/>
      <protection locked="0"/>
    </xf>
    <xf numFmtId="165" fontId="24" fillId="0" borderId="152" xfId="9" applyNumberFormat="1" applyFont="1" applyBorder="1" applyAlignment="1">
      <alignment horizontal="right" vertical="center"/>
    </xf>
    <xf numFmtId="165" fontId="24" fillId="0" borderId="153" xfId="9" applyNumberFormat="1" applyFont="1" applyBorder="1" applyAlignment="1">
      <alignment horizontal="right" vertical="center"/>
    </xf>
    <xf numFmtId="0" fontId="23" fillId="0" borderId="157" xfId="3" applyFont="1" applyBorder="1" applyAlignment="1" applyProtection="1">
      <alignment vertical="center"/>
      <protection locked="0"/>
    </xf>
    <xf numFmtId="41" fontId="23" fillId="0" borderId="158" xfId="3" applyNumberFormat="1" applyFont="1" applyBorder="1" applyAlignment="1" applyProtection="1">
      <alignment horizontal="right" vertical="center"/>
      <protection locked="0"/>
    </xf>
    <xf numFmtId="41" fontId="23" fillId="0" borderId="158" xfId="3" applyNumberFormat="1" applyFont="1" applyBorder="1" applyAlignment="1">
      <alignment horizontal="right" vertical="center"/>
    </xf>
    <xf numFmtId="41" fontId="24" fillId="0" borderId="159" xfId="3" applyNumberFormat="1" applyFont="1" applyBorder="1" applyAlignment="1">
      <alignment horizontal="right" vertical="center"/>
    </xf>
    <xf numFmtId="41" fontId="24" fillId="0" borderId="160" xfId="3" applyNumberFormat="1" applyFont="1" applyBorder="1" applyAlignment="1">
      <alignment horizontal="right" vertical="center"/>
    </xf>
    <xf numFmtId="41" fontId="24" fillId="0" borderId="158" xfId="3" applyNumberFormat="1" applyFont="1" applyBorder="1" applyAlignment="1">
      <alignment horizontal="right" vertical="center"/>
    </xf>
    <xf numFmtId="41" fontId="24" fillId="0" borderId="161" xfId="3" applyNumberFormat="1" applyFont="1" applyBorder="1" applyAlignment="1">
      <alignment horizontal="right" vertical="center"/>
    </xf>
    <xf numFmtId="41" fontId="24" fillId="0" borderId="162" xfId="3" applyNumberFormat="1" applyFont="1" applyBorder="1" applyAlignment="1">
      <alignment vertical="center"/>
    </xf>
    <xf numFmtId="41" fontId="24" fillId="0" borderId="158" xfId="3" applyNumberFormat="1" applyFont="1" applyBorder="1" applyAlignment="1">
      <alignment vertical="center"/>
    </xf>
    <xf numFmtId="41" fontId="24" fillId="0" borderId="163" xfId="3" applyNumberFormat="1" applyFont="1" applyBorder="1" applyAlignment="1" applyProtection="1">
      <alignment vertical="center"/>
      <protection locked="0"/>
    </xf>
    <xf numFmtId="41" fontId="24" fillId="0" borderId="159" xfId="3" applyNumberFormat="1" applyFont="1" applyBorder="1" applyAlignment="1" applyProtection="1">
      <alignment vertical="center"/>
      <protection locked="0"/>
    </xf>
    <xf numFmtId="0" fontId="14" fillId="0" borderId="136" xfId="3" applyFont="1" applyBorder="1" applyAlignment="1" applyProtection="1">
      <alignment vertical="center"/>
      <protection locked="0"/>
    </xf>
    <xf numFmtId="0" fontId="23" fillId="0" borderId="137" xfId="3" applyFont="1" applyBorder="1" applyAlignment="1">
      <alignment horizontal="right" vertical="center"/>
    </xf>
    <xf numFmtId="0" fontId="24" fillId="0" borderId="140" xfId="3" applyFont="1" applyBorder="1" applyAlignment="1">
      <alignment vertical="center"/>
    </xf>
    <xf numFmtId="0" fontId="24" fillId="0" borderId="137" xfId="3" applyFont="1" applyBorder="1" applyAlignment="1">
      <alignment vertical="center"/>
    </xf>
    <xf numFmtId="0" fontId="24" fillId="0" borderId="141" xfId="3" applyFont="1" applyBorder="1" applyAlignment="1" applyProtection="1">
      <alignment vertical="center"/>
      <protection locked="0"/>
    </xf>
    <xf numFmtId="0" fontId="24" fillId="0" borderId="138" xfId="3" applyFont="1" applyBorder="1" applyAlignment="1" applyProtection="1">
      <alignment vertical="center"/>
      <protection locked="0"/>
    </xf>
    <xf numFmtId="0" fontId="24" fillId="0" borderId="142" xfId="3" applyFont="1" applyBorder="1" applyAlignment="1" applyProtection="1">
      <alignment vertical="center"/>
      <protection locked="0"/>
    </xf>
    <xf numFmtId="167" fontId="23" fillId="0" borderId="143" xfId="3" applyNumberFormat="1" applyFont="1" applyBorder="1" applyAlignment="1" applyProtection="1">
      <alignment horizontal="right" vertical="center"/>
      <protection locked="0"/>
    </xf>
    <xf numFmtId="167" fontId="24" fillId="0" borderId="143" xfId="3" applyNumberFormat="1" applyFont="1" applyBorder="1" applyAlignment="1">
      <alignment horizontal="right" vertical="center"/>
    </xf>
    <xf numFmtId="167" fontId="24" fillId="0" borderId="144" xfId="3" applyNumberFormat="1" applyFont="1" applyBorder="1" applyAlignment="1">
      <alignment horizontal="right" vertical="center"/>
    </xf>
    <xf numFmtId="167" fontId="24" fillId="0" borderId="18" xfId="3" applyNumberFormat="1" applyFont="1" applyBorder="1" applyAlignment="1">
      <alignment horizontal="right" vertical="center"/>
    </xf>
    <xf numFmtId="167" fontId="24" fillId="0" borderId="145" xfId="3" applyNumberFormat="1" applyFont="1" applyBorder="1" applyAlignment="1">
      <alignment horizontal="right" vertical="center"/>
    </xf>
    <xf numFmtId="167" fontId="24" fillId="0" borderId="146" xfId="3" applyNumberFormat="1" applyFont="1" applyBorder="1" applyAlignment="1">
      <alignment vertical="center"/>
    </xf>
    <xf numFmtId="167" fontId="24" fillId="0" borderId="143" xfId="3" applyNumberFormat="1" applyFont="1" applyBorder="1" applyAlignment="1">
      <alignment vertical="center"/>
    </xf>
    <xf numFmtId="167" fontId="24" fillId="0" borderId="147" xfId="3" applyNumberFormat="1" applyFont="1" applyBorder="1" applyAlignment="1" applyProtection="1">
      <alignment horizontal="right" vertical="center"/>
      <protection locked="0"/>
    </xf>
    <xf numFmtId="167" fontId="24" fillId="0" borderId="144" xfId="3" applyNumberFormat="1" applyFont="1" applyBorder="1" applyAlignment="1" applyProtection="1">
      <alignment horizontal="right" vertical="center"/>
      <protection locked="0"/>
    </xf>
    <xf numFmtId="167" fontId="23" fillId="0" borderId="149" xfId="3" applyNumberFormat="1" applyFont="1" applyBorder="1" applyAlignment="1" applyProtection="1">
      <alignment horizontal="right" vertical="center"/>
      <protection locked="0"/>
    </xf>
    <xf numFmtId="167" fontId="24" fillId="0" borderId="149" xfId="3" applyNumberFormat="1" applyFont="1" applyBorder="1" applyAlignment="1">
      <alignment horizontal="right" vertical="center"/>
    </xf>
    <xf numFmtId="167" fontId="24" fillId="0" borderId="150" xfId="3" applyNumberFormat="1" applyFont="1" applyBorder="1" applyAlignment="1">
      <alignment horizontal="right" vertical="center"/>
    </xf>
    <xf numFmtId="167" fontId="24" fillId="0" borderId="15" xfId="3" applyNumberFormat="1" applyFont="1" applyBorder="1" applyAlignment="1">
      <alignment horizontal="right" vertical="center"/>
    </xf>
    <xf numFmtId="167" fontId="24" fillId="0" borderId="156" xfId="3" applyNumberFormat="1" applyFont="1" applyBorder="1" applyAlignment="1">
      <alignment horizontal="right" vertical="center"/>
    </xf>
    <xf numFmtId="167" fontId="24" fillId="0" borderId="154" xfId="3" applyNumberFormat="1" applyFont="1" applyBorder="1" applyAlignment="1">
      <alignment vertical="center"/>
    </xf>
    <xf numFmtId="167" fontId="24" fillId="0" borderId="149" xfId="3" applyNumberFormat="1" applyFont="1" applyBorder="1" applyAlignment="1">
      <alignment vertical="center"/>
    </xf>
    <xf numFmtId="167" fontId="24" fillId="0" borderId="155" xfId="3" applyNumberFormat="1" applyFont="1" applyBorder="1" applyAlignment="1" applyProtection="1">
      <alignment horizontal="right" vertical="center"/>
      <protection locked="0"/>
    </xf>
    <xf numFmtId="167" fontId="24" fillId="0" borderId="150" xfId="3" applyNumberFormat="1" applyFont="1" applyBorder="1" applyAlignment="1" applyProtection="1">
      <alignment vertical="center"/>
      <protection locked="0"/>
    </xf>
    <xf numFmtId="170" fontId="23" fillId="0" borderId="149" xfId="3" applyNumberFormat="1" applyFont="1" applyBorder="1" applyAlignment="1" applyProtection="1">
      <alignment horizontal="right" vertical="center"/>
      <protection locked="0"/>
    </xf>
    <xf numFmtId="170" fontId="24" fillId="0" borderId="149" xfId="3" applyNumberFormat="1" applyFont="1" applyBorder="1" applyAlignment="1">
      <alignment horizontal="right" vertical="center"/>
    </xf>
    <xf numFmtId="170" fontId="24" fillId="0" borderId="150" xfId="3" applyNumberFormat="1" applyFont="1" applyBorder="1" applyAlignment="1">
      <alignment horizontal="right" vertical="center"/>
    </xf>
    <xf numFmtId="170" fontId="24" fillId="0" borderId="15" xfId="3" applyNumberFormat="1" applyFont="1" applyBorder="1" applyAlignment="1">
      <alignment horizontal="right" vertical="center"/>
    </xf>
    <xf numFmtId="170" fontId="24" fillId="0" borderId="156" xfId="3" applyNumberFormat="1" applyFont="1" applyBorder="1" applyAlignment="1">
      <alignment horizontal="right" vertical="center"/>
    </xf>
    <xf numFmtId="170" fontId="24" fillId="0" borderId="154" xfId="3" applyNumberFormat="1" applyFont="1" applyBorder="1" applyAlignment="1">
      <alignment vertical="center"/>
    </xf>
    <xf numFmtId="170" fontId="24" fillId="0" borderId="149" xfId="3" applyNumberFormat="1" applyFont="1" applyBorder="1" applyAlignment="1">
      <alignment vertical="center"/>
    </xf>
    <xf numFmtId="167" fontId="24" fillId="0" borderId="150" xfId="3" applyNumberFormat="1" applyFont="1" applyBorder="1" applyAlignment="1" applyProtection="1">
      <alignment horizontal="right" vertical="center"/>
      <protection locked="0"/>
    </xf>
    <xf numFmtId="168" fontId="23" fillId="0" borderId="149" xfId="3" applyNumberFormat="1" applyFont="1" applyBorder="1" applyAlignment="1" applyProtection="1">
      <alignment horizontal="right" vertical="center"/>
      <protection locked="0"/>
    </xf>
    <xf numFmtId="168" fontId="24" fillId="0" borderId="149" xfId="3" applyNumberFormat="1" applyFont="1" applyBorder="1" applyAlignment="1">
      <alignment horizontal="right" vertical="center"/>
    </xf>
    <xf numFmtId="168" fontId="24" fillId="0" borderId="150" xfId="3" applyNumberFormat="1" applyFont="1" applyBorder="1" applyAlignment="1">
      <alignment horizontal="right" vertical="center"/>
    </xf>
    <xf numFmtId="168" fontId="24" fillId="0" borderId="151" xfId="10" applyNumberFormat="1" applyFont="1" applyBorder="1" applyAlignment="1" applyProtection="1">
      <alignment horizontal="right" vertical="center"/>
      <protection locked="0"/>
    </xf>
    <xf numFmtId="168" fontId="24" fillId="0" borderId="152" xfId="10" applyNumberFormat="1" applyFont="1" applyBorder="1" applyAlignment="1" applyProtection="1">
      <alignment horizontal="right" vertical="center"/>
      <protection locked="0"/>
    </xf>
    <xf numFmtId="168" fontId="24" fillId="0" borderId="152" xfId="10" applyNumberFormat="1" applyFont="1" applyBorder="1" applyAlignment="1">
      <alignment horizontal="right" vertical="center"/>
    </xf>
    <xf numFmtId="168" fontId="24" fillId="0" borderId="153" xfId="10" applyNumberFormat="1" applyFont="1" applyBorder="1" applyAlignment="1">
      <alignment horizontal="right" vertical="center"/>
    </xf>
    <xf numFmtId="168" fontId="24" fillId="0" borderId="154" xfId="3" applyNumberFormat="1" applyFont="1" applyBorder="1" applyAlignment="1">
      <alignment vertical="center"/>
    </xf>
    <xf numFmtId="168" fontId="24" fillId="0" borderId="149" xfId="3" applyNumberFormat="1" applyFont="1" applyBorder="1" applyAlignment="1">
      <alignment vertical="center"/>
    </xf>
    <xf numFmtId="168" fontId="24" fillId="0" borderId="155" xfId="3" applyNumberFormat="1" applyFont="1" applyBorder="1" applyAlignment="1" applyProtection="1">
      <alignment horizontal="right" vertical="center"/>
      <protection locked="0"/>
    </xf>
    <xf numFmtId="168" fontId="24" fillId="0" borderId="150" xfId="3" applyNumberFormat="1" applyFont="1" applyBorder="1" applyAlignment="1" applyProtection="1">
      <alignment vertical="center"/>
      <protection locked="0"/>
    </xf>
    <xf numFmtId="167" fontId="24" fillId="0" borderId="15" xfId="3" applyNumberFormat="1" applyFont="1" applyBorder="1" applyAlignment="1">
      <alignment vertical="center"/>
    </xf>
    <xf numFmtId="168" fontId="24" fillId="0" borderId="151" xfId="11" applyNumberFormat="1" applyFont="1" applyBorder="1" applyAlignment="1" applyProtection="1">
      <alignment horizontal="right" vertical="center"/>
      <protection locked="0"/>
    </xf>
    <xf numFmtId="168" fontId="24" fillId="0" borderId="152" xfId="11" applyNumberFormat="1" applyFont="1" applyBorder="1" applyAlignment="1" applyProtection="1">
      <alignment horizontal="right" vertical="center"/>
      <protection locked="0"/>
    </xf>
    <xf numFmtId="168" fontId="24" fillId="0" borderId="152" xfId="11" applyNumberFormat="1" applyFont="1" applyBorder="1" applyAlignment="1">
      <alignment horizontal="right" vertical="center"/>
    </xf>
    <xf numFmtId="168" fontId="24" fillId="0" borderId="153" xfId="11" applyNumberFormat="1" applyFont="1" applyBorder="1" applyAlignment="1">
      <alignment horizontal="right" vertical="center"/>
    </xf>
    <xf numFmtId="0" fontId="23" fillId="0" borderId="148" xfId="3" applyFont="1" applyBorder="1" applyAlignment="1" applyProtection="1">
      <alignment horizontal="left" vertical="center"/>
      <protection locked="0"/>
    </xf>
    <xf numFmtId="169" fontId="23" fillId="0" borderId="149" xfId="3" applyNumberFormat="1" applyFont="1" applyBorder="1" applyAlignment="1" applyProtection="1">
      <alignment horizontal="right" vertical="center"/>
      <protection locked="0"/>
    </xf>
    <xf numFmtId="169" fontId="24" fillId="0" borderId="149" xfId="3" applyNumberFormat="1" applyFont="1" applyBorder="1" applyAlignment="1">
      <alignment horizontal="right" vertical="center"/>
    </xf>
    <xf numFmtId="169" fontId="24" fillId="0" borderId="150" xfId="3" applyNumberFormat="1" applyFont="1" applyBorder="1" applyAlignment="1">
      <alignment horizontal="right" vertical="center"/>
    </xf>
    <xf numFmtId="169" fontId="24" fillId="0" borderId="15" xfId="3" applyNumberFormat="1" applyFont="1" applyBorder="1" applyAlignment="1">
      <alignment horizontal="right" vertical="center"/>
    </xf>
    <xf numFmtId="169" fontId="24" fillId="0" borderId="156" xfId="3" applyNumberFormat="1" applyFont="1" applyBorder="1" applyAlignment="1">
      <alignment horizontal="right" vertical="center"/>
    </xf>
    <xf numFmtId="169" fontId="24" fillId="0" borderId="154" xfId="3" applyNumberFormat="1" applyFont="1" applyBorder="1" applyAlignment="1">
      <alignment vertical="center"/>
    </xf>
    <xf numFmtId="169" fontId="24" fillId="0" borderId="149" xfId="3" applyNumberFormat="1" applyFont="1" applyBorder="1" applyAlignment="1">
      <alignment vertical="center"/>
    </xf>
    <xf numFmtId="169" fontId="24" fillId="0" borderId="155" xfId="3" applyNumberFormat="1" applyFont="1" applyBorder="1" applyAlignment="1" applyProtection="1">
      <alignment horizontal="right" vertical="center"/>
      <protection locked="0"/>
    </xf>
    <xf numFmtId="169" fontId="24" fillId="0" borderId="150" xfId="3" applyNumberFormat="1" applyFont="1" applyBorder="1" applyAlignment="1" applyProtection="1">
      <alignment vertical="center"/>
      <protection locked="0"/>
    </xf>
    <xf numFmtId="168" fontId="24" fillId="0" borderId="151" xfId="12" applyNumberFormat="1" applyFont="1" applyBorder="1" applyAlignment="1" applyProtection="1">
      <alignment horizontal="right" vertical="center"/>
      <protection locked="0"/>
    </xf>
    <xf numFmtId="168" fontId="24" fillId="0" borderId="152" xfId="12" applyNumberFormat="1" applyFont="1" applyBorder="1" applyAlignment="1" applyProtection="1">
      <alignment horizontal="right" vertical="center"/>
      <protection locked="0"/>
    </xf>
    <xf numFmtId="168" fontId="24" fillId="0" borderId="152" xfId="12" applyNumberFormat="1" applyFont="1" applyBorder="1" applyAlignment="1">
      <alignment horizontal="right" vertical="center"/>
    </xf>
    <xf numFmtId="168" fontId="24" fillId="0" borderId="153" xfId="12" applyNumberFormat="1" applyFont="1" applyBorder="1" applyAlignment="1">
      <alignment horizontal="right" vertical="center"/>
    </xf>
    <xf numFmtId="0" fontId="24" fillId="0" borderId="157" xfId="3" applyFont="1" applyBorder="1" applyAlignment="1" applyProtection="1">
      <alignment horizontal="left" vertical="center" indent="1"/>
      <protection locked="0"/>
    </xf>
    <xf numFmtId="168" fontId="23" fillId="0" borderId="158" xfId="3" applyNumberFormat="1" applyFont="1" applyBorder="1" applyAlignment="1" applyProtection="1">
      <alignment horizontal="right" vertical="center"/>
      <protection locked="0"/>
    </xf>
    <xf numFmtId="168" fontId="24" fillId="0" borderId="158" xfId="3" applyNumberFormat="1" applyFont="1" applyBorder="1" applyAlignment="1">
      <alignment horizontal="right" vertical="center"/>
    </xf>
    <xf numFmtId="168" fontId="24" fillId="0" borderId="159" xfId="3" applyNumberFormat="1" applyFont="1" applyBorder="1" applyAlignment="1">
      <alignment horizontal="right" vertical="center"/>
    </xf>
    <xf numFmtId="168" fontId="24" fillId="0" borderId="164" xfId="13" applyNumberFormat="1" applyFont="1" applyBorder="1" applyAlignment="1" applyProtection="1">
      <alignment horizontal="right" vertical="center"/>
      <protection locked="0"/>
    </xf>
    <xf numFmtId="168" fontId="24" fillId="0" borderId="165" xfId="13" applyNumberFormat="1" applyFont="1" applyBorder="1" applyAlignment="1" applyProtection="1">
      <alignment horizontal="right" vertical="center"/>
      <protection locked="0"/>
    </xf>
    <xf numFmtId="168" fontId="24" fillId="0" borderId="165" xfId="13" applyNumberFormat="1" applyFont="1" applyBorder="1" applyAlignment="1">
      <alignment horizontal="right" vertical="center"/>
    </xf>
    <xf numFmtId="168" fontId="24" fillId="0" borderId="166" xfId="13" applyNumberFormat="1" applyFont="1" applyBorder="1" applyAlignment="1">
      <alignment horizontal="right" vertical="center"/>
    </xf>
    <xf numFmtId="168" fontId="24" fillId="0" borderId="162" xfId="3" applyNumberFormat="1" applyFont="1" applyBorder="1" applyAlignment="1">
      <alignment vertical="center"/>
    </xf>
    <xf numFmtId="168" fontId="24" fillId="0" borderId="158" xfId="3" applyNumberFormat="1" applyFont="1" applyBorder="1" applyAlignment="1">
      <alignment vertical="center"/>
    </xf>
    <xf numFmtId="168" fontId="24" fillId="0" borderId="163" xfId="3" applyNumberFormat="1" applyFont="1" applyBorder="1" applyAlignment="1" applyProtection="1">
      <alignment horizontal="right" vertical="center"/>
      <protection locked="0"/>
    </xf>
    <xf numFmtId="168" fontId="24" fillId="0" borderId="159" xfId="3" applyNumberFormat="1" applyFont="1" applyBorder="1" applyAlignment="1" applyProtection="1">
      <alignment vertical="center"/>
      <protection locked="0"/>
    </xf>
    <xf numFmtId="0" fontId="16" fillId="0" borderId="142" xfId="3" applyFont="1" applyBorder="1" applyAlignment="1" applyProtection="1">
      <alignment horizontal="left" vertical="center"/>
      <protection locked="0"/>
    </xf>
    <xf numFmtId="168" fontId="17" fillId="0" borderId="143" xfId="3" applyNumberFormat="1" applyFont="1" applyBorder="1" applyAlignment="1" applyProtection="1">
      <alignment horizontal="right" vertical="center"/>
      <protection locked="0"/>
    </xf>
    <xf numFmtId="168" fontId="16" fillId="0" borderId="143" xfId="3" applyNumberFormat="1" applyFont="1" applyBorder="1" applyAlignment="1">
      <alignment horizontal="right" vertical="center"/>
    </xf>
    <xf numFmtId="168" fontId="16" fillId="0" borderId="144" xfId="3" applyNumberFormat="1" applyFont="1" applyBorder="1" applyAlignment="1">
      <alignment horizontal="right" vertical="center"/>
    </xf>
    <xf numFmtId="168" fontId="16" fillId="0" borderId="167" xfId="14" applyNumberFormat="1" applyFont="1" applyBorder="1" applyAlignment="1" applyProtection="1">
      <alignment horizontal="right" vertical="center"/>
      <protection locked="0"/>
    </xf>
    <xf numFmtId="168" fontId="16" fillId="0" borderId="168" xfId="14" applyNumberFormat="1" applyFont="1" applyBorder="1" applyAlignment="1" applyProtection="1">
      <alignment horizontal="right" vertical="center"/>
      <protection locked="0"/>
    </xf>
    <xf numFmtId="168" fontId="16" fillId="0" borderId="168" xfId="14" applyNumberFormat="1" applyFont="1" applyBorder="1" applyAlignment="1">
      <alignment horizontal="right" vertical="center"/>
    </xf>
    <xf numFmtId="168" fontId="16" fillId="0" borderId="169" xfId="14" applyNumberFormat="1" applyFont="1" applyBorder="1" applyAlignment="1">
      <alignment horizontal="right" vertical="center"/>
    </xf>
    <xf numFmtId="168" fontId="24" fillId="0" borderId="146" xfId="3" applyNumberFormat="1" applyFont="1" applyBorder="1" applyAlignment="1">
      <alignment horizontal="right" vertical="center"/>
    </xf>
    <xf numFmtId="168" fontId="24" fillId="0" borderId="143" xfId="3" applyNumberFormat="1" applyFont="1" applyBorder="1" applyAlignment="1">
      <alignment horizontal="right" vertical="center"/>
    </xf>
    <xf numFmtId="168" fontId="24" fillId="0" borderId="147" xfId="3" applyNumberFormat="1" applyFont="1" applyBorder="1" applyAlignment="1" applyProtection="1">
      <alignment horizontal="right" vertical="center"/>
      <protection locked="0"/>
    </xf>
    <xf numFmtId="168" fontId="24" fillId="0" borderId="144" xfId="3" applyNumberFormat="1" applyFont="1" applyBorder="1" applyAlignment="1" applyProtection="1">
      <alignment horizontal="right" vertical="center"/>
      <protection locked="0"/>
    </xf>
    <xf numFmtId="0" fontId="16" fillId="0" borderId="148" xfId="3" applyFont="1" applyBorder="1" applyAlignment="1" applyProtection="1">
      <alignment horizontal="left" vertical="center"/>
      <protection locked="0"/>
    </xf>
    <xf numFmtId="168" fontId="17" fillId="0" borderId="149" xfId="3" applyNumberFormat="1" applyFont="1" applyBorder="1" applyAlignment="1" applyProtection="1">
      <alignment horizontal="right" vertical="center"/>
      <protection locked="0"/>
    </xf>
    <xf numFmtId="168" fontId="16" fillId="0" borderId="149" xfId="3" applyNumberFormat="1" applyFont="1" applyBorder="1" applyAlignment="1">
      <alignment horizontal="right" vertical="center"/>
    </xf>
    <xf numFmtId="168" fontId="16" fillId="0" borderId="150" xfId="3" applyNumberFormat="1" applyFont="1" applyBorder="1" applyAlignment="1">
      <alignment horizontal="right" vertical="center"/>
    </xf>
    <xf numFmtId="168" fontId="16" fillId="0" borderId="151" xfId="14" applyNumberFormat="1" applyFont="1" applyBorder="1" applyAlignment="1" applyProtection="1">
      <alignment horizontal="right" vertical="center"/>
      <protection locked="0"/>
    </xf>
    <xf numFmtId="168" fontId="16" fillId="0" borderId="152" xfId="14" applyNumberFormat="1" applyFont="1" applyBorder="1" applyAlignment="1" applyProtection="1">
      <alignment horizontal="right" vertical="center"/>
      <protection locked="0"/>
    </xf>
    <xf numFmtId="168" fontId="16" fillId="0" borderId="152" xfId="14" applyNumberFormat="1" applyFont="1" applyBorder="1" applyAlignment="1">
      <alignment horizontal="right" vertical="center"/>
    </xf>
    <xf numFmtId="168" fontId="16" fillId="0" borderId="153" xfId="14" applyNumberFormat="1" applyFont="1" applyBorder="1" applyAlignment="1">
      <alignment horizontal="right" vertical="center"/>
    </xf>
    <xf numFmtId="168" fontId="16" fillId="0" borderId="154" xfId="3" applyNumberFormat="1" applyFont="1" applyBorder="1" applyAlignment="1">
      <alignment horizontal="right" vertical="center"/>
    </xf>
    <xf numFmtId="168" fontId="16" fillId="0" borderId="155" xfId="3" applyNumberFormat="1" applyFont="1" applyBorder="1" applyAlignment="1" applyProtection="1">
      <alignment horizontal="right" vertical="center"/>
      <protection locked="0"/>
    </xf>
    <xf numFmtId="168" fontId="16" fillId="0" borderId="150" xfId="3" applyNumberFormat="1" applyFont="1" applyBorder="1" applyAlignment="1" applyProtection="1">
      <alignment horizontal="right" vertical="center"/>
      <protection locked="0"/>
    </xf>
    <xf numFmtId="0" fontId="16" fillId="0" borderId="148" xfId="3" applyFont="1" applyBorder="1" applyAlignment="1" applyProtection="1">
      <alignment vertical="center"/>
      <protection locked="0"/>
    </xf>
    <xf numFmtId="168" fontId="24" fillId="0" borderId="154" xfId="3" applyNumberFormat="1" applyFont="1" applyBorder="1" applyAlignment="1">
      <alignment horizontal="right" vertical="center"/>
    </xf>
    <xf numFmtId="168" fontId="24" fillId="0" borderId="150" xfId="3" applyNumberFormat="1" applyFont="1" applyBorder="1" applyAlignment="1" applyProtection="1">
      <alignment horizontal="right" vertical="center"/>
      <protection locked="0"/>
    </xf>
    <xf numFmtId="168" fontId="16" fillId="0" borderId="149" xfId="3" applyNumberFormat="1" applyFont="1" applyBorder="1" applyAlignment="1">
      <alignment vertical="center"/>
    </xf>
    <xf numFmtId="0" fontId="17" fillId="0" borderId="148" xfId="3" applyFont="1" applyBorder="1" applyAlignment="1" applyProtection="1">
      <alignment vertical="center"/>
      <protection locked="0"/>
    </xf>
    <xf numFmtId="0" fontId="17" fillId="0" borderId="161" xfId="3" applyFont="1" applyBorder="1" applyAlignment="1" applyProtection="1">
      <alignment vertical="center"/>
      <protection locked="0"/>
    </xf>
    <xf numFmtId="168" fontId="17" fillId="0" borderId="170" xfId="3" applyNumberFormat="1" applyFont="1" applyBorder="1" applyAlignment="1" applyProtection="1">
      <alignment horizontal="right" vertical="center"/>
      <protection locked="0"/>
    </xf>
    <xf numFmtId="168" fontId="16" fillId="0" borderId="170" xfId="3" applyNumberFormat="1" applyFont="1" applyBorder="1" applyAlignment="1">
      <alignment horizontal="right" vertical="center"/>
    </xf>
    <xf numFmtId="168" fontId="16" fillId="0" borderId="161" xfId="3" applyNumberFormat="1" applyFont="1" applyBorder="1" applyAlignment="1">
      <alignment horizontal="right" vertical="center"/>
    </xf>
    <xf numFmtId="168" fontId="16" fillId="0" borderId="171" xfId="14" applyNumberFormat="1" applyFont="1" applyBorder="1" applyAlignment="1" applyProtection="1">
      <alignment horizontal="right" vertical="center"/>
      <protection locked="0"/>
    </xf>
    <xf numFmtId="168" fontId="16" fillId="0" borderId="172" xfId="14" applyNumberFormat="1" applyFont="1" applyBorder="1" applyAlignment="1" applyProtection="1">
      <alignment horizontal="right" vertical="center"/>
      <protection locked="0"/>
    </xf>
    <xf numFmtId="168" fontId="16" fillId="0" borderId="172" xfId="14" applyNumberFormat="1" applyFont="1" applyBorder="1" applyAlignment="1">
      <alignment horizontal="right" vertical="center"/>
    </xf>
    <xf numFmtId="168" fontId="16" fillId="0" borderId="173" xfId="14" applyNumberFormat="1" applyFont="1" applyBorder="1" applyAlignment="1">
      <alignment horizontal="right" vertical="center"/>
    </xf>
    <xf numFmtId="168" fontId="24" fillId="0" borderId="160" xfId="3" applyNumberFormat="1" applyFont="1" applyBorder="1" applyAlignment="1">
      <alignment horizontal="right" vertical="center"/>
    </xf>
    <xf numFmtId="168" fontId="24" fillId="0" borderId="170" xfId="3" applyNumberFormat="1" applyFont="1" applyBorder="1" applyAlignment="1">
      <alignment horizontal="right" vertical="center"/>
    </xf>
    <xf numFmtId="168" fontId="24" fillId="0" borderId="160" xfId="3" applyNumberFormat="1" applyFont="1" applyBorder="1" applyAlignment="1" applyProtection="1">
      <alignment horizontal="right" vertical="center"/>
      <protection locked="0"/>
    </xf>
    <xf numFmtId="168" fontId="24" fillId="0" borderId="161" xfId="3" applyNumberFormat="1" applyFont="1" applyBorder="1" applyAlignment="1" applyProtection="1">
      <alignment horizontal="right" vertical="center"/>
      <protection locked="0"/>
    </xf>
    <xf numFmtId="168" fontId="16" fillId="0" borderId="170" xfId="3" applyNumberFormat="1" applyFont="1" applyBorder="1" applyAlignment="1">
      <alignment vertical="center"/>
    </xf>
    <xf numFmtId="0" fontId="14" fillId="0" borderId="174" xfId="3" applyFont="1" applyBorder="1" applyAlignment="1" applyProtection="1">
      <alignment vertical="center"/>
      <protection locked="0"/>
    </xf>
    <xf numFmtId="0" fontId="23" fillId="0" borderId="175" xfId="3" applyFont="1" applyBorder="1" applyAlignment="1" applyProtection="1">
      <alignment horizontal="right" vertical="center"/>
      <protection locked="0"/>
    </xf>
    <xf numFmtId="0" fontId="23" fillId="0" borderId="175" xfId="3" applyFont="1" applyBorder="1" applyAlignment="1">
      <alignment horizontal="right" vertical="center"/>
    </xf>
    <xf numFmtId="0" fontId="24" fillId="0" borderId="176" xfId="3" applyFont="1" applyBorder="1" applyAlignment="1">
      <alignment vertical="center"/>
    </xf>
    <xf numFmtId="0" fontId="24" fillId="0" borderId="175" xfId="3" applyFont="1" applyBorder="1" applyAlignment="1">
      <alignment horizontal="right" vertical="center"/>
    </xf>
    <xf numFmtId="0" fontId="24" fillId="0" borderId="177" xfId="3" applyFont="1" applyBorder="1" applyAlignment="1">
      <alignment vertical="center"/>
    </xf>
    <xf numFmtId="0" fontId="24" fillId="0" borderId="175" xfId="3" applyFont="1" applyBorder="1" applyAlignment="1">
      <alignment vertical="center"/>
    </xf>
    <xf numFmtId="0" fontId="24" fillId="0" borderId="178" xfId="3" applyFont="1" applyBorder="1" applyAlignment="1" applyProtection="1">
      <alignment vertical="center"/>
      <protection locked="0"/>
    </xf>
    <xf numFmtId="0" fontId="24" fillId="0" borderId="176" xfId="3" applyFont="1" applyBorder="1" applyAlignment="1" applyProtection="1">
      <alignment vertical="center"/>
      <protection locked="0"/>
    </xf>
    <xf numFmtId="165" fontId="17" fillId="0" borderId="149" xfId="3" applyNumberFormat="1" applyFont="1" applyBorder="1" applyAlignment="1" applyProtection="1">
      <alignment horizontal="right" vertical="center"/>
      <protection locked="0"/>
    </xf>
    <xf numFmtId="165" fontId="16" fillId="0" borderId="149" xfId="3" applyNumberFormat="1" applyFont="1" applyBorder="1" applyAlignment="1">
      <alignment horizontal="right" vertical="center"/>
    </xf>
    <xf numFmtId="165" fontId="16" fillId="0" borderId="150" xfId="3" applyNumberFormat="1" applyFont="1" applyBorder="1" applyAlignment="1">
      <alignment vertical="center"/>
    </xf>
    <xf numFmtId="165" fontId="16" fillId="0" borderId="15" xfId="3" applyNumberFormat="1" applyFont="1" applyBorder="1" applyAlignment="1">
      <alignment vertical="center"/>
    </xf>
    <xf numFmtId="165" fontId="16" fillId="0" borderId="149" xfId="3" applyNumberFormat="1" applyFont="1" applyBorder="1" applyAlignment="1">
      <alignment vertical="center"/>
    </xf>
    <xf numFmtId="165" fontId="16" fillId="0" borderId="156" xfId="3" applyNumberFormat="1" applyFont="1" applyBorder="1" applyAlignment="1">
      <alignment vertical="center"/>
    </xf>
    <xf numFmtId="165" fontId="16" fillId="0" borderId="154" xfId="3" applyNumberFormat="1" applyFont="1" applyBorder="1" applyAlignment="1">
      <alignment vertical="center"/>
    </xf>
    <xf numFmtId="41" fontId="24" fillId="8" borderId="179" xfId="3" applyNumberFormat="1" applyFont="1" applyFill="1" applyBorder="1" applyProtection="1">
      <protection locked="0"/>
    </xf>
    <xf numFmtId="41" fontId="24" fillId="8" borderId="180" xfId="3" applyNumberFormat="1" applyFont="1" applyFill="1" applyBorder="1" applyProtection="1">
      <protection locked="0"/>
    </xf>
    <xf numFmtId="41" fontId="24" fillId="8" borderId="181" xfId="3" applyNumberFormat="1" applyFont="1" applyFill="1" applyBorder="1"/>
    <xf numFmtId="0" fontId="16" fillId="0" borderId="156" xfId="3" applyFont="1" applyBorder="1" applyAlignment="1" applyProtection="1">
      <alignment vertical="center"/>
      <protection locked="0"/>
    </xf>
    <xf numFmtId="165" fontId="17" fillId="0" borderId="19" xfId="3" applyNumberFormat="1" applyFont="1" applyBorder="1" applyAlignment="1" applyProtection="1">
      <alignment horizontal="right" vertical="center"/>
      <protection locked="0"/>
    </xf>
    <xf numFmtId="165" fontId="16" fillId="0" borderId="19" xfId="3" applyNumberFormat="1" applyFont="1" applyBorder="1" applyAlignment="1">
      <alignment horizontal="right" vertical="center"/>
    </xf>
    <xf numFmtId="165" fontId="16" fillId="0" borderId="19" xfId="3" applyNumberFormat="1" applyFont="1" applyBorder="1" applyAlignment="1">
      <alignment vertical="center"/>
    </xf>
    <xf numFmtId="41" fontId="24" fillId="8" borderId="182" xfId="3" applyNumberFormat="1" applyFont="1" applyFill="1" applyBorder="1" applyProtection="1">
      <protection locked="0"/>
    </xf>
    <xf numFmtId="41" fontId="24" fillId="8" borderId="183" xfId="3" applyNumberFormat="1" applyFont="1" applyFill="1" applyBorder="1" applyProtection="1">
      <protection locked="0"/>
    </xf>
    <xf numFmtId="41" fontId="24" fillId="8" borderId="0" xfId="3" applyNumberFormat="1" applyFont="1" applyFill="1"/>
    <xf numFmtId="0" fontId="16" fillId="0" borderId="157" xfId="3" applyFont="1" applyBorder="1" applyAlignment="1" applyProtection="1">
      <alignment vertical="center"/>
      <protection locked="0"/>
    </xf>
    <xf numFmtId="165" fontId="17" fillId="0" borderId="158" xfId="3" applyNumberFormat="1" applyFont="1" applyBorder="1" applyAlignment="1" applyProtection="1">
      <alignment horizontal="right" vertical="center"/>
      <protection locked="0"/>
    </xf>
    <xf numFmtId="165" fontId="16" fillId="0" borderId="158" xfId="3" applyNumberFormat="1" applyFont="1" applyBorder="1" applyAlignment="1">
      <alignment horizontal="right" vertical="center"/>
    </xf>
    <xf numFmtId="165" fontId="16" fillId="0" borderId="159" xfId="3" applyNumberFormat="1" applyFont="1" applyBorder="1" applyAlignment="1">
      <alignment vertical="center"/>
    </xf>
    <xf numFmtId="165" fontId="16" fillId="0" borderId="160" xfId="3" applyNumberFormat="1" applyFont="1" applyBorder="1" applyAlignment="1">
      <alignment vertical="center"/>
    </xf>
    <xf numFmtId="165" fontId="16" fillId="0" borderId="158" xfId="3" applyNumberFormat="1" applyFont="1" applyBorder="1" applyAlignment="1">
      <alignment vertical="center"/>
    </xf>
    <xf numFmtId="165" fontId="16" fillId="0" borderId="161" xfId="3" applyNumberFormat="1" applyFont="1" applyBorder="1" applyAlignment="1">
      <alignment vertical="center"/>
    </xf>
    <xf numFmtId="165" fontId="16" fillId="0" borderId="162" xfId="3" applyNumberFormat="1" applyFont="1" applyBorder="1" applyAlignment="1">
      <alignment vertical="center"/>
    </xf>
    <xf numFmtId="41" fontId="24" fillId="8" borderId="184" xfId="3" applyNumberFormat="1" applyFont="1" applyFill="1" applyBorder="1" applyProtection="1">
      <protection locked="0"/>
    </xf>
    <xf numFmtId="41" fontId="24" fillId="8" borderId="185" xfId="3" applyNumberFormat="1" applyFont="1" applyFill="1" applyBorder="1" applyProtection="1">
      <protection locked="0"/>
    </xf>
    <xf numFmtId="41" fontId="24" fillId="8" borderId="135" xfId="3" applyNumberFormat="1" applyFont="1" applyFill="1" applyBorder="1"/>
    <xf numFmtId="0" fontId="30" fillId="0" borderId="20" xfId="3" applyFont="1" applyBorder="1" applyAlignment="1" applyProtection="1">
      <alignment horizontal="left" vertical="center" indent="1"/>
      <protection locked="0"/>
    </xf>
    <xf numFmtId="169" fontId="29" fillId="0" borderId="20" xfId="3" applyNumberFormat="1" applyFont="1" applyBorder="1" applyAlignment="1" applyProtection="1">
      <alignment vertical="center"/>
      <protection locked="0"/>
    </xf>
    <xf numFmtId="169" fontId="30" fillId="0" borderId="20" xfId="3" applyNumberFormat="1" applyFont="1" applyBorder="1" applyAlignment="1" applyProtection="1">
      <alignment vertical="center"/>
      <protection locked="0"/>
    </xf>
    <xf numFmtId="0" fontId="31" fillId="0" borderId="0" xfId="3" quotePrefix="1" applyFont="1" applyAlignment="1" applyProtection="1">
      <alignment horizontal="left" vertical="center"/>
      <protection locked="0"/>
    </xf>
    <xf numFmtId="0" fontId="30" fillId="0" borderId="0" xfId="3" applyFont="1" applyAlignment="1" applyProtection="1">
      <alignment horizontal="left" vertical="center"/>
      <protection locked="0"/>
    </xf>
    <xf numFmtId="0" fontId="23" fillId="6" borderId="187" xfId="3" applyFont="1" applyFill="1" applyBorder="1" applyAlignment="1" applyProtection="1">
      <alignment horizontal="left" vertical="center"/>
      <protection locked="0"/>
    </xf>
    <xf numFmtId="0" fontId="35" fillId="0" borderId="187" xfId="3" applyFont="1" applyBorder="1" applyAlignment="1" applyProtection="1">
      <alignment horizontal="left" vertical="center"/>
      <protection locked="0"/>
    </xf>
    <xf numFmtId="166" fontId="23" fillId="0" borderId="188" xfId="3" applyNumberFormat="1" applyFont="1" applyBorder="1" applyAlignment="1">
      <alignment horizontal="right" vertical="center"/>
    </xf>
    <xf numFmtId="166" fontId="24" fillId="0" borderId="188" xfId="3" applyNumberFormat="1" applyFont="1" applyBorder="1" applyAlignment="1">
      <alignment horizontal="right" vertical="center"/>
    </xf>
    <xf numFmtId="166" fontId="24" fillId="0" borderId="187" xfId="3" applyNumberFormat="1" applyFont="1" applyBorder="1" applyAlignment="1">
      <alignment horizontal="right" vertical="center"/>
    </xf>
    <xf numFmtId="166" fontId="24" fillId="0" borderId="189" xfId="4" applyNumberFormat="1" applyFont="1" applyBorder="1" applyAlignment="1" applyProtection="1">
      <alignment horizontal="right" vertical="center"/>
    </xf>
    <xf numFmtId="166" fontId="24" fillId="0" borderId="188" xfId="4" applyNumberFormat="1" applyFont="1" applyBorder="1" applyAlignment="1" applyProtection="1">
      <alignment horizontal="right" vertical="center"/>
    </xf>
    <xf numFmtId="166" fontId="24" fillId="0" borderId="187" xfId="4" applyNumberFormat="1" applyFont="1" applyBorder="1" applyAlignment="1" applyProtection="1">
      <alignment horizontal="right" vertical="center"/>
    </xf>
    <xf numFmtId="166" fontId="24" fillId="0" borderId="189" xfId="4" applyNumberFormat="1" applyFont="1" applyBorder="1" applyAlignment="1" applyProtection="1">
      <alignment vertical="center"/>
      <protection locked="0"/>
    </xf>
    <xf numFmtId="166" fontId="24" fillId="0" borderId="190" xfId="4" applyNumberFormat="1" applyFont="1" applyBorder="1" applyAlignment="1" applyProtection="1">
      <alignment vertical="center"/>
      <protection locked="0"/>
    </xf>
    <xf numFmtId="166" fontId="24" fillId="0" borderId="188" xfId="4" applyNumberFormat="1" applyFont="1" applyBorder="1" applyAlignment="1" applyProtection="1">
      <alignment vertical="center"/>
    </xf>
    <xf numFmtId="166" fontId="24" fillId="0" borderId="188" xfId="3" applyNumberFormat="1" applyFont="1" applyBorder="1" applyAlignment="1">
      <alignment vertical="center"/>
    </xf>
    <xf numFmtId="0" fontId="14" fillId="0" borderId="191" xfId="3" applyFont="1" applyBorder="1" applyAlignment="1" applyProtection="1">
      <alignment horizontal="left" vertical="center"/>
      <protection locked="0"/>
    </xf>
    <xf numFmtId="41" fontId="23" fillId="0" borderId="192" xfId="3" applyNumberFormat="1" applyFont="1" applyBorder="1" applyAlignment="1">
      <alignment vertical="center"/>
    </xf>
    <xf numFmtId="41" fontId="24" fillId="0" borderId="192" xfId="3" applyNumberFormat="1" applyFont="1" applyBorder="1" applyAlignment="1">
      <alignment vertical="center"/>
    </xf>
    <xf numFmtId="41" fontId="24" fillId="0" borderId="191" xfId="3" applyNumberFormat="1" applyFont="1" applyBorder="1" applyAlignment="1">
      <alignment horizontal="right" vertical="center"/>
    </xf>
    <xf numFmtId="171" fontId="24" fillId="0" borderId="193" xfId="4" applyNumberFormat="1" applyFont="1" applyFill="1" applyBorder="1" applyAlignment="1" applyProtection="1">
      <alignment horizontal="left" vertical="center"/>
    </xf>
    <xf numFmtId="171" fontId="24" fillId="0" borderId="192" xfId="4" applyNumberFormat="1" applyFont="1" applyFill="1" applyBorder="1" applyAlignment="1" applyProtection="1">
      <alignment horizontal="left" vertical="center"/>
    </xf>
    <xf numFmtId="171" fontId="24" fillId="0" borderId="191" xfId="4" applyNumberFormat="1" applyFont="1" applyFill="1" applyBorder="1" applyAlignment="1" applyProtection="1">
      <alignment horizontal="left" vertical="center"/>
    </xf>
    <xf numFmtId="0" fontId="24" fillId="0" borderId="193" xfId="4" applyNumberFormat="1" applyFont="1" applyFill="1" applyBorder="1" applyAlignment="1" applyProtection="1">
      <alignment horizontal="left" vertical="center"/>
    </xf>
    <xf numFmtId="171" fontId="24" fillId="0" borderId="193" xfId="4" applyNumberFormat="1" applyFont="1" applyFill="1" applyBorder="1" applyAlignment="1" applyProtection="1">
      <alignment vertical="center"/>
      <protection locked="0"/>
    </xf>
    <xf numFmtId="171" fontId="24" fillId="0" borderId="191" xfId="4" applyNumberFormat="1" applyFont="1" applyFill="1" applyBorder="1" applyAlignment="1" applyProtection="1">
      <alignment vertical="center"/>
      <protection locked="0"/>
    </xf>
    <xf numFmtId="171" fontId="24" fillId="0" borderId="192" xfId="4" applyNumberFormat="1" applyFont="1" applyFill="1" applyBorder="1" applyAlignment="1" applyProtection="1">
      <alignment vertical="center"/>
    </xf>
    <xf numFmtId="0" fontId="24" fillId="0" borderId="194" xfId="3" applyFont="1" applyBorder="1" applyAlignment="1" applyProtection="1">
      <alignment horizontal="left" vertical="center"/>
      <protection locked="0"/>
    </xf>
    <xf numFmtId="165" fontId="23" fillId="0" borderId="195" xfId="3" applyNumberFormat="1" applyFont="1" applyBorder="1" applyAlignment="1">
      <alignment horizontal="right" vertical="center"/>
    </xf>
    <xf numFmtId="165" fontId="24" fillId="0" borderId="195" xfId="3" applyNumberFormat="1" applyFont="1" applyBorder="1" applyAlignment="1">
      <alignment horizontal="right" vertical="center"/>
    </xf>
    <xf numFmtId="165" fontId="24" fillId="0" borderId="194" xfId="3" quotePrefix="1" applyNumberFormat="1" applyFont="1" applyBorder="1" applyAlignment="1">
      <alignment horizontal="right" vertical="center"/>
    </xf>
    <xf numFmtId="165" fontId="24" fillId="0" borderId="196" xfId="3" applyNumberFormat="1" applyFont="1" applyBorder="1" applyAlignment="1" applyProtection="1">
      <alignment horizontal="right" vertical="center"/>
      <protection locked="0"/>
    </xf>
    <xf numFmtId="165" fontId="24" fillId="0" borderId="197" xfId="3" applyNumberFormat="1" applyFont="1" applyBorder="1" applyAlignment="1">
      <alignment horizontal="right" vertical="center"/>
    </xf>
    <xf numFmtId="165" fontId="24" fillId="0" borderId="198" xfId="3" quotePrefix="1" applyNumberFormat="1" applyFont="1" applyBorder="1" applyAlignment="1">
      <alignment horizontal="right" vertical="center"/>
    </xf>
    <xf numFmtId="165" fontId="24" fillId="0" borderId="199" xfId="3" applyNumberFormat="1" applyFont="1" applyBorder="1" applyAlignment="1">
      <alignment vertical="center"/>
    </xf>
    <xf numFmtId="165" fontId="24" fillId="0" borderId="195" xfId="3" applyNumberFormat="1" applyFont="1" applyBorder="1" applyAlignment="1">
      <alignment vertical="center"/>
    </xf>
    <xf numFmtId="165" fontId="24" fillId="0" borderId="199" xfId="4" applyNumberFormat="1" applyFont="1" applyFill="1" applyBorder="1" applyAlignment="1" applyProtection="1">
      <alignment vertical="center"/>
      <protection locked="0"/>
    </xf>
    <xf numFmtId="165" fontId="24" fillId="0" borderId="200" xfId="4" applyNumberFormat="1" applyFont="1" applyFill="1" applyBorder="1" applyAlignment="1" applyProtection="1">
      <alignment vertical="center"/>
      <protection locked="0"/>
    </xf>
    <xf numFmtId="165" fontId="24" fillId="0" borderId="195" xfId="4" applyNumberFormat="1" applyFont="1" applyFill="1" applyBorder="1" applyAlignment="1" applyProtection="1">
      <alignment vertical="center"/>
    </xf>
    <xf numFmtId="0" fontId="24" fillId="0" borderId="201" xfId="15" applyFont="1" applyBorder="1" applyAlignment="1" applyProtection="1">
      <alignment horizontal="left" vertical="center" indent="1"/>
      <protection locked="0"/>
    </xf>
    <xf numFmtId="165" fontId="23" fillId="0" borderId="195" xfId="16" applyNumberFormat="1" applyFont="1" applyBorder="1" applyAlignment="1">
      <alignment horizontal="right" vertical="center"/>
    </xf>
    <xf numFmtId="165" fontId="24" fillId="0" borderId="195" xfId="16" applyNumberFormat="1" applyFont="1" applyBorder="1" applyAlignment="1">
      <alignment horizontal="right" vertical="center"/>
    </xf>
    <xf numFmtId="165" fontId="24" fillId="0" borderId="194" xfId="16" quotePrefix="1" applyNumberFormat="1" applyFont="1" applyBorder="1" applyAlignment="1">
      <alignment horizontal="right" vertical="center"/>
    </xf>
    <xf numFmtId="165" fontId="24" fillId="0" borderId="199" xfId="16" applyNumberFormat="1" applyFont="1" applyBorder="1" applyAlignment="1">
      <alignment vertical="center"/>
    </xf>
    <xf numFmtId="165" fontId="24" fillId="0" borderId="195" xfId="16" applyNumberFormat="1" applyFont="1" applyBorder="1" applyAlignment="1">
      <alignment vertical="center"/>
    </xf>
    <xf numFmtId="165" fontId="24" fillId="0" borderId="200" xfId="17" applyNumberFormat="1" applyFont="1" applyFill="1" applyBorder="1" applyAlignment="1" applyProtection="1">
      <alignment vertical="center"/>
      <protection locked="0"/>
    </xf>
    <xf numFmtId="165" fontId="24" fillId="0" borderId="195" xfId="17" applyNumberFormat="1" applyFont="1" applyFill="1" applyBorder="1" applyAlignment="1" applyProtection="1">
      <alignment vertical="center"/>
    </xf>
    <xf numFmtId="0" fontId="23" fillId="0" borderId="194" xfId="3" applyFont="1" applyBorder="1" applyAlignment="1" applyProtection="1">
      <alignment horizontal="left" vertical="center"/>
      <protection locked="0"/>
    </xf>
    <xf numFmtId="165" fontId="24" fillId="0" borderId="194" xfId="3" applyNumberFormat="1" applyFont="1" applyBorder="1" applyAlignment="1">
      <alignment horizontal="right" vertical="center"/>
    </xf>
    <xf numFmtId="165" fontId="24" fillId="0" borderId="198" xfId="3" applyNumberFormat="1" applyFont="1" applyBorder="1" applyAlignment="1">
      <alignment horizontal="right" vertical="center"/>
    </xf>
    <xf numFmtId="165" fontId="24" fillId="0" borderId="199" xfId="3" applyNumberFormat="1" applyFont="1" applyBorder="1" applyAlignment="1" applyProtection="1">
      <alignment vertical="center"/>
      <protection locked="0"/>
    </xf>
    <xf numFmtId="165" fontId="24" fillId="0" borderId="200" xfId="3" applyNumberFormat="1" applyFont="1" applyBorder="1" applyAlignment="1" applyProtection="1">
      <alignment vertical="center"/>
      <protection locked="0"/>
    </xf>
    <xf numFmtId="0" fontId="14" fillId="0" borderId="187" xfId="3" applyFont="1" applyBorder="1" applyAlignment="1" applyProtection="1">
      <alignment horizontal="left" vertical="center"/>
      <protection locked="0"/>
    </xf>
    <xf numFmtId="41" fontId="23" fillId="0" borderId="188" xfId="3" applyNumberFormat="1" applyFont="1" applyBorder="1" applyAlignment="1">
      <alignment vertical="center"/>
    </xf>
    <xf numFmtId="41" fontId="24" fillId="0" borderId="188" xfId="3" applyNumberFormat="1" applyFont="1" applyBorder="1" applyAlignment="1">
      <alignment vertical="center"/>
    </xf>
    <xf numFmtId="41" fontId="24" fillId="0" borderId="187" xfId="3" applyNumberFormat="1" applyFont="1" applyBorder="1" applyAlignment="1">
      <alignment horizontal="right" vertical="center"/>
    </xf>
    <xf numFmtId="41" fontId="24" fillId="0" borderId="189" xfId="3" applyNumberFormat="1" applyFont="1" applyBorder="1" applyAlignment="1">
      <alignment vertical="center"/>
    </xf>
    <xf numFmtId="41" fontId="24" fillId="0" borderId="187" xfId="3" applyNumberFormat="1" applyFont="1" applyBorder="1" applyAlignment="1">
      <alignment vertical="center"/>
    </xf>
    <xf numFmtId="0" fontId="24" fillId="0" borderId="189" xfId="3" applyFont="1" applyBorder="1" applyAlignment="1">
      <alignment vertical="center"/>
    </xf>
    <xf numFmtId="41" fontId="24" fillId="0" borderId="189" xfId="4" applyNumberFormat="1" applyFont="1" applyFill="1" applyBorder="1" applyAlignment="1" applyProtection="1">
      <alignment vertical="center"/>
      <protection locked="0"/>
    </xf>
    <xf numFmtId="41" fontId="24" fillId="0" borderId="190" xfId="4" applyNumberFormat="1" applyFont="1" applyFill="1" applyBorder="1" applyAlignment="1" applyProtection="1">
      <alignment vertical="center"/>
      <protection locked="0"/>
    </xf>
    <xf numFmtId="41" fontId="24" fillId="0" borderId="188" xfId="4" applyNumberFormat="1" applyFont="1" applyFill="1" applyBorder="1" applyAlignment="1" applyProtection="1">
      <alignment vertical="center"/>
    </xf>
    <xf numFmtId="0" fontId="24" fillId="0" borderId="191" xfId="3" applyFont="1" applyBorder="1" applyAlignment="1" applyProtection="1">
      <alignment horizontal="left" vertical="center"/>
      <protection locked="0"/>
    </xf>
    <xf numFmtId="167" fontId="23" fillId="0" borderId="192" xfId="3" applyNumberFormat="1" applyFont="1" applyBorder="1" applyAlignment="1">
      <alignment horizontal="right" vertical="center"/>
    </xf>
    <xf numFmtId="167" fontId="24" fillId="0" borderId="192" xfId="3" applyNumberFormat="1" applyFont="1" applyBorder="1" applyAlignment="1">
      <alignment horizontal="right" vertical="center"/>
    </xf>
    <xf numFmtId="167" fontId="24" fillId="0" borderId="191" xfId="3" applyNumberFormat="1" applyFont="1" applyBorder="1" applyAlignment="1">
      <alignment horizontal="right" vertical="center"/>
    </xf>
    <xf numFmtId="167" fontId="24" fillId="0" borderId="193" xfId="3" applyNumberFormat="1" applyFont="1" applyBorder="1" applyAlignment="1">
      <alignment vertical="center"/>
    </xf>
    <xf numFmtId="167" fontId="24" fillId="0" borderId="192" xfId="3" applyNumberFormat="1" applyFont="1" applyBorder="1" applyAlignment="1">
      <alignment vertical="center"/>
    </xf>
    <xf numFmtId="167" fontId="24" fillId="0" borderId="193" xfId="4" applyNumberFormat="1" applyFont="1" applyFill="1" applyBorder="1" applyAlignment="1" applyProtection="1">
      <alignment horizontal="right" vertical="center"/>
      <protection locked="0"/>
    </xf>
    <xf numFmtId="167" fontId="24" fillId="0" borderId="191" xfId="4" applyNumberFormat="1" applyFont="1" applyFill="1" applyBorder="1" applyAlignment="1" applyProtection="1">
      <alignment horizontal="right" vertical="center"/>
      <protection locked="0"/>
    </xf>
    <xf numFmtId="167" fontId="24" fillId="0" borderId="192" xfId="4" applyNumberFormat="1" applyFont="1" applyFill="1" applyBorder="1" applyAlignment="1" applyProtection="1">
      <alignment vertical="center"/>
    </xf>
    <xf numFmtId="0" fontId="24" fillId="0" borderId="202" xfId="3" applyFont="1" applyBorder="1" applyAlignment="1" applyProtection="1">
      <alignment horizontal="left" vertical="center"/>
      <protection locked="0"/>
    </xf>
    <xf numFmtId="167" fontId="23" fillId="0" borderId="203" xfId="3" applyNumberFormat="1" applyFont="1" applyBorder="1" applyAlignment="1">
      <alignment horizontal="right" vertical="center"/>
    </xf>
    <xf numFmtId="167" fontId="24" fillId="0" borderId="203" xfId="3" applyNumberFormat="1" applyFont="1" applyBorder="1" applyAlignment="1">
      <alignment horizontal="right" vertical="center"/>
    </xf>
    <xf numFmtId="167" fontId="24" fillId="0" borderId="202" xfId="3" applyNumberFormat="1" applyFont="1" applyBorder="1" applyAlignment="1">
      <alignment horizontal="right" vertical="center"/>
    </xf>
    <xf numFmtId="167" fontId="24" fillId="0" borderId="204" xfId="3" applyNumberFormat="1" applyFont="1" applyBorder="1" applyAlignment="1">
      <alignment vertical="center"/>
    </xf>
    <xf numFmtId="167" fontId="24" fillId="0" borderId="203" xfId="3" applyNumberFormat="1" applyFont="1" applyBorder="1" applyAlignment="1">
      <alignment vertical="center"/>
    </xf>
    <xf numFmtId="167" fontId="24" fillId="0" borderId="204" xfId="4" applyNumberFormat="1" applyFont="1" applyFill="1" applyBorder="1" applyAlignment="1" applyProtection="1">
      <alignment horizontal="right" vertical="center"/>
      <protection locked="0"/>
    </xf>
    <xf numFmtId="167" fontId="24" fillId="0" borderId="202" xfId="4" applyNumberFormat="1" applyFont="1" applyFill="1" applyBorder="1" applyAlignment="1" applyProtection="1">
      <alignment horizontal="right" vertical="center"/>
      <protection locked="0"/>
    </xf>
    <xf numFmtId="167" fontId="24" fillId="0" borderId="203" xfId="4" applyNumberFormat="1" applyFont="1" applyFill="1" applyBorder="1" applyAlignment="1" applyProtection="1">
      <alignment vertical="center"/>
    </xf>
    <xf numFmtId="0" fontId="23" fillId="0" borderId="202" xfId="3" applyFont="1" applyBorder="1" applyAlignment="1" applyProtection="1">
      <alignment horizontal="left" vertical="center"/>
      <protection locked="0"/>
    </xf>
    <xf numFmtId="170" fontId="23" fillId="0" borderId="203" xfId="3" applyNumberFormat="1" applyFont="1" applyBorder="1" applyAlignment="1">
      <alignment vertical="center"/>
    </xf>
    <xf numFmtId="170" fontId="24" fillId="0" borderId="203" xfId="3" applyNumberFormat="1" applyFont="1" applyBorder="1" applyAlignment="1">
      <alignment vertical="center"/>
    </xf>
    <xf numFmtId="170" fontId="24" fillId="0" borderId="202" xfId="3" applyNumberFormat="1" applyFont="1" applyBorder="1" applyAlignment="1">
      <alignment horizontal="right" vertical="center"/>
    </xf>
    <xf numFmtId="170" fontId="24" fillId="0" borderId="204" xfId="3" applyNumberFormat="1" applyFont="1" applyBorder="1" applyAlignment="1">
      <alignment vertical="center"/>
    </xf>
    <xf numFmtId="170" fontId="24" fillId="0" borderId="203" xfId="3" applyNumberFormat="1" applyFont="1" applyBorder="1" applyAlignment="1">
      <alignment horizontal="right" vertical="center"/>
    </xf>
    <xf numFmtId="0" fontId="24" fillId="0" borderId="204" xfId="3" applyFont="1" applyBorder="1" applyAlignment="1">
      <alignment vertical="center"/>
    </xf>
    <xf numFmtId="0" fontId="24" fillId="0" borderId="194" xfId="3" applyFont="1" applyBorder="1" applyAlignment="1" applyProtection="1">
      <alignment horizontal="left" vertical="center" indent="1"/>
      <protection locked="0"/>
    </xf>
    <xf numFmtId="168" fontId="23" fillId="0" borderId="195" xfId="3" applyNumberFormat="1" applyFont="1" applyBorder="1" applyAlignment="1">
      <alignment horizontal="right" vertical="center"/>
    </xf>
    <xf numFmtId="168" fontId="24" fillId="0" borderId="195" xfId="3" applyNumberFormat="1" applyFont="1" applyBorder="1" applyAlignment="1">
      <alignment horizontal="right" vertical="center"/>
    </xf>
    <xf numFmtId="168" fontId="24" fillId="0" borderId="194" xfId="3" applyNumberFormat="1" applyFont="1" applyBorder="1" applyAlignment="1">
      <alignment horizontal="right" vertical="center"/>
    </xf>
    <xf numFmtId="168" fontId="24" fillId="0" borderId="196" xfId="3" applyNumberFormat="1" applyFont="1" applyBorder="1" applyAlignment="1" applyProtection="1">
      <alignment horizontal="right" vertical="center"/>
      <protection locked="0"/>
    </xf>
    <xf numFmtId="168" fontId="24" fillId="0" borderId="197" xfId="3" applyNumberFormat="1" applyFont="1" applyBorder="1" applyAlignment="1">
      <alignment horizontal="right" vertical="center"/>
    </xf>
    <xf numFmtId="168" fontId="24" fillId="0" borderId="198" xfId="3" applyNumberFormat="1" applyFont="1" applyBorder="1" applyAlignment="1">
      <alignment horizontal="right" vertical="center"/>
    </xf>
    <xf numFmtId="168" fontId="24" fillId="0" borderId="199" xfId="3" applyNumberFormat="1" applyFont="1" applyBorder="1" applyAlignment="1">
      <alignment vertical="center"/>
    </xf>
    <xf numFmtId="168" fontId="24" fillId="0" borderId="195" xfId="3" applyNumberFormat="1" applyFont="1" applyBorder="1" applyAlignment="1">
      <alignment vertical="center"/>
    </xf>
    <xf numFmtId="168" fontId="24" fillId="0" borderId="199" xfId="4" applyNumberFormat="1" applyFont="1" applyFill="1" applyBorder="1" applyAlignment="1" applyProtection="1">
      <alignment horizontal="right" vertical="center"/>
      <protection locked="0"/>
    </xf>
    <xf numFmtId="168" fontId="24" fillId="0" borderId="200" xfId="4" applyNumberFormat="1" applyFont="1" applyFill="1" applyBorder="1" applyAlignment="1" applyProtection="1">
      <alignment horizontal="right" vertical="center"/>
      <protection locked="0"/>
    </xf>
    <xf numFmtId="168" fontId="24" fillId="0" borderId="195" xfId="4" applyNumberFormat="1" applyFont="1" applyFill="1" applyBorder="1" applyAlignment="1" applyProtection="1">
      <alignment vertical="center"/>
    </xf>
    <xf numFmtId="167" fontId="23" fillId="0" borderId="195" xfId="3" applyNumberFormat="1" applyFont="1" applyBorder="1" applyAlignment="1">
      <alignment horizontal="right" vertical="center"/>
    </xf>
    <xf numFmtId="167" fontId="24" fillId="0" borderId="195" xfId="3" applyNumberFormat="1" applyFont="1" applyBorder="1" applyAlignment="1">
      <alignment horizontal="right" vertical="center"/>
    </xf>
    <xf numFmtId="167" fontId="24" fillId="0" borderId="194" xfId="3" applyNumberFormat="1" applyFont="1" applyBorder="1" applyAlignment="1">
      <alignment horizontal="right" vertical="center"/>
    </xf>
    <xf numFmtId="167" fontId="24" fillId="0" borderId="199" xfId="3" applyNumberFormat="1" applyFont="1" applyBorder="1" applyAlignment="1">
      <alignment vertical="center"/>
    </xf>
    <xf numFmtId="167" fontId="24" fillId="0" borderId="195" xfId="3" applyNumberFormat="1" applyFont="1" applyBorder="1" applyAlignment="1">
      <alignment vertical="center"/>
    </xf>
    <xf numFmtId="167" fontId="24" fillId="0" borderId="199" xfId="4" applyNumberFormat="1" applyFont="1" applyFill="1" applyBorder="1" applyAlignment="1" applyProtection="1">
      <alignment horizontal="right" vertical="center"/>
      <protection locked="0"/>
    </xf>
    <xf numFmtId="167" fontId="24" fillId="0" borderId="200" xfId="4" applyNumberFormat="1" applyFont="1" applyFill="1" applyBorder="1" applyAlignment="1" applyProtection="1">
      <alignment horizontal="right" vertical="center"/>
      <protection locked="0"/>
    </xf>
    <xf numFmtId="167" fontId="24" fillId="0" borderId="195" xfId="4" applyNumberFormat="1" applyFont="1" applyFill="1" applyBorder="1" applyAlignment="1" applyProtection="1">
      <alignment vertical="center"/>
    </xf>
    <xf numFmtId="0" fontId="24" fillId="0" borderId="202" xfId="3" applyFont="1" applyBorder="1" applyAlignment="1" applyProtection="1">
      <alignment horizontal="left" vertical="center" indent="1"/>
      <protection locked="0"/>
    </xf>
    <xf numFmtId="0" fontId="17" fillId="0" borderId="202" xfId="3" applyFont="1" applyBorder="1" applyAlignment="1" applyProtection="1">
      <alignment horizontal="left" vertical="center"/>
      <protection locked="0"/>
    </xf>
    <xf numFmtId="169" fontId="17" fillId="0" borderId="195" xfId="3" applyNumberFormat="1" applyFont="1" applyBorder="1" applyAlignment="1">
      <alignment vertical="center"/>
    </xf>
    <xf numFmtId="169" fontId="16" fillId="0" borderId="195" xfId="3" applyNumberFormat="1" applyFont="1" applyBorder="1" applyAlignment="1">
      <alignment vertical="center"/>
    </xf>
    <xf numFmtId="169" fontId="16" fillId="0" borderId="194" xfId="3" applyNumberFormat="1" applyFont="1" applyBorder="1" applyAlignment="1">
      <alignment horizontal="right" vertical="center"/>
    </xf>
    <xf numFmtId="169" fontId="16" fillId="0" borderId="199" xfId="3" applyNumberFormat="1" applyFont="1" applyBorder="1" applyAlignment="1">
      <alignment vertical="center"/>
    </xf>
    <xf numFmtId="169" fontId="16" fillId="0" borderId="195" xfId="3" applyNumberFormat="1" applyFont="1" applyBorder="1" applyAlignment="1">
      <alignment horizontal="right" vertical="center"/>
    </xf>
    <xf numFmtId="0" fontId="16" fillId="0" borderId="199" xfId="3" applyFont="1" applyBorder="1" applyAlignment="1">
      <alignment vertical="center"/>
    </xf>
    <xf numFmtId="168" fontId="16" fillId="0" borderId="199" xfId="4" applyNumberFormat="1" applyFont="1" applyFill="1" applyBorder="1" applyAlignment="1" applyProtection="1">
      <alignment horizontal="right" vertical="center"/>
      <protection locked="0"/>
    </xf>
    <xf numFmtId="168" fontId="16" fillId="0" borderId="200" xfId="4" applyNumberFormat="1" applyFont="1" applyFill="1" applyBorder="1" applyAlignment="1" applyProtection="1">
      <alignment horizontal="right" vertical="center"/>
      <protection locked="0"/>
    </xf>
    <xf numFmtId="168" fontId="16" fillId="0" borderId="195" xfId="4" applyNumberFormat="1" applyFont="1" applyFill="1" applyBorder="1" applyAlignment="1" applyProtection="1">
      <alignment vertical="center"/>
    </xf>
    <xf numFmtId="0" fontId="16" fillId="0" borderId="194" xfId="3" applyFont="1" applyBorder="1" applyAlignment="1" applyProtection="1">
      <alignment horizontal="left" vertical="center" indent="1"/>
      <protection locked="0"/>
    </xf>
    <xf numFmtId="168" fontId="17" fillId="0" borderId="195" xfId="3" applyNumberFormat="1" applyFont="1" applyBorder="1" applyAlignment="1">
      <alignment horizontal="right" vertical="center"/>
    </xf>
    <xf numFmtId="168" fontId="16" fillId="0" borderId="195" xfId="3" applyNumberFormat="1" applyFont="1" applyBorder="1" applyAlignment="1">
      <alignment horizontal="right" vertical="center"/>
    </xf>
    <xf numFmtId="168" fontId="16" fillId="0" borderId="194" xfId="3" applyNumberFormat="1" applyFont="1" applyBorder="1" applyAlignment="1">
      <alignment horizontal="right" vertical="center"/>
    </xf>
    <xf numFmtId="168" fontId="16" fillId="0" borderId="199" xfId="3" applyNumberFormat="1" applyFont="1" applyBorder="1" applyAlignment="1">
      <alignment vertical="center"/>
    </xf>
    <xf numFmtId="168" fontId="16" fillId="0" borderId="195" xfId="3" applyNumberFormat="1" applyFont="1" applyBorder="1" applyAlignment="1">
      <alignment vertical="center"/>
    </xf>
    <xf numFmtId="0" fontId="16" fillId="0" borderId="205" xfId="3" applyFont="1" applyBorder="1" applyAlignment="1" applyProtection="1">
      <alignment horizontal="left" vertical="center" indent="1"/>
      <protection locked="0"/>
    </xf>
    <xf numFmtId="168" fontId="17" fillId="0" borderId="206" xfId="3" applyNumberFormat="1" applyFont="1" applyBorder="1" applyAlignment="1">
      <alignment horizontal="right" vertical="center"/>
    </xf>
    <xf numFmtId="168" fontId="16" fillId="0" borderId="206" xfId="3" applyNumberFormat="1" applyFont="1" applyBorder="1" applyAlignment="1">
      <alignment horizontal="right" vertical="center"/>
    </xf>
    <xf numFmtId="168" fontId="16" fillId="0" borderId="205" xfId="3" applyNumberFormat="1" applyFont="1" applyBorder="1" applyAlignment="1">
      <alignment horizontal="right" vertical="center"/>
    </xf>
    <xf numFmtId="168" fontId="16" fillId="0" borderId="207" xfId="4" applyNumberFormat="1" applyFont="1" applyFill="1" applyBorder="1" applyAlignment="1" applyProtection="1">
      <alignment horizontal="right" vertical="center"/>
      <protection locked="0"/>
    </xf>
    <xf numFmtId="168" fontId="16" fillId="0" borderId="205" xfId="4" applyNumberFormat="1" applyFont="1" applyFill="1" applyBorder="1" applyAlignment="1" applyProtection="1">
      <alignment horizontal="right" vertical="center"/>
      <protection locked="0"/>
    </xf>
    <xf numFmtId="168" fontId="16" fillId="0" borderId="206" xfId="4" applyNumberFormat="1" applyFont="1" applyFill="1" applyBorder="1" applyAlignment="1" applyProtection="1">
      <alignment vertical="center"/>
    </xf>
    <xf numFmtId="168" fontId="17" fillId="0" borderId="188" xfId="3" applyNumberFormat="1" applyFont="1" applyBorder="1" applyAlignment="1">
      <alignment vertical="center"/>
    </xf>
    <xf numFmtId="168" fontId="16" fillId="0" borderId="188" xfId="3" applyNumberFormat="1" applyFont="1" applyBorder="1" applyAlignment="1">
      <alignment vertical="center"/>
    </xf>
    <xf numFmtId="168" fontId="16" fillId="0" borderId="187" xfId="3" applyNumberFormat="1" applyFont="1" applyBorder="1" applyAlignment="1">
      <alignment horizontal="right" vertical="center"/>
    </xf>
    <xf numFmtId="168" fontId="16" fillId="0" borderId="189" xfId="3" applyNumberFormat="1" applyFont="1" applyBorder="1" applyAlignment="1">
      <alignment vertical="center"/>
    </xf>
    <xf numFmtId="168" fontId="16" fillId="0" borderId="188" xfId="3" applyNumberFormat="1" applyFont="1" applyBorder="1" applyAlignment="1">
      <alignment horizontal="right" vertical="center"/>
    </xf>
    <xf numFmtId="0" fontId="16" fillId="0" borderId="189" xfId="3" applyFont="1" applyBorder="1" applyAlignment="1">
      <alignment vertical="center"/>
    </xf>
    <xf numFmtId="168" fontId="16" fillId="0" borderId="189" xfId="4" applyNumberFormat="1" applyFont="1" applyFill="1" applyBorder="1" applyAlignment="1" applyProtection="1">
      <alignment horizontal="right" vertical="center"/>
      <protection locked="0"/>
    </xf>
    <xf numFmtId="168" fontId="16" fillId="0" borderId="190" xfId="4" applyNumberFormat="1" applyFont="1" applyFill="1" applyBorder="1" applyAlignment="1" applyProtection="1">
      <alignment horizontal="right" vertical="center"/>
      <protection locked="0"/>
    </xf>
    <xf numFmtId="168" fontId="16" fillId="0" borderId="188" xfId="4" applyNumberFormat="1" applyFont="1" applyFill="1" applyBorder="1" applyAlignment="1" applyProtection="1">
      <alignment vertical="center"/>
    </xf>
    <xf numFmtId="0" fontId="16" fillId="0" borderId="191" xfId="3" applyFont="1" applyBorder="1" applyAlignment="1" applyProtection="1">
      <alignment horizontal="left" vertical="center"/>
      <protection locked="0"/>
    </xf>
    <xf numFmtId="168" fontId="17" fillId="0" borderId="192" xfId="3" applyNumberFormat="1" applyFont="1" applyBorder="1" applyAlignment="1">
      <alignment horizontal="right" vertical="center"/>
    </xf>
    <xf numFmtId="168" fontId="16" fillId="0" borderId="192" xfId="3" applyNumberFormat="1" applyFont="1" applyBorder="1" applyAlignment="1">
      <alignment horizontal="right" vertical="center"/>
    </xf>
    <xf numFmtId="168" fontId="16" fillId="0" borderId="191" xfId="3" applyNumberFormat="1" applyFont="1" applyBorder="1" applyAlignment="1">
      <alignment horizontal="right" vertical="center"/>
    </xf>
    <xf numFmtId="168" fontId="16" fillId="0" borderId="193" xfId="3" applyNumberFormat="1" applyFont="1" applyBorder="1" applyAlignment="1">
      <alignment vertical="center"/>
    </xf>
    <xf numFmtId="168" fontId="16" fillId="0" borderId="192" xfId="3" applyNumberFormat="1" applyFont="1" applyBorder="1" applyAlignment="1">
      <alignment vertical="center"/>
    </xf>
    <xf numFmtId="168" fontId="16" fillId="0" borderId="199" xfId="3" applyNumberFormat="1" applyFont="1" applyBorder="1" applyAlignment="1" applyProtection="1">
      <alignment horizontal="right" vertical="center"/>
      <protection locked="0"/>
    </xf>
    <xf numFmtId="168" fontId="16" fillId="0" borderId="191" xfId="4" applyNumberFormat="1" applyFont="1" applyFill="1" applyBorder="1" applyAlignment="1" applyProtection="1">
      <alignment horizontal="right" vertical="center"/>
      <protection locked="0"/>
    </xf>
    <xf numFmtId="168" fontId="16" fillId="0" borderId="192" xfId="4" applyNumberFormat="1" applyFont="1" applyFill="1" applyBorder="1" applyAlignment="1" applyProtection="1">
      <alignment vertical="center"/>
    </xf>
    <xf numFmtId="0" fontId="16" fillId="0" borderId="194" xfId="3" applyFont="1" applyBorder="1" applyAlignment="1" applyProtection="1">
      <alignment horizontal="left" vertical="center"/>
      <protection locked="0"/>
    </xf>
    <xf numFmtId="168" fontId="16" fillId="0" borderId="208" xfId="3" applyNumberFormat="1" applyFont="1" applyBorder="1" applyAlignment="1">
      <alignment horizontal="right" vertical="center"/>
    </xf>
    <xf numFmtId="0" fontId="17" fillId="0" borderId="194" xfId="3" applyFont="1" applyBorder="1" applyAlignment="1" applyProtection="1">
      <alignment horizontal="left" vertical="center"/>
      <protection locked="0"/>
    </xf>
    <xf numFmtId="168" fontId="16" fillId="0" borderId="200" xfId="3" applyNumberFormat="1" applyFont="1" applyBorder="1" applyAlignment="1" applyProtection="1">
      <alignment horizontal="right" vertical="center"/>
      <protection locked="0"/>
    </xf>
    <xf numFmtId="168" fontId="16" fillId="0" borderId="199" xfId="3" applyNumberFormat="1" applyFont="1" applyBorder="1" applyAlignment="1">
      <alignment horizontal="right" vertical="center"/>
    </xf>
    <xf numFmtId="168" fontId="16" fillId="0" borderId="204" xfId="4" applyNumberFormat="1" applyFont="1" applyFill="1" applyBorder="1" applyAlignment="1" applyProtection="1">
      <alignment vertical="center"/>
    </xf>
    <xf numFmtId="0" fontId="17" fillId="0" borderId="209" xfId="3" applyFont="1" applyBorder="1" applyAlignment="1" applyProtection="1">
      <alignment horizontal="left" vertical="center"/>
      <protection locked="0"/>
    </xf>
    <xf numFmtId="168" fontId="17" fillId="0" borderId="210" xfId="3" applyNumberFormat="1" applyFont="1" applyBorder="1" applyAlignment="1">
      <alignment horizontal="right" vertical="center"/>
    </xf>
    <xf numFmtId="168" fontId="16" fillId="0" borderId="210" xfId="3" applyNumberFormat="1" applyFont="1" applyBorder="1" applyAlignment="1">
      <alignment horizontal="right" vertical="center"/>
    </xf>
    <xf numFmtId="168" fontId="16" fillId="0" borderId="209" xfId="3" applyNumberFormat="1" applyFont="1" applyBorder="1" applyAlignment="1">
      <alignment horizontal="right" vertical="center"/>
    </xf>
    <xf numFmtId="168" fontId="16" fillId="0" borderId="211" xfId="3" applyNumberFormat="1" applyFont="1" applyBorder="1" applyAlignment="1">
      <alignment vertical="center"/>
    </xf>
    <xf numFmtId="168" fontId="16" fillId="0" borderId="210" xfId="3" applyNumberFormat="1" applyFont="1" applyBorder="1" applyAlignment="1">
      <alignment vertical="center"/>
    </xf>
    <xf numFmtId="168" fontId="16" fillId="0" borderId="211" xfId="4" applyNumberFormat="1" applyFont="1" applyFill="1" applyBorder="1" applyAlignment="1" applyProtection="1">
      <alignment horizontal="right" vertical="center"/>
      <protection locked="0"/>
    </xf>
    <xf numFmtId="168" fontId="16" fillId="0" borderId="209" xfId="4" applyNumberFormat="1" applyFont="1" applyFill="1" applyBorder="1" applyAlignment="1" applyProtection="1">
      <alignment horizontal="right" vertical="center"/>
      <protection locked="0"/>
    </xf>
    <xf numFmtId="168" fontId="16" fillId="0" borderId="210" xfId="4" applyNumberFormat="1" applyFont="1" applyFill="1" applyBorder="1" applyAlignment="1" applyProtection="1">
      <alignment vertical="center"/>
    </xf>
    <xf numFmtId="0" fontId="16" fillId="0" borderId="212" xfId="3" applyFont="1" applyBorder="1" applyAlignment="1" applyProtection="1">
      <alignment horizontal="left" vertical="center"/>
      <protection locked="0"/>
    </xf>
    <xf numFmtId="168" fontId="17" fillId="0" borderId="213" xfId="3" applyNumberFormat="1" applyFont="1" applyBorder="1" applyAlignment="1">
      <alignment horizontal="right" vertical="center"/>
    </xf>
    <xf numFmtId="168" fontId="16" fillId="0" borderId="213" xfId="3" applyNumberFormat="1" applyFont="1" applyBorder="1" applyAlignment="1">
      <alignment horizontal="right" vertical="center"/>
    </xf>
    <xf numFmtId="168" fontId="16" fillId="0" borderId="212" xfId="3" applyNumberFormat="1" applyFont="1" applyBorder="1" applyAlignment="1">
      <alignment horizontal="right" vertical="center"/>
    </xf>
    <xf numFmtId="168" fontId="16" fillId="0" borderId="214" xfId="3" applyNumberFormat="1" applyFont="1" applyBorder="1" applyAlignment="1">
      <alignment horizontal="right" vertical="center"/>
    </xf>
    <xf numFmtId="168" fontId="16" fillId="0" borderId="214" xfId="3" applyNumberFormat="1" applyFont="1" applyBorder="1" applyAlignment="1">
      <alignment vertical="center"/>
    </xf>
    <xf numFmtId="168" fontId="16" fillId="0" borderId="213" xfId="3" applyNumberFormat="1" applyFont="1" applyBorder="1" applyAlignment="1">
      <alignment vertical="center"/>
    </xf>
    <xf numFmtId="168" fontId="16" fillId="0" borderId="214" xfId="4" applyNumberFormat="1" applyFont="1" applyFill="1" applyBorder="1" applyAlignment="1" applyProtection="1">
      <alignment horizontal="right" vertical="center"/>
      <protection locked="0"/>
    </xf>
    <xf numFmtId="168" fontId="16" fillId="0" borderId="215" xfId="4" applyNumberFormat="1" applyFont="1" applyFill="1" applyBorder="1" applyAlignment="1" applyProtection="1">
      <alignment horizontal="right" vertical="center"/>
      <protection locked="0"/>
    </xf>
    <xf numFmtId="168" fontId="16" fillId="0" borderId="213" xfId="4" applyNumberFormat="1" applyFont="1" applyFill="1" applyBorder="1" applyAlignment="1" applyProtection="1">
      <alignment vertical="center"/>
    </xf>
    <xf numFmtId="168" fontId="24" fillId="0" borderId="202" xfId="3" applyNumberFormat="1" applyFont="1" applyBorder="1" applyAlignment="1">
      <alignment horizontal="right" vertical="center"/>
    </xf>
    <xf numFmtId="168" fontId="24" fillId="0" borderId="199" xfId="3" applyNumberFormat="1" applyFont="1" applyBorder="1" applyAlignment="1">
      <alignment horizontal="right" vertical="center"/>
    </xf>
    <xf numFmtId="0" fontId="14" fillId="0" borderId="216" xfId="3" applyFont="1" applyBorder="1" applyAlignment="1" applyProtection="1">
      <alignment horizontal="left" vertical="center"/>
      <protection locked="0"/>
    </xf>
    <xf numFmtId="168" fontId="23" fillId="0" borderId="217" xfId="3" applyNumberFormat="1" applyFont="1" applyBorder="1" applyAlignment="1">
      <alignment vertical="center"/>
    </xf>
    <xf numFmtId="168" fontId="24" fillId="0" borderId="217" xfId="3" applyNumberFormat="1" applyFont="1" applyBorder="1" applyAlignment="1">
      <alignment vertical="center"/>
    </xf>
    <xf numFmtId="168" fontId="24" fillId="0" borderId="216" xfId="3" applyNumberFormat="1" applyFont="1" applyBorder="1" applyAlignment="1">
      <alignment horizontal="right" vertical="center"/>
    </xf>
    <xf numFmtId="168" fontId="24" fillId="0" borderId="218" xfId="3" applyNumberFormat="1" applyFont="1" applyBorder="1" applyAlignment="1">
      <alignment vertical="center"/>
    </xf>
    <xf numFmtId="168" fontId="24" fillId="0" borderId="216" xfId="3" applyNumberFormat="1" applyFont="1" applyBorder="1" applyAlignment="1">
      <alignment vertical="center"/>
    </xf>
    <xf numFmtId="0" fontId="24" fillId="0" borderId="218" xfId="3" applyFont="1" applyBorder="1" applyAlignment="1">
      <alignment vertical="center"/>
    </xf>
    <xf numFmtId="168" fontId="24" fillId="0" borderId="218" xfId="4" applyNumberFormat="1" applyFont="1" applyFill="1" applyBorder="1" applyAlignment="1" applyProtection="1">
      <alignment horizontal="right" vertical="center"/>
      <protection locked="0"/>
    </xf>
    <xf numFmtId="168" fontId="24" fillId="0" borderId="219" xfId="4" applyNumberFormat="1" applyFont="1" applyFill="1" applyBorder="1" applyAlignment="1" applyProtection="1">
      <alignment horizontal="right" vertical="center"/>
      <protection locked="0"/>
    </xf>
    <xf numFmtId="168" fontId="24" fillId="0" borderId="217" xfId="4" applyNumberFormat="1" applyFont="1" applyFill="1" applyBorder="1" applyAlignment="1" applyProtection="1">
      <alignment vertical="center"/>
    </xf>
    <xf numFmtId="165" fontId="24" fillId="0" borderId="220" xfId="3" applyNumberFormat="1" applyFont="1" applyBorder="1" applyAlignment="1">
      <alignment horizontal="right" vertical="center"/>
    </xf>
    <xf numFmtId="165" fontId="24" fillId="0" borderId="194" xfId="3" applyNumberFormat="1" applyFont="1" applyBorder="1" applyAlignment="1">
      <alignment vertical="center"/>
    </xf>
    <xf numFmtId="165" fontId="24" fillId="8" borderId="221" xfId="4" applyNumberFormat="1" applyFont="1" applyFill="1" applyBorder="1" applyAlignment="1" applyProtection="1">
      <alignment horizontal="right" vertical="center"/>
      <protection locked="0"/>
    </xf>
    <xf numFmtId="165" fontId="24" fillId="8" borderId="222" xfId="4" applyNumberFormat="1" applyFont="1" applyFill="1" applyBorder="1" applyAlignment="1" applyProtection="1">
      <alignment horizontal="right" vertical="center"/>
      <protection locked="0"/>
    </xf>
    <xf numFmtId="165" fontId="24" fillId="8" borderId="223" xfId="4" applyNumberFormat="1" applyFont="1" applyFill="1" applyBorder="1" applyAlignment="1" applyProtection="1">
      <alignment vertical="center"/>
    </xf>
    <xf numFmtId="165" fontId="23" fillId="0" borderId="203" xfId="3" applyNumberFormat="1" applyFont="1" applyBorder="1" applyAlignment="1">
      <alignment horizontal="right" vertical="center"/>
    </xf>
    <xf numFmtId="165" fontId="24" fillId="0" borderId="203" xfId="3" applyNumberFormat="1" applyFont="1" applyBorder="1" applyAlignment="1">
      <alignment horizontal="right" vertical="center"/>
    </xf>
    <xf numFmtId="165" fontId="24" fillId="0" borderId="202" xfId="3" applyNumberFormat="1" applyFont="1" applyBorder="1" applyAlignment="1">
      <alignment horizontal="right" vertical="center"/>
    </xf>
    <xf numFmtId="165" fontId="24" fillId="0" borderId="204" xfId="3" applyNumberFormat="1" applyFont="1" applyBorder="1" applyAlignment="1">
      <alignment vertical="center"/>
    </xf>
    <xf numFmtId="165" fontId="24" fillId="0" borderId="203" xfId="3" applyNumberFormat="1" applyFont="1" applyBorder="1" applyAlignment="1">
      <alignment vertical="center"/>
    </xf>
    <xf numFmtId="165" fontId="24" fillId="0" borderId="202" xfId="3" applyNumberFormat="1" applyFont="1" applyBorder="1" applyAlignment="1">
      <alignment vertical="center"/>
    </xf>
    <xf numFmtId="165" fontId="24" fillId="8" borderId="224" xfId="4" applyNumberFormat="1" applyFont="1" applyFill="1" applyBorder="1" applyAlignment="1" applyProtection="1">
      <alignment horizontal="right" vertical="center"/>
      <protection locked="0"/>
    </xf>
    <xf numFmtId="165" fontId="24" fillId="8" borderId="225" xfId="4" applyNumberFormat="1" applyFont="1" applyFill="1" applyBorder="1" applyAlignment="1" applyProtection="1">
      <alignment horizontal="right" vertical="center"/>
      <protection locked="0"/>
    </xf>
    <xf numFmtId="165" fontId="24" fillId="8" borderId="0" xfId="4" applyNumberFormat="1" applyFont="1" applyFill="1" applyBorder="1" applyAlignment="1" applyProtection="1">
      <alignment vertical="center"/>
    </xf>
    <xf numFmtId="165" fontId="24" fillId="8" borderId="199" xfId="4" applyNumberFormat="1" applyFont="1" applyFill="1" applyBorder="1" applyAlignment="1" applyProtection="1">
      <alignment horizontal="right" vertical="center"/>
      <protection locked="0"/>
    </xf>
    <xf numFmtId="165" fontId="24" fillId="8" borderId="200" xfId="4" applyNumberFormat="1" applyFont="1" applyFill="1" applyBorder="1" applyAlignment="1" applyProtection="1">
      <alignment horizontal="right" vertical="center"/>
      <protection locked="0"/>
    </xf>
    <xf numFmtId="0" fontId="24" fillId="0" borderId="226" xfId="3" applyFont="1" applyBorder="1" applyAlignment="1" applyProtection="1">
      <alignment horizontal="left" vertical="center"/>
      <protection locked="0"/>
    </xf>
    <xf numFmtId="165" fontId="23" fillId="0" borderId="227" xfId="3" applyNumberFormat="1" applyFont="1" applyBorder="1" applyAlignment="1">
      <alignment horizontal="right" vertical="center"/>
    </xf>
    <xf numFmtId="165" fontId="24" fillId="0" borderId="227" xfId="3" applyNumberFormat="1" applyFont="1" applyBorder="1" applyAlignment="1">
      <alignment horizontal="right" vertical="center"/>
    </xf>
    <xf numFmtId="165" fontId="24" fillId="0" borderId="228" xfId="3" applyNumberFormat="1" applyFont="1" applyBorder="1" applyAlignment="1">
      <alignment horizontal="right" vertical="center"/>
    </xf>
    <xf numFmtId="165" fontId="24" fillId="0" borderId="229" xfId="3" applyNumberFormat="1" applyFont="1" applyBorder="1" applyAlignment="1">
      <alignment vertical="center"/>
    </xf>
    <xf numFmtId="165" fontId="24" fillId="0" borderId="227" xfId="3" applyNumberFormat="1" applyFont="1" applyBorder="1" applyAlignment="1">
      <alignment vertical="center"/>
    </xf>
    <xf numFmtId="165" fontId="24" fillId="0" borderId="226" xfId="3" applyNumberFormat="1" applyFont="1" applyBorder="1" applyAlignment="1">
      <alignment vertical="center"/>
    </xf>
    <xf numFmtId="165" fontId="24" fillId="0" borderId="229" xfId="4" applyNumberFormat="1" applyFont="1" applyFill="1" applyBorder="1" applyAlignment="1" applyProtection="1">
      <alignment horizontal="right" vertical="center"/>
      <protection locked="0"/>
    </xf>
    <xf numFmtId="165" fontId="24" fillId="0" borderId="230" xfId="4" applyNumberFormat="1" applyFont="1" applyFill="1" applyBorder="1" applyAlignment="1" applyProtection="1">
      <alignment horizontal="right" vertical="center"/>
      <protection locked="0"/>
    </xf>
    <xf numFmtId="165" fontId="24" fillId="0" borderId="231" xfId="4" applyNumberFormat="1" applyFont="1" applyFill="1" applyBorder="1" applyAlignment="1" applyProtection="1">
      <alignment vertical="center"/>
    </xf>
    <xf numFmtId="0" fontId="29" fillId="0" borderId="66" xfId="3" applyFont="1" applyBorder="1" applyAlignment="1" applyProtection="1">
      <alignment horizontal="left" vertical="center"/>
      <protection locked="0"/>
    </xf>
    <xf numFmtId="169" fontId="29" fillId="0" borderId="66" xfId="3" applyNumberFormat="1" applyFont="1" applyBorder="1" applyAlignment="1" applyProtection="1">
      <alignment vertical="center"/>
      <protection locked="0"/>
    </xf>
    <xf numFmtId="169" fontId="30" fillId="0" borderId="66" xfId="3" applyNumberFormat="1" applyFont="1" applyBorder="1" applyAlignment="1" applyProtection="1">
      <alignment vertical="center"/>
      <protection locked="0"/>
    </xf>
    <xf numFmtId="169" fontId="30" fillId="0" borderId="66" xfId="4" applyNumberFormat="1" applyFont="1" applyBorder="1" applyAlignment="1" applyProtection="1">
      <alignment vertical="center"/>
      <protection locked="0"/>
    </xf>
    <xf numFmtId="0" fontId="33" fillId="0" borderId="0" xfId="3" quotePrefix="1" applyFont="1" applyAlignment="1" applyProtection="1">
      <alignment horizontal="left" vertical="center"/>
      <protection locked="0"/>
    </xf>
    <xf numFmtId="0" fontId="42" fillId="0" borderId="0" xfId="3" quotePrefix="1" applyFont="1" applyAlignment="1" applyProtection="1">
      <alignment horizontal="left" vertical="center"/>
      <protection locked="0"/>
    </xf>
    <xf numFmtId="0" fontId="23" fillId="0" borderId="187" xfId="3" applyFont="1" applyBorder="1" applyAlignment="1">
      <alignment horizontal="left" vertical="center"/>
    </xf>
    <xf numFmtId="0" fontId="35" fillId="0" borderId="187" xfId="3" applyFont="1" applyBorder="1" applyAlignment="1">
      <alignment horizontal="left" vertical="center"/>
    </xf>
    <xf numFmtId="0" fontId="23" fillId="0" borderId="188" xfId="3" applyFont="1" applyBorder="1" applyAlignment="1">
      <alignment horizontal="right" vertical="center"/>
    </xf>
    <xf numFmtId="0" fontId="24" fillId="0" borderId="188" xfId="3" applyFont="1" applyBorder="1" applyAlignment="1">
      <alignment horizontal="right" vertical="center"/>
    </xf>
    <xf numFmtId="0" fontId="24" fillId="0" borderId="187" xfId="3" applyFont="1" applyBorder="1" applyAlignment="1">
      <alignment horizontal="right" vertical="center"/>
    </xf>
    <xf numFmtId="0" fontId="24" fillId="0" borderId="189" xfId="4" applyNumberFormat="1" applyFont="1" applyFill="1" applyBorder="1" applyAlignment="1">
      <alignment horizontal="right" vertical="center"/>
    </xf>
    <xf numFmtId="0" fontId="24" fillId="0" borderId="188" xfId="4" applyNumberFormat="1" applyFont="1" applyFill="1" applyBorder="1" applyAlignment="1">
      <alignment horizontal="right" vertical="center"/>
    </xf>
    <xf numFmtId="0" fontId="24" fillId="0" borderId="187" xfId="4" applyNumberFormat="1" applyFont="1" applyFill="1" applyBorder="1" applyAlignment="1">
      <alignment horizontal="right" vertical="center"/>
    </xf>
    <xf numFmtId="0" fontId="24" fillId="0" borderId="189" xfId="4" applyNumberFormat="1" applyFont="1" applyFill="1" applyBorder="1" applyAlignment="1">
      <alignment vertical="center"/>
    </xf>
    <xf numFmtId="0" fontId="24" fillId="0" borderId="190" xfId="4" applyNumberFormat="1" applyFont="1" applyFill="1" applyBorder="1" applyAlignment="1">
      <alignment vertical="center"/>
    </xf>
    <xf numFmtId="0" fontId="24" fillId="0" borderId="188" xfId="4" applyNumberFormat="1" applyFont="1" applyFill="1" applyBorder="1" applyAlignment="1">
      <alignment vertical="center"/>
    </xf>
    <xf numFmtId="0" fontId="24" fillId="0" borderId="188" xfId="3" applyFont="1" applyBorder="1" applyAlignment="1">
      <alignment vertical="center"/>
    </xf>
    <xf numFmtId="0" fontId="14" fillId="0" borderId="191" xfId="3" applyFont="1" applyBorder="1" applyAlignment="1">
      <alignment horizontal="left" vertical="center"/>
    </xf>
    <xf numFmtId="0" fontId="23" fillId="0" borderId="192" xfId="3" applyFont="1" applyBorder="1" applyAlignment="1">
      <alignment vertical="center"/>
    </xf>
    <xf numFmtId="0" fontId="24" fillId="0" borderId="192" xfId="3" applyFont="1" applyBorder="1" applyAlignment="1">
      <alignment horizontal="right" vertical="center"/>
    </xf>
    <xf numFmtId="0" fontId="24" fillId="0" borderId="191" xfId="3" applyFont="1" applyBorder="1" applyAlignment="1">
      <alignment horizontal="right" vertical="center"/>
    </xf>
    <xf numFmtId="0" fontId="24" fillId="0" borderId="193" xfId="4" applyNumberFormat="1" applyFont="1" applyFill="1" applyBorder="1" applyAlignment="1">
      <alignment horizontal="left" vertical="center"/>
    </xf>
    <xf numFmtId="0" fontId="24" fillId="0" borderId="192" xfId="4" applyNumberFormat="1" applyFont="1" applyFill="1" applyBorder="1" applyAlignment="1">
      <alignment horizontal="left" vertical="center"/>
    </xf>
    <xf numFmtId="0" fontId="24" fillId="0" borderId="191" xfId="4" applyNumberFormat="1" applyFont="1" applyFill="1" applyBorder="1" applyAlignment="1">
      <alignment horizontal="left" vertical="center"/>
    </xf>
    <xf numFmtId="0" fontId="24" fillId="0" borderId="193" xfId="4" applyNumberFormat="1" applyFont="1" applyFill="1" applyBorder="1" applyAlignment="1">
      <alignment vertical="center"/>
    </xf>
    <xf numFmtId="0" fontId="24" fillId="0" borderId="191" xfId="4" applyNumberFormat="1" applyFont="1" applyFill="1" applyBorder="1" applyAlignment="1">
      <alignment vertical="center"/>
    </xf>
    <xf numFmtId="0" fontId="24" fillId="0" borderId="192" xfId="4" applyNumberFormat="1" applyFont="1" applyFill="1" applyBorder="1" applyAlignment="1">
      <alignment vertical="center"/>
    </xf>
    <xf numFmtId="0" fontId="24" fillId="0" borderId="194" xfId="3" applyFont="1" applyBorder="1" applyAlignment="1">
      <alignment horizontal="left" vertical="center"/>
    </xf>
    <xf numFmtId="165" fontId="23" fillId="0" borderId="195" xfId="3" quotePrefix="1" applyNumberFormat="1" applyFont="1" applyBorder="1" applyAlignment="1">
      <alignment horizontal="right" vertical="center"/>
    </xf>
    <xf numFmtId="165" fontId="24" fillId="0" borderId="195" xfId="3" quotePrefix="1" applyNumberFormat="1" applyFont="1" applyBorder="1" applyAlignment="1">
      <alignment horizontal="right" vertical="center"/>
    </xf>
    <xf numFmtId="173" fontId="24" fillId="0" borderId="199" xfId="3" applyNumberFormat="1" applyFont="1" applyBorder="1" applyAlignment="1">
      <alignment vertical="center"/>
    </xf>
    <xf numFmtId="165" fontId="24" fillId="0" borderId="199" xfId="4" applyNumberFormat="1" applyFont="1" applyFill="1" applyBorder="1" applyAlignment="1">
      <alignment vertical="center"/>
    </xf>
    <xf numFmtId="165" fontId="24" fillId="0" borderId="200" xfId="4" applyNumberFormat="1" applyFont="1" applyFill="1" applyBorder="1" applyAlignment="1">
      <alignment horizontal="right" vertical="center"/>
    </xf>
    <xf numFmtId="165" fontId="24" fillId="0" borderId="195" xfId="4" applyNumberFormat="1" applyFont="1" applyFill="1" applyBorder="1" applyAlignment="1">
      <alignment vertical="center"/>
    </xf>
    <xf numFmtId="0" fontId="24" fillId="0" borderId="201" xfId="16" applyFont="1" applyBorder="1" applyAlignment="1">
      <alignment horizontal="left" vertical="center" indent="1"/>
    </xf>
    <xf numFmtId="165" fontId="23" fillId="0" borderId="195" xfId="16" quotePrefix="1" applyNumberFormat="1" applyFont="1" applyBorder="1" applyAlignment="1">
      <alignment horizontal="right" vertical="center"/>
    </xf>
    <xf numFmtId="165" fontId="24" fillId="0" borderId="195" xfId="16" quotePrefix="1" applyNumberFormat="1" applyFont="1" applyBorder="1" applyAlignment="1">
      <alignment horizontal="right" vertical="center"/>
    </xf>
    <xf numFmtId="165" fontId="24" fillId="0" borderId="194" xfId="16" applyNumberFormat="1" applyFont="1" applyBorder="1" applyAlignment="1">
      <alignment vertical="center"/>
    </xf>
    <xf numFmtId="165" fontId="24" fillId="0" borderId="199" xfId="17" applyNumberFormat="1" applyFont="1" applyFill="1" applyBorder="1" applyAlignment="1">
      <alignment vertical="center"/>
    </xf>
    <xf numFmtId="165" fontId="24" fillId="0" borderId="200" xfId="17" applyNumberFormat="1" applyFont="1" applyFill="1" applyBorder="1" applyAlignment="1">
      <alignment horizontal="right" vertical="center"/>
    </xf>
    <xf numFmtId="165" fontId="24" fillId="0" borderId="195" xfId="17" applyNumberFormat="1" applyFont="1" applyFill="1" applyBorder="1" applyAlignment="1">
      <alignment vertical="center"/>
    </xf>
    <xf numFmtId="0" fontId="23" fillId="0" borderId="194" xfId="3" applyFont="1" applyBorder="1" applyAlignment="1">
      <alignment horizontal="left" vertical="center"/>
    </xf>
    <xf numFmtId="165" fontId="17" fillId="0" borderId="195" xfId="3" applyNumberFormat="1" applyFont="1" applyBorder="1" applyAlignment="1">
      <alignment horizontal="right" vertical="center"/>
    </xf>
    <xf numFmtId="165" fontId="16" fillId="0" borderId="195" xfId="3" applyNumberFormat="1" applyFont="1" applyBorder="1" applyAlignment="1">
      <alignment horizontal="right" vertical="center"/>
    </xf>
    <xf numFmtId="165" fontId="16" fillId="0" borderId="194" xfId="3" applyNumberFormat="1" applyFont="1" applyBorder="1" applyAlignment="1">
      <alignment horizontal="right" vertical="center"/>
    </xf>
    <xf numFmtId="165" fontId="24" fillId="0" borderId="200" xfId="3" applyNumberFormat="1" applyFont="1" applyBorder="1" applyAlignment="1">
      <alignment horizontal="right" vertical="center"/>
    </xf>
    <xf numFmtId="0" fontId="14" fillId="0" borderId="187" xfId="3" applyFont="1" applyBorder="1" applyAlignment="1">
      <alignment horizontal="left" vertical="center"/>
    </xf>
    <xf numFmtId="0" fontId="17" fillId="0" borderId="188" xfId="3" applyFont="1" applyBorder="1" applyAlignment="1">
      <alignment horizontal="right" vertical="center"/>
    </xf>
    <xf numFmtId="0" fontId="16" fillId="0" borderId="188" xfId="3" applyFont="1" applyBorder="1" applyAlignment="1">
      <alignment horizontal="right" vertical="center"/>
    </xf>
    <xf numFmtId="0" fontId="16" fillId="0" borderId="187" xfId="3" applyFont="1" applyBorder="1" applyAlignment="1">
      <alignment horizontal="right" vertical="center"/>
    </xf>
    <xf numFmtId="0" fontId="24" fillId="0" borderId="187" xfId="3" applyFont="1" applyBorder="1" applyAlignment="1">
      <alignment vertical="center"/>
    </xf>
    <xf numFmtId="0" fontId="24" fillId="0" borderId="190" xfId="4" applyNumberFormat="1" applyFont="1" applyFill="1" applyBorder="1" applyAlignment="1">
      <alignment horizontal="right" vertical="center"/>
    </xf>
    <xf numFmtId="0" fontId="24" fillId="0" borderId="191" xfId="3" applyFont="1" applyBorder="1" applyAlignment="1">
      <alignment horizontal="left" vertical="center"/>
    </xf>
    <xf numFmtId="167" fontId="17" fillId="0" borderId="232" xfId="3" applyNumberFormat="1" applyFont="1" applyBorder="1" applyAlignment="1">
      <alignment horizontal="right" vertical="center"/>
    </xf>
    <xf numFmtId="167" fontId="16" fillId="0" borderId="232" xfId="3" applyNumberFormat="1" applyFont="1" applyBorder="1" applyAlignment="1">
      <alignment horizontal="right" vertical="center"/>
    </xf>
    <xf numFmtId="167" fontId="16" fillId="0" borderId="233" xfId="3" applyNumberFormat="1" applyFont="1" applyBorder="1" applyAlignment="1">
      <alignment horizontal="right" vertical="center"/>
    </xf>
    <xf numFmtId="167" fontId="24" fillId="0" borderId="193" xfId="4" applyNumberFormat="1" applyFont="1" applyFill="1" applyBorder="1" applyAlignment="1">
      <alignment horizontal="right" vertical="center"/>
    </xf>
    <xf numFmtId="167" fontId="24" fillId="0" borderId="191" xfId="4" applyNumberFormat="1" applyFont="1" applyFill="1" applyBorder="1" applyAlignment="1">
      <alignment horizontal="right" vertical="center"/>
    </xf>
    <xf numFmtId="167" fontId="24" fillId="0" borderId="192" xfId="4" applyNumberFormat="1" applyFont="1" applyFill="1" applyBorder="1" applyAlignment="1">
      <alignment vertical="center"/>
    </xf>
    <xf numFmtId="0" fontId="24" fillId="0" borderId="202" xfId="3" applyFont="1" applyBorder="1" applyAlignment="1">
      <alignment horizontal="left" vertical="center"/>
    </xf>
    <xf numFmtId="167" fontId="17" fillId="0" borderId="203" xfId="3" applyNumberFormat="1" applyFont="1" applyBorder="1" applyAlignment="1">
      <alignment horizontal="right" vertical="center"/>
    </xf>
    <xf numFmtId="167" fontId="16" fillId="0" borderId="203" xfId="3" applyNumberFormat="1" applyFont="1" applyBorder="1" applyAlignment="1">
      <alignment horizontal="right" vertical="center"/>
    </xf>
    <xf numFmtId="167" fontId="16" fillId="0" borderId="202" xfId="3" applyNumberFormat="1" applyFont="1" applyBorder="1" applyAlignment="1">
      <alignment horizontal="right" vertical="center"/>
    </xf>
    <xf numFmtId="167" fontId="24" fillId="0" borderId="204" xfId="4" applyNumberFormat="1" applyFont="1" applyFill="1" applyBorder="1" applyAlignment="1">
      <alignment horizontal="right" vertical="center"/>
    </xf>
    <xf numFmtId="167" fontId="24" fillId="0" borderId="202" xfId="4" applyNumberFormat="1" applyFont="1" applyFill="1" applyBorder="1" applyAlignment="1">
      <alignment horizontal="right" vertical="center"/>
    </xf>
    <xf numFmtId="167" fontId="24" fillId="0" borderId="203" xfId="4" applyNumberFormat="1" applyFont="1" applyFill="1" applyBorder="1" applyAlignment="1">
      <alignment vertical="center"/>
    </xf>
    <xf numFmtId="0" fontId="23" fillId="0" borderId="202" xfId="3" applyFont="1" applyBorder="1" applyAlignment="1">
      <alignment horizontal="left" vertical="center"/>
    </xf>
    <xf numFmtId="0" fontId="23" fillId="0" borderId="203" xfId="3" applyFont="1" applyBorder="1" applyAlignment="1">
      <alignment horizontal="right" vertical="center"/>
    </xf>
    <xf numFmtId="0" fontId="24" fillId="0" borderId="203" xfId="3" applyFont="1" applyBorder="1" applyAlignment="1">
      <alignment horizontal="right" vertical="center"/>
    </xf>
    <xf numFmtId="0" fontId="24" fillId="0" borderId="202" xfId="3" applyFont="1" applyBorder="1" applyAlignment="1">
      <alignment horizontal="right" vertical="center"/>
    </xf>
    <xf numFmtId="0" fontId="24" fillId="0" borderId="203" xfId="3" applyFont="1" applyBorder="1" applyAlignment="1">
      <alignment vertical="center"/>
    </xf>
    <xf numFmtId="0" fontId="24" fillId="0" borderId="204" xfId="4" applyNumberFormat="1" applyFont="1" applyFill="1" applyBorder="1" applyAlignment="1">
      <alignment horizontal="right" vertical="center"/>
    </xf>
    <xf numFmtId="0" fontId="24" fillId="0" borderId="202" xfId="4" applyNumberFormat="1" applyFont="1" applyFill="1" applyBorder="1" applyAlignment="1">
      <alignment horizontal="right" vertical="center"/>
    </xf>
    <xf numFmtId="0" fontId="24" fillId="0" borderId="203" xfId="4" applyNumberFormat="1" applyFont="1" applyFill="1" applyBorder="1" applyAlignment="1">
      <alignment vertical="center"/>
    </xf>
    <xf numFmtId="0" fontId="24" fillId="0" borderId="194" xfId="3" applyFont="1" applyBorder="1" applyAlignment="1">
      <alignment horizontal="left" vertical="center" indent="1"/>
    </xf>
    <xf numFmtId="168" fontId="24" fillId="0" borderId="199" xfId="4" applyNumberFormat="1" applyFont="1" applyFill="1" applyBorder="1" applyAlignment="1">
      <alignment horizontal="right" vertical="center"/>
    </xf>
    <xf numFmtId="168" fontId="24" fillId="0" borderId="200" xfId="4" applyNumberFormat="1" applyFont="1" applyFill="1" applyBorder="1" applyAlignment="1">
      <alignment horizontal="right" vertical="center"/>
    </xf>
    <xf numFmtId="168" fontId="24" fillId="0" borderId="195" xfId="4" applyNumberFormat="1" applyFont="1" applyFill="1" applyBorder="1" applyAlignment="1">
      <alignment vertical="center"/>
    </xf>
    <xf numFmtId="167" fontId="24" fillId="0" borderId="199" xfId="4" applyNumberFormat="1" applyFont="1" applyFill="1" applyBorder="1" applyAlignment="1">
      <alignment horizontal="right" vertical="center"/>
    </xf>
    <xf numFmtId="167" fontId="24" fillId="0" borderId="200" xfId="4" applyNumberFormat="1" applyFont="1" applyFill="1" applyBorder="1" applyAlignment="1">
      <alignment horizontal="right" vertical="center"/>
    </xf>
    <xf numFmtId="167" fontId="24" fillId="0" borderId="195" xfId="4" applyNumberFormat="1" applyFont="1" applyFill="1" applyBorder="1" applyAlignment="1">
      <alignment vertical="center"/>
    </xf>
    <xf numFmtId="0" fontId="24" fillId="0" borderId="202" xfId="3" applyFont="1" applyBorder="1" applyAlignment="1">
      <alignment horizontal="left" vertical="center" indent="1"/>
    </xf>
    <xf numFmtId="0" fontId="23" fillId="0" borderId="195" xfId="3" applyFont="1" applyBorder="1" applyAlignment="1">
      <alignment horizontal="right" vertical="center"/>
    </xf>
    <xf numFmtId="0" fontId="24" fillId="0" borderId="195" xfId="3" applyFont="1" applyBorder="1" applyAlignment="1">
      <alignment horizontal="right" vertical="center"/>
    </xf>
    <xf numFmtId="0" fontId="24" fillId="0" borderId="194" xfId="3" applyFont="1" applyBorder="1" applyAlignment="1">
      <alignment horizontal="right" vertical="center"/>
    </xf>
    <xf numFmtId="0" fontId="24" fillId="0" borderId="199" xfId="3" applyFont="1" applyBorder="1" applyAlignment="1">
      <alignment vertical="center"/>
    </xf>
    <xf numFmtId="0" fontId="24" fillId="0" borderId="195" xfId="3" applyFont="1" applyBorder="1" applyAlignment="1">
      <alignment vertical="center"/>
    </xf>
    <xf numFmtId="0" fontId="24" fillId="0" borderId="199" xfId="4" applyNumberFormat="1" applyFont="1" applyFill="1" applyBorder="1" applyAlignment="1">
      <alignment horizontal="right" vertical="center"/>
    </xf>
    <xf numFmtId="0" fontId="24" fillId="0" borderId="200" xfId="4" applyNumberFormat="1" applyFont="1" applyFill="1" applyBorder="1" applyAlignment="1">
      <alignment horizontal="right" vertical="center"/>
    </xf>
    <xf numFmtId="0" fontId="24" fillId="0" borderId="195" xfId="4" applyNumberFormat="1" applyFont="1" applyFill="1" applyBorder="1" applyAlignment="1">
      <alignment vertical="center"/>
    </xf>
    <xf numFmtId="0" fontId="24" fillId="0" borderId="205" xfId="3" applyFont="1" applyBorder="1" applyAlignment="1">
      <alignment horizontal="left" vertical="center" indent="1"/>
    </xf>
    <xf numFmtId="168" fontId="23" fillId="0" borderId="206" xfId="3" applyNumberFormat="1" applyFont="1" applyBorder="1" applyAlignment="1">
      <alignment horizontal="right" vertical="center"/>
    </xf>
    <xf numFmtId="168" fontId="24" fillId="0" borderId="206" xfId="3" applyNumberFormat="1" applyFont="1" applyBorder="1" applyAlignment="1">
      <alignment horizontal="right" vertical="center"/>
    </xf>
    <xf numFmtId="168" fontId="24" fillId="0" borderId="205" xfId="3" applyNumberFormat="1" applyFont="1" applyBorder="1" applyAlignment="1">
      <alignment horizontal="right" vertical="center"/>
    </xf>
    <xf numFmtId="168" fontId="24" fillId="0" borderId="207" xfId="4" applyNumberFormat="1" applyFont="1" applyFill="1" applyBorder="1" applyAlignment="1">
      <alignment horizontal="right" vertical="center"/>
    </xf>
    <xf numFmtId="168" fontId="24" fillId="0" borderId="205" xfId="4" applyNumberFormat="1" applyFont="1" applyFill="1" applyBorder="1" applyAlignment="1">
      <alignment horizontal="right" vertical="center"/>
    </xf>
    <xf numFmtId="168" fontId="24" fillId="0" borderId="206" xfId="4" applyNumberFormat="1" applyFont="1" applyFill="1" applyBorder="1" applyAlignment="1">
      <alignment vertical="center"/>
    </xf>
    <xf numFmtId="168" fontId="24" fillId="0" borderId="193" xfId="3" applyNumberFormat="1" applyFont="1" applyBorder="1" applyAlignment="1">
      <alignment vertical="center"/>
    </xf>
    <xf numFmtId="168" fontId="24" fillId="0" borderId="192" xfId="3" applyNumberFormat="1" applyFont="1" applyBorder="1" applyAlignment="1">
      <alignment vertical="center"/>
    </xf>
    <xf numFmtId="168" fontId="24" fillId="0" borderId="191" xfId="3" applyNumberFormat="1" applyFont="1" applyBorder="1" applyAlignment="1">
      <alignment vertical="center"/>
    </xf>
    <xf numFmtId="168" fontId="24" fillId="0" borderId="191" xfId="4" applyNumberFormat="1" applyFont="1" applyFill="1" applyBorder="1" applyAlignment="1">
      <alignment horizontal="right" vertical="center"/>
    </xf>
    <xf numFmtId="168" fontId="24" fillId="0" borderId="192" xfId="4" applyNumberFormat="1" applyFont="1" applyFill="1" applyBorder="1" applyAlignment="1">
      <alignment vertical="center"/>
    </xf>
    <xf numFmtId="168" fontId="17" fillId="0" borderId="234" xfId="3" applyNumberFormat="1" applyFont="1" applyBorder="1" applyAlignment="1">
      <alignment horizontal="right" vertical="center"/>
    </xf>
    <xf numFmtId="168" fontId="16" fillId="0" borderId="234" xfId="3" applyNumberFormat="1" applyFont="1" applyBorder="1" applyAlignment="1">
      <alignment horizontal="right" vertical="center"/>
    </xf>
    <xf numFmtId="168" fontId="24" fillId="0" borderId="194" xfId="3" applyNumberFormat="1" applyFont="1" applyBorder="1" applyAlignment="1">
      <alignment vertical="center"/>
    </xf>
    <xf numFmtId="168" fontId="24" fillId="0" borderId="200" xfId="3" applyNumberFormat="1" applyFont="1" applyBorder="1" applyAlignment="1">
      <alignment horizontal="right" vertical="center"/>
    </xf>
    <xf numFmtId="0" fontId="23" fillId="0" borderId="209" xfId="3" applyFont="1" applyBorder="1" applyAlignment="1">
      <alignment horizontal="left" vertical="center"/>
    </xf>
    <xf numFmtId="168" fontId="24" fillId="0" borderId="211" xfId="3" applyNumberFormat="1" applyFont="1" applyBorder="1" applyAlignment="1">
      <alignment vertical="center"/>
    </xf>
    <xf numFmtId="168" fontId="24" fillId="0" borderId="210" xfId="3" applyNumberFormat="1" applyFont="1" applyBorder="1" applyAlignment="1">
      <alignment vertical="center"/>
    </xf>
    <xf numFmtId="168" fontId="24" fillId="0" borderId="209" xfId="3" applyNumberFormat="1" applyFont="1" applyBorder="1" applyAlignment="1">
      <alignment vertical="center"/>
    </xf>
    <xf numFmtId="168" fontId="24" fillId="0" borderId="211" xfId="4" applyNumberFormat="1" applyFont="1" applyFill="1" applyBorder="1" applyAlignment="1">
      <alignment horizontal="right" vertical="center"/>
    </xf>
    <xf numFmtId="168" fontId="24" fillId="0" borderId="209" xfId="4" applyNumberFormat="1" applyFont="1" applyFill="1" applyBorder="1" applyAlignment="1">
      <alignment horizontal="right" vertical="center"/>
    </xf>
    <xf numFmtId="168" fontId="24" fillId="0" borderId="210" xfId="4" applyNumberFormat="1" applyFont="1" applyFill="1" applyBorder="1" applyAlignment="1">
      <alignment vertical="center"/>
    </xf>
    <xf numFmtId="0" fontId="24" fillId="0" borderId="212" xfId="3" applyFont="1" applyBorder="1" applyAlignment="1">
      <alignment horizontal="left" vertical="center"/>
    </xf>
    <xf numFmtId="168" fontId="24" fillId="0" borderId="214" xfId="3" applyNumberFormat="1" applyFont="1" applyBorder="1" applyAlignment="1">
      <alignment vertical="center"/>
    </xf>
    <xf numFmtId="168" fontId="24" fillId="0" borderId="213" xfId="3" applyNumberFormat="1" applyFont="1" applyBorder="1" applyAlignment="1">
      <alignment vertical="center"/>
    </xf>
    <xf numFmtId="168" fontId="24" fillId="0" borderId="212" xfId="3" applyNumberFormat="1" applyFont="1" applyBorder="1" applyAlignment="1">
      <alignment vertical="center"/>
    </xf>
    <xf numFmtId="168" fontId="24" fillId="0" borderId="214" xfId="4" applyNumberFormat="1" applyFont="1" applyFill="1" applyBorder="1" applyAlignment="1">
      <alignment horizontal="right" vertical="center"/>
    </xf>
    <xf numFmtId="168" fontId="24" fillId="0" borderId="215" xfId="4" applyNumberFormat="1" applyFont="1" applyFill="1" applyBorder="1" applyAlignment="1">
      <alignment horizontal="right" vertical="center"/>
    </xf>
    <xf numFmtId="168" fontId="24" fillId="0" borderId="213" xfId="4" applyNumberFormat="1" applyFont="1" applyFill="1" applyBorder="1" applyAlignment="1">
      <alignment vertical="center"/>
    </xf>
    <xf numFmtId="0" fontId="14" fillId="0" borderId="216" xfId="3" applyFont="1" applyBorder="1" applyAlignment="1">
      <alignment horizontal="left" vertical="center"/>
    </xf>
    <xf numFmtId="0" fontId="17" fillId="0" borderId="217" xfId="3" applyFont="1" applyBorder="1" applyAlignment="1">
      <alignment horizontal="right" vertical="center"/>
    </xf>
    <xf numFmtId="0" fontId="16" fillId="0" borderId="217" xfId="3" applyFont="1" applyBorder="1" applyAlignment="1">
      <alignment horizontal="right" vertical="center"/>
    </xf>
    <xf numFmtId="0" fontId="16" fillId="0" borderId="216" xfId="3" applyFont="1" applyBorder="1" applyAlignment="1">
      <alignment horizontal="right" vertical="center"/>
    </xf>
    <xf numFmtId="0" fontId="24" fillId="0" borderId="217" xfId="3" applyFont="1" applyBorder="1" applyAlignment="1">
      <alignment vertical="center"/>
    </xf>
    <xf numFmtId="0" fontId="24" fillId="0" borderId="216" xfId="3" applyFont="1" applyBorder="1" applyAlignment="1">
      <alignment vertical="center"/>
    </xf>
    <xf numFmtId="0" fontId="24" fillId="0" borderId="218" xfId="4" applyNumberFormat="1" applyFont="1" applyFill="1" applyBorder="1" applyAlignment="1">
      <alignment horizontal="right" vertical="center"/>
    </xf>
    <xf numFmtId="0" fontId="24" fillId="0" borderId="219" xfId="4" applyNumberFormat="1" applyFont="1" applyFill="1" applyBorder="1" applyAlignment="1">
      <alignment horizontal="right" vertical="center"/>
    </xf>
    <xf numFmtId="0" fontId="24" fillId="0" borderId="217" xfId="4" applyNumberFormat="1" applyFont="1" applyFill="1" applyBorder="1" applyAlignment="1">
      <alignment vertical="center"/>
    </xf>
    <xf numFmtId="165" fontId="23" fillId="0" borderId="235" xfId="3" applyNumberFormat="1" applyFont="1" applyBorder="1" applyAlignment="1">
      <alignment horizontal="right" vertical="center"/>
    </xf>
    <xf numFmtId="165" fontId="24" fillId="0" borderId="235" xfId="3" applyNumberFormat="1" applyFont="1" applyBorder="1" applyAlignment="1">
      <alignment horizontal="right" vertical="center"/>
    </xf>
    <xf numFmtId="165" fontId="24" fillId="8" borderId="221" xfId="4" applyNumberFormat="1" applyFont="1" applyFill="1" applyBorder="1" applyAlignment="1">
      <alignment horizontal="right" vertical="center"/>
    </xf>
    <xf numFmtId="165" fontId="24" fillId="8" borderId="222" xfId="4" applyNumberFormat="1" applyFont="1" applyFill="1" applyBorder="1" applyAlignment="1">
      <alignment horizontal="right" vertical="center"/>
    </xf>
    <xf numFmtId="165" fontId="24" fillId="8" borderId="223" xfId="4" applyNumberFormat="1" applyFont="1" applyFill="1" applyBorder="1" applyAlignment="1">
      <alignment vertical="center"/>
    </xf>
    <xf numFmtId="165" fontId="24" fillId="8" borderId="224" xfId="4" applyNumberFormat="1" applyFont="1" applyFill="1" applyBorder="1" applyAlignment="1">
      <alignment horizontal="right" vertical="center"/>
    </xf>
    <xf numFmtId="165" fontId="24" fillId="8" borderId="225" xfId="4" applyNumberFormat="1" applyFont="1" applyFill="1" applyBorder="1" applyAlignment="1">
      <alignment horizontal="right" vertical="center"/>
    </xf>
    <xf numFmtId="165" fontId="24" fillId="8" borderId="0" xfId="4" applyNumberFormat="1" applyFont="1" applyFill="1" applyBorder="1" applyAlignment="1">
      <alignment vertical="center"/>
    </xf>
    <xf numFmtId="165" fontId="24" fillId="8" borderId="199" xfId="4" applyNumberFormat="1" applyFont="1" applyFill="1" applyBorder="1" applyAlignment="1">
      <alignment horizontal="right" vertical="center"/>
    </xf>
    <xf numFmtId="165" fontId="24" fillId="8" borderId="200" xfId="4" applyNumberFormat="1" applyFont="1" applyFill="1" applyBorder="1" applyAlignment="1">
      <alignment horizontal="right" vertical="center"/>
    </xf>
    <xf numFmtId="0" fontId="24" fillId="0" borderId="226" xfId="3" applyFont="1" applyBorder="1" applyAlignment="1">
      <alignment horizontal="left" vertical="center"/>
    </xf>
    <xf numFmtId="165" fontId="23" fillId="0" borderId="236" xfId="3" applyNumberFormat="1" applyFont="1" applyBorder="1" applyAlignment="1">
      <alignment horizontal="right" vertical="center"/>
    </xf>
    <xf numFmtId="165" fontId="24" fillId="0" borderId="236" xfId="3" applyNumberFormat="1" applyFont="1" applyBorder="1" applyAlignment="1">
      <alignment horizontal="right" vertical="center"/>
    </xf>
    <xf numFmtId="165" fontId="24" fillId="0" borderId="229" xfId="4" applyNumberFormat="1" applyFont="1" applyFill="1" applyBorder="1" applyAlignment="1">
      <alignment horizontal="right" vertical="center"/>
    </xf>
    <xf numFmtId="165" fontId="24" fillId="0" borderId="230" xfId="4" applyNumberFormat="1" applyFont="1" applyFill="1" applyBorder="1" applyAlignment="1">
      <alignment horizontal="right" vertical="center"/>
    </xf>
    <xf numFmtId="165" fontId="24" fillId="0" borderId="231" xfId="4" applyNumberFormat="1" applyFont="1" applyFill="1" applyBorder="1" applyAlignment="1">
      <alignment vertical="center"/>
    </xf>
    <xf numFmtId="0" fontId="29" fillId="0" borderId="66" xfId="3" applyFont="1" applyBorder="1" applyAlignment="1">
      <alignment horizontal="left" vertical="center"/>
    </xf>
    <xf numFmtId="0" fontId="29" fillId="0" borderId="66" xfId="3" applyFont="1" applyBorder="1" applyAlignment="1">
      <alignment vertical="center"/>
    </xf>
    <xf numFmtId="0" fontId="30" fillId="0" borderId="66" xfId="3" applyFont="1" applyBorder="1" applyAlignment="1">
      <alignment vertical="center"/>
    </xf>
    <xf numFmtId="0" fontId="30" fillId="0" borderId="66" xfId="4" applyNumberFormat="1" applyFont="1" applyFill="1" applyBorder="1" applyAlignment="1">
      <alignment vertical="center"/>
    </xf>
    <xf numFmtId="0" fontId="33" fillId="0" borderId="0" xfId="3" quotePrefix="1" applyFont="1" applyAlignment="1">
      <alignment horizontal="left" vertical="center"/>
    </xf>
    <xf numFmtId="0" fontId="42" fillId="0" borderId="0" xfId="3" quotePrefix="1" applyFont="1" applyAlignment="1">
      <alignment horizontal="left" vertical="center"/>
    </xf>
    <xf numFmtId="0" fontId="14" fillId="9" borderId="238" xfId="3" applyFont="1" applyFill="1" applyBorder="1" applyAlignment="1" applyProtection="1">
      <alignment vertical="center" wrapText="1"/>
      <protection locked="0"/>
    </xf>
    <xf numFmtId="0" fontId="14" fillId="0" borderId="238" xfId="3" applyFont="1" applyBorder="1" applyAlignment="1" applyProtection="1">
      <alignment vertical="center" wrapText="1"/>
      <protection locked="0"/>
    </xf>
    <xf numFmtId="0" fontId="23" fillId="0" borderId="239" xfId="3" applyFont="1" applyBorder="1" applyAlignment="1" applyProtection="1">
      <alignment horizontal="right" vertical="center"/>
      <protection locked="0"/>
    </xf>
    <xf numFmtId="0" fontId="24" fillId="0" borderId="239" xfId="3" applyFont="1" applyBorder="1" applyAlignment="1" applyProtection="1">
      <alignment horizontal="right" vertical="center"/>
      <protection locked="0"/>
    </xf>
    <xf numFmtId="0" fontId="24" fillId="0" borderId="240" xfId="3" applyFont="1" applyBorder="1" applyAlignment="1">
      <alignment horizontal="right" vertical="center"/>
    </xf>
    <xf numFmtId="0" fontId="24" fillId="0" borderId="241" xfId="3" applyFont="1" applyBorder="1" applyAlignment="1">
      <alignment horizontal="right" vertical="center"/>
    </xf>
    <xf numFmtId="0" fontId="24" fillId="0" borderId="239" xfId="3" applyFont="1" applyBorder="1" applyAlignment="1">
      <alignment horizontal="right" vertical="center"/>
    </xf>
    <xf numFmtId="0" fontId="24" fillId="0" borderId="243" xfId="3" applyFont="1" applyBorder="1" applyAlignment="1">
      <alignment horizontal="right" vertical="center"/>
    </xf>
    <xf numFmtId="166" fontId="24" fillId="0" borderId="243" xfId="3" applyNumberFormat="1" applyFont="1" applyBorder="1" applyAlignment="1" applyProtection="1">
      <alignment vertical="center"/>
      <protection locked="0"/>
    </xf>
    <xf numFmtId="166" fontId="24" fillId="0" borderId="244" xfId="3" applyNumberFormat="1" applyFont="1" applyBorder="1" applyAlignment="1" applyProtection="1">
      <alignment vertical="center"/>
      <protection locked="0"/>
    </xf>
    <xf numFmtId="166" fontId="24" fillId="0" borderId="239" xfId="3" applyNumberFormat="1" applyFont="1" applyBorder="1" applyAlignment="1">
      <alignment vertical="center"/>
    </xf>
    <xf numFmtId="0" fontId="14" fillId="0" borderId="245" xfId="3" applyFont="1" applyBorder="1" applyAlignment="1" applyProtection="1">
      <alignment vertical="center" wrapText="1"/>
      <protection locked="0"/>
    </xf>
    <xf numFmtId="0" fontId="23" fillId="0" borderId="246" xfId="3" applyFont="1" applyBorder="1" applyAlignment="1" applyProtection="1">
      <alignment horizontal="right" vertical="center"/>
      <protection locked="0"/>
    </xf>
    <xf numFmtId="0" fontId="24" fillId="0" borderId="246" xfId="3" applyFont="1" applyBorder="1" applyAlignment="1" applyProtection="1">
      <alignment horizontal="right" vertical="center"/>
      <protection locked="0"/>
    </xf>
    <xf numFmtId="0" fontId="24" fillId="0" borderId="247" xfId="3" applyFont="1" applyBorder="1" applyAlignment="1">
      <alignment horizontal="right" vertical="center"/>
    </xf>
    <xf numFmtId="0" fontId="23" fillId="0" borderId="248" xfId="3" applyFont="1" applyBorder="1" applyAlignment="1">
      <alignment horizontal="right" vertical="center"/>
    </xf>
    <xf numFmtId="0" fontId="23" fillId="0" borderId="246" xfId="3" applyFont="1" applyBorder="1" applyAlignment="1">
      <alignment horizontal="right" vertical="center"/>
    </xf>
    <xf numFmtId="0" fontId="23" fillId="0" borderId="145" xfId="3" applyFont="1" applyBorder="1" applyAlignment="1">
      <alignment horizontal="right" vertical="center"/>
    </xf>
    <xf numFmtId="0" fontId="23" fillId="0" borderId="249" xfId="3" applyFont="1" applyBorder="1" applyAlignment="1">
      <alignment horizontal="right" vertical="center"/>
    </xf>
    <xf numFmtId="166" fontId="23" fillId="0" borderId="249" xfId="3" applyNumberFormat="1" applyFont="1" applyBorder="1" applyAlignment="1" applyProtection="1">
      <alignment vertical="center"/>
      <protection locked="0"/>
    </xf>
    <xf numFmtId="166" fontId="23" fillId="0" borderId="250" xfId="3" applyNumberFormat="1" applyFont="1" applyBorder="1" applyAlignment="1" applyProtection="1">
      <alignment vertical="center"/>
      <protection locked="0"/>
    </xf>
    <xf numFmtId="166" fontId="23" fillId="0" borderId="246" xfId="3" applyNumberFormat="1" applyFont="1" applyBorder="1" applyAlignment="1">
      <alignment vertical="center"/>
    </xf>
    <xf numFmtId="0" fontId="24" fillId="0" borderId="156" xfId="3" applyFont="1" applyBorder="1" applyAlignment="1" applyProtection="1">
      <alignment vertical="center"/>
      <protection locked="0"/>
    </xf>
    <xf numFmtId="165" fontId="23" fillId="0" borderId="19" xfId="3" applyNumberFormat="1" applyFont="1" applyBorder="1" applyAlignment="1" applyProtection="1">
      <alignment horizontal="right" vertical="center"/>
      <protection locked="0"/>
    </xf>
    <xf numFmtId="165" fontId="24" fillId="0" borderId="19" xfId="3" applyNumberFormat="1" applyFont="1" applyBorder="1" applyAlignment="1">
      <alignment horizontal="right" vertical="center"/>
    </xf>
    <xf numFmtId="165" fontId="24" fillId="0" borderId="15" xfId="3" applyNumberFormat="1" applyFont="1" applyBorder="1" applyAlignment="1">
      <alignment vertical="center"/>
    </xf>
    <xf numFmtId="165" fontId="24" fillId="0" borderId="19" xfId="3" applyNumberFormat="1" applyFont="1" applyBorder="1" applyAlignment="1">
      <alignment vertical="center"/>
    </xf>
    <xf numFmtId="165" fontId="24" fillId="0" borderId="156" xfId="3" applyNumberFormat="1" applyFont="1" applyBorder="1" applyAlignment="1">
      <alignment vertical="center"/>
    </xf>
    <xf numFmtId="165" fontId="24" fillId="0" borderId="15" xfId="3" applyNumberFormat="1" applyFont="1" applyBorder="1" applyAlignment="1" applyProtection="1">
      <alignment vertical="center"/>
      <protection locked="0"/>
    </xf>
    <xf numFmtId="165" fontId="24" fillId="0" borderId="156" xfId="3" applyNumberFormat="1" applyFont="1" applyBorder="1" applyAlignment="1" applyProtection="1">
      <alignment vertical="center"/>
      <protection locked="0"/>
    </xf>
    <xf numFmtId="0" fontId="24" fillId="0" borderId="251" xfId="3" applyFont="1" applyBorder="1" applyAlignment="1" applyProtection="1">
      <alignment vertical="center"/>
      <protection locked="0"/>
    </xf>
    <xf numFmtId="165" fontId="23" fillId="0" borderId="252" xfId="3" applyNumberFormat="1" applyFont="1" applyBorder="1" applyAlignment="1" applyProtection="1">
      <alignment horizontal="right" vertical="center"/>
      <protection locked="0"/>
    </xf>
    <xf numFmtId="165" fontId="24" fillId="0" borderId="252" xfId="3" applyNumberFormat="1" applyFont="1" applyBorder="1" applyAlignment="1">
      <alignment horizontal="right" vertical="center"/>
    </xf>
    <xf numFmtId="165" fontId="24" fillId="0" borderId="253" xfId="3" applyNumberFormat="1" applyFont="1" applyBorder="1" applyAlignment="1">
      <alignment vertical="center"/>
    </xf>
    <xf numFmtId="165" fontId="24" fillId="0" borderId="252" xfId="3" applyNumberFormat="1" applyFont="1" applyBorder="1" applyAlignment="1">
      <alignment vertical="center"/>
    </xf>
    <xf numFmtId="165" fontId="24" fillId="0" borderId="254" xfId="3" applyNumberFormat="1" applyFont="1" applyBorder="1" applyAlignment="1">
      <alignment vertical="center"/>
    </xf>
    <xf numFmtId="165" fontId="24" fillId="0" borderId="254" xfId="3" applyNumberFormat="1" applyFont="1" applyBorder="1" applyAlignment="1" applyProtection="1">
      <alignment vertical="center"/>
      <protection locked="0"/>
    </xf>
    <xf numFmtId="165" fontId="24" fillId="0" borderId="255" xfId="3" applyNumberFormat="1" applyFont="1" applyBorder="1" applyAlignment="1" applyProtection="1">
      <alignment vertical="center"/>
      <protection locked="0"/>
    </xf>
    <xf numFmtId="165" fontId="24" fillId="0" borderId="256" xfId="3" applyNumberFormat="1" applyFont="1" applyBorder="1" applyAlignment="1">
      <alignment vertical="center"/>
    </xf>
    <xf numFmtId="0" fontId="24" fillId="0" borderId="257" xfId="5" applyFont="1" applyBorder="1" applyAlignment="1" applyProtection="1">
      <alignment horizontal="left" vertical="center" indent="1"/>
      <protection locked="0"/>
    </xf>
    <xf numFmtId="165" fontId="23" fillId="0" borderId="252" xfId="5" applyNumberFormat="1" applyFont="1" applyBorder="1" applyAlignment="1" applyProtection="1">
      <alignment horizontal="right" vertical="center"/>
      <protection locked="0"/>
    </xf>
    <xf numFmtId="165" fontId="24" fillId="0" borderId="252" xfId="5" applyNumberFormat="1" applyFont="1" applyBorder="1" applyAlignment="1">
      <alignment horizontal="right" vertical="center"/>
    </xf>
    <xf numFmtId="165" fontId="24" fillId="0" borderId="258" xfId="5" applyNumberFormat="1" applyFont="1" applyBorder="1" applyAlignment="1">
      <alignment horizontal="right" vertical="center"/>
    </xf>
    <xf numFmtId="165" fontId="24" fillId="0" borderId="253" xfId="5" applyNumberFormat="1" applyFont="1" applyBorder="1" applyAlignment="1">
      <alignment vertical="center"/>
    </xf>
    <xf numFmtId="165" fontId="24" fillId="0" borderId="252" xfId="5" applyNumberFormat="1" applyFont="1" applyBorder="1" applyAlignment="1">
      <alignment vertical="center"/>
    </xf>
    <xf numFmtId="165" fontId="24" fillId="0" borderId="258" xfId="5" applyNumberFormat="1" applyFont="1" applyBorder="1" applyAlignment="1">
      <alignment vertical="center"/>
    </xf>
    <xf numFmtId="165" fontId="24" fillId="0" borderId="254" xfId="5" applyNumberFormat="1" applyFont="1" applyBorder="1" applyAlignment="1">
      <alignment vertical="center"/>
    </xf>
    <xf numFmtId="165" fontId="24" fillId="0" borderId="254" xfId="5" applyNumberFormat="1" applyFont="1" applyBorder="1" applyAlignment="1" applyProtection="1">
      <alignment vertical="center"/>
      <protection locked="0"/>
    </xf>
    <xf numFmtId="165" fontId="24" fillId="0" borderId="255" xfId="5" applyNumberFormat="1" applyFont="1" applyBorder="1" applyAlignment="1" applyProtection="1">
      <alignment vertical="center"/>
      <protection locked="0"/>
    </xf>
    <xf numFmtId="0" fontId="23" fillId="0" borderId="251" xfId="3" applyFont="1" applyBorder="1" applyAlignment="1" applyProtection="1">
      <alignment vertical="center"/>
      <protection locked="0"/>
    </xf>
    <xf numFmtId="41" fontId="23" fillId="0" borderId="252" xfId="3" applyNumberFormat="1" applyFont="1" applyBorder="1" applyAlignment="1" applyProtection="1">
      <alignment horizontal="right" vertical="center"/>
      <protection locked="0"/>
    </xf>
    <xf numFmtId="41" fontId="24" fillId="0" borderId="252" xfId="3" applyNumberFormat="1" applyFont="1" applyBorder="1" applyAlignment="1">
      <alignment horizontal="right" vertical="center"/>
    </xf>
    <xf numFmtId="41" fontId="24" fillId="0" borderId="253" xfId="3" applyNumberFormat="1" applyFont="1" applyBorder="1" applyAlignment="1">
      <alignment vertical="center"/>
    </xf>
    <xf numFmtId="41" fontId="24" fillId="0" borderId="252" xfId="3" applyNumberFormat="1" applyFont="1" applyBorder="1" applyAlignment="1">
      <alignment vertical="center"/>
    </xf>
    <xf numFmtId="41" fontId="24" fillId="0" borderId="156" xfId="3" applyNumberFormat="1" applyFont="1" applyBorder="1" applyAlignment="1">
      <alignment vertical="center"/>
    </xf>
    <xf numFmtId="41" fontId="24" fillId="0" borderId="254" xfId="3" applyNumberFormat="1" applyFont="1" applyBorder="1" applyAlignment="1">
      <alignment vertical="center"/>
    </xf>
    <xf numFmtId="41" fontId="24" fillId="0" borderId="254" xfId="3" applyNumberFormat="1" applyFont="1" applyBorder="1" applyAlignment="1" applyProtection="1">
      <alignment vertical="center"/>
      <protection locked="0"/>
    </xf>
    <xf numFmtId="41" fontId="24" fillId="0" borderId="255" xfId="3" applyNumberFormat="1" applyFont="1" applyBorder="1" applyAlignment="1" applyProtection="1">
      <alignment vertical="center"/>
      <protection locked="0"/>
    </xf>
    <xf numFmtId="41" fontId="24" fillId="0" borderId="256" xfId="3" applyNumberFormat="1" applyFont="1" applyBorder="1" applyAlignment="1">
      <alignment vertical="center"/>
    </xf>
    <xf numFmtId="165" fontId="24" fillId="0" borderId="253" xfId="3" applyNumberFormat="1" applyFont="1" applyBorder="1" applyAlignment="1">
      <alignment horizontal="right" vertical="center"/>
    </xf>
    <xf numFmtId="165" fontId="24" fillId="0" borderId="254" xfId="3" applyNumberFormat="1" applyFont="1" applyBorder="1" applyAlignment="1">
      <alignment horizontal="right" vertical="center"/>
    </xf>
    <xf numFmtId="165" fontId="24" fillId="0" borderId="254" xfId="3" applyNumberFormat="1" applyFont="1" applyBorder="1" applyAlignment="1" applyProtection="1">
      <alignment horizontal="right" vertical="center"/>
      <protection locked="0"/>
    </xf>
    <xf numFmtId="165" fontId="24" fillId="0" borderId="255" xfId="3" applyNumberFormat="1" applyFont="1" applyBorder="1" applyAlignment="1" applyProtection="1">
      <alignment horizontal="right" vertical="center"/>
      <protection locked="0"/>
    </xf>
    <xf numFmtId="165" fontId="24" fillId="0" borderId="256" xfId="3" applyNumberFormat="1" applyFont="1" applyBorder="1" applyAlignment="1">
      <alignment horizontal="right" vertical="center"/>
    </xf>
    <xf numFmtId="0" fontId="23" fillId="0" borderId="251" xfId="5" applyFont="1" applyBorder="1" applyAlignment="1" applyProtection="1">
      <alignment vertical="center"/>
      <protection locked="0"/>
    </xf>
    <xf numFmtId="0" fontId="24" fillId="0" borderId="251" xfId="5" applyFont="1" applyBorder="1" applyAlignment="1" applyProtection="1">
      <alignment vertical="center"/>
      <protection locked="0"/>
    </xf>
    <xf numFmtId="165" fontId="24" fillId="0" borderId="156" xfId="5" applyNumberFormat="1" applyFont="1" applyBorder="1" applyAlignment="1">
      <alignment horizontal="right" vertical="center"/>
    </xf>
    <xf numFmtId="165" fontId="24" fillId="0" borderId="259" xfId="5" applyNumberFormat="1" applyFont="1" applyBorder="1" applyAlignment="1">
      <alignment horizontal="right" vertical="center"/>
    </xf>
    <xf numFmtId="165" fontId="24" fillId="0" borderId="260" xfId="5" applyNumberFormat="1" applyFont="1" applyBorder="1" applyAlignment="1">
      <alignment horizontal="right" vertical="center"/>
    </xf>
    <xf numFmtId="165" fontId="24" fillId="0" borderId="261" xfId="5" applyNumberFormat="1" applyFont="1" applyBorder="1" applyAlignment="1">
      <alignment horizontal="right" vertical="center"/>
    </xf>
    <xf numFmtId="0" fontId="24" fillId="0" borderId="251" xfId="5" applyFont="1" applyBorder="1" applyAlignment="1" applyProtection="1">
      <alignment horizontal="left" vertical="center" indent="1"/>
      <protection locked="0"/>
    </xf>
    <xf numFmtId="165" fontId="24" fillId="0" borderId="262" xfId="5" applyNumberFormat="1" applyFont="1" applyBorder="1" applyAlignment="1">
      <alignment horizontal="right" vertical="center"/>
    </xf>
    <xf numFmtId="0" fontId="23" fillId="0" borderId="251" xfId="3" applyFont="1" applyBorder="1" applyAlignment="1" applyProtection="1">
      <alignment horizontal="left" vertical="center" indent="1"/>
      <protection locked="0"/>
    </xf>
    <xf numFmtId="0" fontId="24" fillId="0" borderId="251" xfId="3" applyFont="1" applyBorder="1" applyAlignment="1" applyProtection="1">
      <alignment horizontal="left" vertical="center" indent="1"/>
      <protection locked="0"/>
    </xf>
    <xf numFmtId="41" fontId="24" fillId="0" borderId="254" xfId="3" applyNumberFormat="1" applyFont="1" applyBorder="1" applyAlignment="1" applyProtection="1">
      <alignment horizontal="right" vertical="center"/>
      <protection locked="0"/>
    </xf>
    <xf numFmtId="41" fontId="24" fillId="0" borderId="255" xfId="3" applyNumberFormat="1" applyFont="1" applyBorder="1" applyAlignment="1" applyProtection="1">
      <alignment horizontal="right" vertical="center"/>
      <protection locked="0"/>
    </xf>
    <xf numFmtId="41" fontId="24" fillId="0" borderId="256" xfId="3" applyNumberFormat="1" applyFont="1" applyBorder="1" applyAlignment="1">
      <alignment horizontal="right" vertical="center"/>
    </xf>
    <xf numFmtId="165" fontId="24" fillId="0" borderId="263" xfId="3" applyNumberFormat="1" applyFont="1" applyBorder="1" applyAlignment="1">
      <alignment vertical="center"/>
    </xf>
    <xf numFmtId="165" fontId="24" fillId="0" borderId="264" xfId="3" applyNumberFormat="1" applyFont="1" applyBorder="1" applyAlignment="1">
      <alignment vertical="center"/>
    </xf>
    <xf numFmtId="165" fontId="24" fillId="0" borderId="265" xfId="3" applyNumberFormat="1" applyFont="1" applyBorder="1" applyAlignment="1">
      <alignment vertical="center"/>
    </xf>
    <xf numFmtId="0" fontId="23" fillId="0" borderId="266" xfId="3" applyFont="1" applyBorder="1" applyAlignment="1" applyProtection="1">
      <alignment vertical="center"/>
      <protection locked="0"/>
    </xf>
    <xf numFmtId="165" fontId="23" fillId="0" borderId="267" xfId="3" applyNumberFormat="1" applyFont="1" applyBorder="1" applyAlignment="1" applyProtection="1">
      <alignment horizontal="right" vertical="center"/>
      <protection locked="0"/>
    </xf>
    <xf numFmtId="165" fontId="24" fillId="0" borderId="267" xfId="3" applyNumberFormat="1" applyFont="1" applyBorder="1" applyAlignment="1">
      <alignment horizontal="right" vertical="center"/>
    </xf>
    <xf numFmtId="165" fontId="24" fillId="0" borderId="161" xfId="3" applyNumberFormat="1" applyFont="1" applyBorder="1" applyAlignment="1">
      <alignment horizontal="right" vertical="center"/>
    </xf>
    <xf numFmtId="165" fontId="24" fillId="0" borderId="268" xfId="3" applyNumberFormat="1" applyFont="1" applyBorder="1" applyAlignment="1">
      <alignment vertical="center"/>
    </xf>
    <xf numFmtId="165" fontId="24" fillId="0" borderId="267" xfId="3" applyNumberFormat="1" applyFont="1" applyBorder="1" applyAlignment="1">
      <alignment vertical="center"/>
    </xf>
    <xf numFmtId="165" fontId="24" fillId="0" borderId="161" xfId="3" applyNumberFormat="1" applyFont="1" applyBorder="1" applyAlignment="1">
      <alignment vertical="center"/>
    </xf>
    <xf numFmtId="165" fontId="24" fillId="0" borderId="269" xfId="3" applyNumberFormat="1" applyFont="1" applyBorder="1" applyAlignment="1">
      <alignment vertical="center"/>
    </xf>
    <xf numFmtId="165" fontId="24" fillId="0" borderId="269" xfId="3" applyNumberFormat="1" applyFont="1" applyBorder="1" applyAlignment="1" applyProtection="1">
      <alignment horizontal="right" vertical="center"/>
      <protection locked="0"/>
    </xf>
    <xf numFmtId="165" fontId="24" fillId="0" borderId="270" xfId="3" applyNumberFormat="1" applyFont="1" applyBorder="1" applyAlignment="1" applyProtection="1">
      <alignment horizontal="right" vertical="center"/>
      <protection locked="0"/>
    </xf>
    <xf numFmtId="165" fontId="24" fillId="0" borderId="271" xfId="3" applyNumberFormat="1" applyFont="1" applyBorder="1" applyAlignment="1">
      <alignment horizontal="right" vertical="center"/>
    </xf>
    <xf numFmtId="0" fontId="14" fillId="0" borderId="238" xfId="3" applyFont="1" applyBorder="1" applyAlignment="1" applyProtection="1">
      <alignment vertical="center"/>
      <protection locked="0"/>
    </xf>
    <xf numFmtId="0" fontId="17" fillId="0" borderId="239" xfId="3" applyFont="1" applyBorder="1" applyAlignment="1" applyProtection="1">
      <alignment horizontal="right" vertical="center"/>
      <protection locked="0"/>
    </xf>
    <xf numFmtId="0" fontId="16" fillId="0" borderId="239" xfId="3" applyFont="1" applyBorder="1" applyAlignment="1">
      <alignment horizontal="right" vertical="center"/>
    </xf>
    <xf numFmtId="0" fontId="16" fillId="0" borderId="139" xfId="3" applyFont="1" applyBorder="1" applyAlignment="1">
      <alignment horizontal="right" vertical="center"/>
    </xf>
    <xf numFmtId="0" fontId="16" fillId="0" borderId="241" xfId="3" applyFont="1" applyBorder="1" applyAlignment="1">
      <alignment horizontal="right" vertical="center"/>
    </xf>
    <xf numFmtId="0" fontId="16" fillId="0" borderId="243" xfId="3" quotePrefix="1" applyFont="1" applyBorder="1" applyAlignment="1">
      <alignment horizontal="right" vertical="center"/>
    </xf>
    <xf numFmtId="0" fontId="16" fillId="0" borderId="243" xfId="3" applyFont="1" applyBorder="1" applyAlignment="1" applyProtection="1">
      <alignment horizontal="right" vertical="center"/>
      <protection locked="0"/>
    </xf>
    <xf numFmtId="0" fontId="16" fillId="0" borderId="244" xfId="3" applyFont="1" applyBorder="1" applyAlignment="1" applyProtection="1">
      <alignment horizontal="right" vertical="center"/>
      <protection locked="0"/>
    </xf>
    <xf numFmtId="0" fontId="16" fillId="0" borderId="272" xfId="3" applyFont="1" applyBorder="1" applyAlignment="1">
      <alignment horizontal="right" vertical="center"/>
    </xf>
    <xf numFmtId="0" fontId="23" fillId="0" borderId="273" xfId="3" applyFont="1" applyBorder="1" applyAlignment="1" applyProtection="1">
      <alignment vertical="center"/>
      <protection locked="0"/>
    </xf>
    <xf numFmtId="169" fontId="17" fillId="0" borderId="274" xfId="3" applyNumberFormat="1" applyFont="1" applyBorder="1" applyAlignment="1" applyProtection="1">
      <alignment horizontal="right" vertical="center"/>
      <protection locked="0"/>
    </xf>
    <xf numFmtId="169" fontId="16" fillId="0" borderId="274" xfId="3" applyNumberFormat="1" applyFont="1" applyBorder="1" applyAlignment="1">
      <alignment horizontal="right" vertical="center"/>
    </xf>
    <xf numFmtId="169" fontId="16" fillId="0" borderId="145" xfId="3" applyNumberFormat="1" applyFont="1" applyBorder="1" applyAlignment="1">
      <alignment horizontal="right" vertical="center"/>
    </xf>
    <xf numFmtId="169" fontId="16" fillId="0" borderId="275" xfId="3" applyNumberFormat="1" applyFont="1" applyBorder="1" applyAlignment="1">
      <alignment horizontal="right" vertical="center"/>
    </xf>
    <xf numFmtId="169" fontId="16" fillId="0" borderId="276" xfId="3" applyNumberFormat="1" applyFont="1" applyBorder="1" applyAlignment="1">
      <alignment horizontal="right" vertical="center"/>
    </xf>
    <xf numFmtId="168" fontId="16" fillId="0" borderId="276" xfId="3" applyNumberFormat="1" applyFont="1" applyBorder="1" applyAlignment="1" applyProtection="1">
      <alignment vertical="center"/>
      <protection locked="0"/>
    </xf>
    <xf numFmtId="168" fontId="16" fillId="0" borderId="277" xfId="3" applyNumberFormat="1" applyFont="1" applyBorder="1" applyAlignment="1" applyProtection="1">
      <alignment vertical="center"/>
      <protection locked="0"/>
    </xf>
    <xf numFmtId="168" fontId="16" fillId="0" borderId="278" xfId="3" applyNumberFormat="1" applyFont="1" applyBorder="1" applyAlignment="1">
      <alignment vertical="center"/>
    </xf>
    <xf numFmtId="168" fontId="16" fillId="0" borderId="274" xfId="3" applyNumberFormat="1" applyFont="1" applyBorder="1" applyAlignment="1">
      <alignment vertical="center"/>
    </xf>
    <xf numFmtId="168" fontId="23" fillId="0" borderId="252" xfId="3" applyNumberFormat="1" applyFont="1" applyBorder="1" applyAlignment="1" applyProtection="1">
      <alignment horizontal="right" vertical="center"/>
      <protection locked="0"/>
    </xf>
    <xf numFmtId="168" fontId="24" fillId="0" borderId="252" xfId="3" applyNumberFormat="1" applyFont="1" applyBorder="1" applyAlignment="1">
      <alignment horizontal="right" vertical="center"/>
    </xf>
    <xf numFmtId="168" fontId="24" fillId="0" borderId="156" xfId="3" applyNumberFormat="1" applyFont="1" applyBorder="1" applyAlignment="1">
      <alignment horizontal="right" vertical="center"/>
    </xf>
    <xf numFmtId="168" fontId="24" fillId="0" borderId="253" xfId="3" applyNumberFormat="1" applyFont="1" applyBorder="1" applyAlignment="1">
      <alignment vertical="center"/>
    </xf>
    <xf numFmtId="168" fontId="24" fillId="0" borderId="254" xfId="3" applyNumberFormat="1" applyFont="1" applyBorder="1" applyAlignment="1">
      <alignment vertical="center"/>
    </xf>
    <xf numFmtId="168" fontId="24" fillId="0" borderId="252" xfId="3" applyNumberFormat="1" applyFont="1" applyBorder="1" applyAlignment="1">
      <alignment vertical="center"/>
    </xf>
    <xf numFmtId="168" fontId="24" fillId="0" borderId="254" xfId="3" applyNumberFormat="1" applyFont="1" applyBorder="1" applyAlignment="1" applyProtection="1">
      <alignment horizontal="right" vertical="center"/>
      <protection locked="0"/>
    </xf>
    <xf numFmtId="168" fontId="24" fillId="0" borderId="255" xfId="3" applyNumberFormat="1" applyFont="1" applyBorder="1" applyAlignment="1" applyProtection="1">
      <alignment vertical="center"/>
      <protection locked="0"/>
    </xf>
    <xf numFmtId="168" fontId="24" fillId="0" borderId="256" xfId="3" applyNumberFormat="1" applyFont="1" applyBorder="1" applyAlignment="1">
      <alignment horizontal="right" vertical="center"/>
    </xf>
    <xf numFmtId="169" fontId="23" fillId="0" borderId="252" xfId="3" applyNumberFormat="1" applyFont="1" applyBorder="1" applyAlignment="1" applyProtection="1">
      <alignment horizontal="right" vertical="center"/>
      <protection locked="0"/>
    </xf>
    <xf numFmtId="169" fontId="24" fillId="0" borderId="252" xfId="3" applyNumberFormat="1" applyFont="1" applyBorder="1" applyAlignment="1">
      <alignment horizontal="right" vertical="center"/>
    </xf>
    <xf numFmtId="169" fontId="24" fillId="0" borderId="253" xfId="3" applyNumberFormat="1" applyFont="1" applyBorder="1" applyAlignment="1">
      <alignment vertical="center"/>
    </xf>
    <xf numFmtId="169" fontId="24" fillId="0" borderId="254" xfId="3" applyNumberFormat="1" applyFont="1" applyBorder="1" applyAlignment="1">
      <alignment vertical="center"/>
    </xf>
    <xf numFmtId="169" fontId="24" fillId="0" borderId="252" xfId="3" applyNumberFormat="1" applyFont="1" applyBorder="1" applyAlignment="1">
      <alignment vertical="center"/>
    </xf>
    <xf numFmtId="0" fontId="24" fillId="0" borderId="266" xfId="3" applyFont="1" applyBorder="1" applyAlignment="1" applyProtection="1">
      <alignment horizontal="left" vertical="center" indent="1"/>
      <protection locked="0"/>
    </xf>
    <xf numFmtId="168" fontId="23" fillId="0" borderId="267" xfId="3" applyNumberFormat="1" applyFont="1" applyBorder="1" applyAlignment="1" applyProtection="1">
      <alignment horizontal="right" vertical="center"/>
      <protection locked="0"/>
    </xf>
    <xf numFmtId="168" fontId="24" fillId="0" borderId="267" xfId="3" applyNumberFormat="1" applyFont="1" applyBorder="1" applyAlignment="1">
      <alignment horizontal="right" vertical="center"/>
    </xf>
    <xf numFmtId="168" fontId="24" fillId="0" borderId="161" xfId="3" applyNumberFormat="1" applyFont="1" applyBorder="1" applyAlignment="1">
      <alignment horizontal="right" vertical="center"/>
    </xf>
    <xf numFmtId="168" fontId="24" fillId="0" borderId="268" xfId="3" applyNumberFormat="1" applyFont="1" applyBorder="1" applyAlignment="1">
      <alignment vertical="center"/>
    </xf>
    <xf numFmtId="168" fontId="24" fillId="0" borderId="269" xfId="3" applyNumberFormat="1" applyFont="1" applyBorder="1" applyAlignment="1">
      <alignment vertical="center"/>
    </xf>
    <xf numFmtId="168" fontId="24" fillId="0" borderId="267" xfId="3" applyNumberFormat="1" applyFont="1" applyBorder="1" applyAlignment="1">
      <alignment vertical="center"/>
    </xf>
    <xf numFmtId="168" fontId="24" fillId="0" borderId="269" xfId="3" applyNumberFormat="1" applyFont="1" applyBorder="1" applyAlignment="1" applyProtection="1">
      <alignment horizontal="right" vertical="center"/>
      <protection locked="0"/>
    </xf>
    <xf numFmtId="168" fontId="24" fillId="0" borderId="270" xfId="3" applyNumberFormat="1" applyFont="1" applyBorder="1" applyAlignment="1" applyProtection="1">
      <alignment vertical="center"/>
      <protection locked="0"/>
    </xf>
    <xf numFmtId="168" fontId="24" fillId="0" borderId="271" xfId="3" applyNumberFormat="1" applyFont="1" applyBorder="1" applyAlignment="1">
      <alignment horizontal="right" vertical="center"/>
    </xf>
    <xf numFmtId="168" fontId="16" fillId="0" borderId="243" xfId="3" applyNumberFormat="1" applyFont="1" applyBorder="1" applyAlignment="1" applyProtection="1">
      <alignment horizontal="right" vertical="center"/>
      <protection locked="0"/>
    </xf>
    <xf numFmtId="168" fontId="16" fillId="0" borderId="244" xfId="3" applyNumberFormat="1" applyFont="1" applyBorder="1" applyAlignment="1" applyProtection="1">
      <alignment horizontal="right" vertical="center"/>
      <protection locked="0"/>
    </xf>
    <xf numFmtId="168" fontId="16" fillId="0" borderId="272" xfId="3" applyNumberFormat="1" applyFont="1" applyBorder="1" applyAlignment="1">
      <alignment horizontal="right" vertical="center"/>
    </xf>
    <xf numFmtId="168" fontId="16" fillId="0" borderId="239" xfId="3" applyNumberFormat="1" applyFont="1" applyBorder="1" applyAlignment="1">
      <alignment horizontal="right" vertical="center"/>
    </xf>
    <xf numFmtId="0" fontId="24" fillId="0" borderId="273" xfId="3" applyFont="1" applyBorder="1" applyAlignment="1" applyProtection="1">
      <alignment vertical="center"/>
      <protection locked="0"/>
    </xf>
    <xf numFmtId="168" fontId="17" fillId="0" borderId="274" xfId="3" applyNumberFormat="1" applyFont="1" applyBorder="1" applyAlignment="1" applyProtection="1">
      <alignment horizontal="right" vertical="center"/>
      <protection locked="0"/>
    </xf>
    <xf numFmtId="168" fontId="16" fillId="0" borderId="274" xfId="3" applyNumberFormat="1" applyFont="1" applyBorder="1" applyAlignment="1">
      <alignment horizontal="right" vertical="center"/>
    </xf>
    <xf numFmtId="168" fontId="16" fillId="0" borderId="145" xfId="3" applyNumberFormat="1" applyFont="1" applyBorder="1" applyAlignment="1">
      <alignment horizontal="right" vertical="center"/>
    </xf>
    <xf numFmtId="168" fontId="16" fillId="0" borderId="275" xfId="3" applyNumberFormat="1" applyFont="1" applyBorder="1" applyAlignment="1">
      <alignment horizontal="right" vertical="center"/>
    </xf>
    <xf numFmtId="168" fontId="16" fillId="0" borderId="276" xfId="3" applyNumberFormat="1" applyFont="1" applyBorder="1" applyAlignment="1">
      <alignment horizontal="right" vertical="center"/>
    </xf>
    <xf numFmtId="168" fontId="16" fillId="0" borderId="277" xfId="3" applyNumberFormat="1" applyFont="1" applyBorder="1" applyAlignment="1" applyProtection="1">
      <alignment horizontal="right" vertical="center"/>
      <protection locked="0"/>
    </xf>
    <xf numFmtId="168" fontId="16" fillId="0" borderId="278" xfId="3" applyNumberFormat="1" applyFont="1" applyBorder="1" applyAlignment="1">
      <alignment horizontal="right" vertical="center"/>
    </xf>
    <xf numFmtId="168" fontId="17" fillId="0" borderId="252" xfId="3" applyNumberFormat="1" applyFont="1" applyBorder="1" applyAlignment="1" applyProtection="1">
      <alignment horizontal="right" vertical="center"/>
      <protection locked="0"/>
    </xf>
    <xf numFmtId="168" fontId="16" fillId="0" borderId="252" xfId="3" applyNumberFormat="1" applyFont="1" applyBorder="1" applyAlignment="1">
      <alignment horizontal="right" vertical="center"/>
    </xf>
    <xf numFmtId="168" fontId="16" fillId="0" borderId="156" xfId="3" applyNumberFormat="1" applyFont="1" applyBorder="1" applyAlignment="1">
      <alignment horizontal="right" vertical="center"/>
    </xf>
    <xf numFmtId="168" fontId="16" fillId="0" borderId="253" xfId="3" applyNumberFormat="1" applyFont="1" applyBorder="1" applyAlignment="1">
      <alignment horizontal="right" vertical="center"/>
    </xf>
    <xf numFmtId="168" fontId="16" fillId="0" borderId="254" xfId="3" applyNumberFormat="1" applyFont="1" applyBorder="1" applyAlignment="1">
      <alignment horizontal="right" vertical="center"/>
    </xf>
    <xf numFmtId="168" fontId="16" fillId="0" borderId="254" xfId="3" applyNumberFormat="1" applyFont="1" applyBorder="1" applyAlignment="1" applyProtection="1">
      <alignment vertical="center"/>
      <protection locked="0"/>
    </xf>
    <xf numFmtId="168" fontId="16" fillId="0" borderId="255" xfId="3" applyNumberFormat="1" applyFont="1" applyBorder="1" applyAlignment="1" applyProtection="1">
      <alignment horizontal="right" vertical="center"/>
      <protection locked="0"/>
    </xf>
    <xf numFmtId="168" fontId="16" fillId="0" borderId="256" xfId="3" applyNumberFormat="1" applyFont="1" applyBorder="1" applyAlignment="1">
      <alignment horizontal="right" vertical="center"/>
    </xf>
    <xf numFmtId="168" fontId="16" fillId="0" borderId="252" xfId="3" applyNumberFormat="1" applyFont="1" applyBorder="1" applyAlignment="1">
      <alignment vertical="center"/>
    </xf>
    <xf numFmtId="0" fontId="17" fillId="0" borderId="251" xfId="3" applyFont="1" applyBorder="1" applyAlignment="1" applyProtection="1">
      <alignment vertical="center"/>
      <protection locked="0"/>
    </xf>
    <xf numFmtId="0" fontId="16" fillId="0" borderId="251" xfId="3" applyFont="1" applyBorder="1" applyAlignment="1" applyProtection="1">
      <alignment vertical="center"/>
      <protection locked="0"/>
    </xf>
    <xf numFmtId="168" fontId="16" fillId="0" borderId="254" xfId="3" applyNumberFormat="1" applyFont="1" applyBorder="1" applyAlignment="1" applyProtection="1">
      <alignment horizontal="right" vertical="center"/>
      <protection locked="0"/>
    </xf>
    <xf numFmtId="0" fontId="17" fillId="0" borderId="266" xfId="3" applyFont="1" applyBorder="1" applyAlignment="1" applyProtection="1">
      <alignment vertical="center"/>
      <protection locked="0"/>
    </xf>
    <xf numFmtId="168" fontId="17" fillId="0" borderId="267" xfId="3" applyNumberFormat="1" applyFont="1" applyBorder="1" applyAlignment="1" applyProtection="1">
      <alignment horizontal="right" vertical="center"/>
      <protection locked="0"/>
    </xf>
    <xf numFmtId="168" fontId="16" fillId="0" borderId="267" xfId="3" applyNumberFormat="1" applyFont="1" applyBorder="1" applyAlignment="1">
      <alignment horizontal="right" vertical="center"/>
    </xf>
    <xf numFmtId="168" fontId="16" fillId="0" borderId="268" xfId="3" applyNumberFormat="1" applyFont="1" applyBorder="1" applyAlignment="1">
      <alignment horizontal="right" vertical="center"/>
    </xf>
    <xf numFmtId="168" fontId="16" fillId="0" borderId="269" xfId="3" applyNumberFormat="1" applyFont="1" applyBorder="1" applyAlignment="1">
      <alignment horizontal="right" vertical="center"/>
    </xf>
    <xf numFmtId="168" fontId="16" fillId="0" borderId="269" xfId="3" applyNumberFormat="1" applyFont="1" applyBorder="1" applyAlignment="1" applyProtection="1">
      <alignment vertical="center"/>
      <protection locked="0"/>
    </xf>
    <xf numFmtId="168" fontId="16" fillId="0" borderId="270" xfId="3" applyNumberFormat="1" applyFont="1" applyBorder="1" applyAlignment="1" applyProtection="1">
      <alignment horizontal="right" vertical="center"/>
      <protection locked="0"/>
    </xf>
    <xf numFmtId="168" fontId="16" fillId="0" borderId="271" xfId="3" applyNumberFormat="1" applyFont="1" applyBorder="1" applyAlignment="1">
      <alignment horizontal="right" vertical="center"/>
    </xf>
    <xf numFmtId="168" fontId="16" fillId="0" borderId="267" xfId="3" applyNumberFormat="1" applyFont="1" applyBorder="1" applyAlignment="1">
      <alignment vertical="center"/>
    </xf>
    <xf numFmtId="0" fontId="17" fillId="0" borderId="273" xfId="3" applyFont="1" applyBorder="1" applyAlignment="1" applyProtection="1">
      <alignment vertical="center"/>
      <protection locked="0"/>
    </xf>
    <xf numFmtId="41" fontId="17" fillId="0" borderId="274" xfId="3" applyNumberFormat="1" applyFont="1" applyBorder="1" applyAlignment="1" applyProtection="1">
      <alignment horizontal="right" vertical="center"/>
      <protection locked="0"/>
    </xf>
    <xf numFmtId="41" fontId="16" fillId="0" borderId="274" xfId="3" applyNumberFormat="1" applyFont="1" applyBorder="1" applyAlignment="1">
      <alignment horizontal="right" vertical="center"/>
    </xf>
    <xf numFmtId="41" fontId="16" fillId="0" borderId="145" xfId="3" applyNumberFormat="1" applyFont="1" applyBorder="1" applyAlignment="1">
      <alignment horizontal="right" vertical="center"/>
    </xf>
    <xf numFmtId="41" fontId="16" fillId="0" borderId="275" xfId="3" applyNumberFormat="1" applyFont="1" applyBorder="1" applyAlignment="1">
      <alignment horizontal="right" vertical="center"/>
    </xf>
    <xf numFmtId="41" fontId="16" fillId="0" borderId="276" xfId="3" applyNumberFormat="1" applyFont="1" applyBorder="1" applyAlignment="1">
      <alignment horizontal="right" vertical="center"/>
    </xf>
    <xf numFmtId="41" fontId="16" fillId="0" borderId="276" xfId="3" applyNumberFormat="1" applyFont="1" applyBorder="1" applyAlignment="1" applyProtection="1">
      <alignment horizontal="right" vertical="center"/>
      <protection locked="0"/>
    </xf>
    <xf numFmtId="41" fontId="16" fillId="0" borderId="277" xfId="3" applyNumberFormat="1" applyFont="1" applyBorder="1" applyAlignment="1" applyProtection="1">
      <alignment horizontal="right" vertical="center"/>
      <protection locked="0"/>
    </xf>
    <xf numFmtId="41" fontId="16" fillId="0" borderId="278" xfId="3" applyNumberFormat="1" applyFont="1" applyBorder="1" applyAlignment="1">
      <alignment horizontal="right" vertical="center"/>
    </xf>
    <xf numFmtId="0" fontId="16" fillId="0" borderId="251" xfId="3" applyFont="1" applyBorder="1" applyAlignment="1" applyProtection="1">
      <alignment horizontal="left" vertical="center" indent="1"/>
      <protection locked="0"/>
    </xf>
    <xf numFmtId="165" fontId="17" fillId="0" borderId="252" xfId="3" applyNumberFormat="1" applyFont="1" applyBorder="1" applyAlignment="1" applyProtection="1">
      <alignment horizontal="right" vertical="center"/>
      <protection locked="0"/>
    </xf>
    <xf numFmtId="165" fontId="16" fillId="0" borderId="252" xfId="3" applyNumberFormat="1" applyFont="1" applyBorder="1" applyAlignment="1">
      <alignment horizontal="right" vertical="center"/>
    </xf>
    <xf numFmtId="165" fontId="16" fillId="0" borderId="156" xfId="3" applyNumberFormat="1" applyFont="1" applyBorder="1" applyAlignment="1">
      <alignment horizontal="right" vertical="center"/>
    </xf>
    <xf numFmtId="165" fontId="16" fillId="0" borderId="253" xfId="3" applyNumberFormat="1" applyFont="1" applyBorder="1" applyAlignment="1">
      <alignment horizontal="right" vertical="center"/>
    </xf>
    <xf numFmtId="165" fontId="16" fillId="0" borderId="254" xfId="3" applyNumberFormat="1" applyFont="1" applyBorder="1" applyAlignment="1">
      <alignment horizontal="right" vertical="center"/>
    </xf>
    <xf numFmtId="165" fontId="16" fillId="0" borderId="252" xfId="3" applyNumberFormat="1" applyFont="1" applyBorder="1" applyAlignment="1">
      <alignment vertical="center"/>
    </xf>
    <xf numFmtId="165" fontId="16" fillId="0" borderId="254" xfId="3" applyNumberFormat="1" applyFont="1" applyBorder="1" applyAlignment="1" applyProtection="1">
      <alignment vertical="center"/>
      <protection locked="0"/>
    </xf>
    <xf numFmtId="165" fontId="16" fillId="0" borderId="255" xfId="3" applyNumberFormat="1" applyFont="1" applyBorder="1" applyAlignment="1" applyProtection="1">
      <alignment horizontal="right" vertical="center"/>
      <protection locked="0"/>
    </xf>
    <xf numFmtId="165" fontId="16" fillId="0" borderId="256" xfId="3" applyNumberFormat="1" applyFont="1" applyBorder="1" applyAlignment="1">
      <alignment horizontal="right" vertical="center"/>
    </xf>
    <xf numFmtId="0" fontId="24" fillId="0" borderId="251" xfId="3" applyFont="1" applyBorder="1" applyAlignment="1" applyProtection="1">
      <alignment horizontal="left" vertical="center" indent="2"/>
      <protection locked="0"/>
    </xf>
    <xf numFmtId="0" fontId="17" fillId="0" borderId="251" xfId="3" applyFont="1" applyBorder="1" applyAlignment="1" applyProtection="1">
      <alignment horizontal="left" vertical="center"/>
      <protection locked="0"/>
    </xf>
    <xf numFmtId="41" fontId="17" fillId="0" borderId="252" xfId="3" applyNumberFormat="1" applyFont="1" applyBorder="1" applyAlignment="1" applyProtection="1">
      <alignment horizontal="right" vertical="center"/>
      <protection locked="0"/>
    </xf>
    <xf numFmtId="41" fontId="16" fillId="0" borderId="252" xfId="3" applyNumberFormat="1" applyFont="1" applyBorder="1" applyAlignment="1">
      <alignment horizontal="right" vertical="center"/>
    </xf>
    <xf numFmtId="41" fontId="16" fillId="0" borderId="156" xfId="3" applyNumberFormat="1" applyFont="1" applyBorder="1" applyAlignment="1">
      <alignment horizontal="right" vertical="center"/>
    </xf>
    <xf numFmtId="41" fontId="16" fillId="0" borderId="253" xfId="3" applyNumberFormat="1" applyFont="1" applyBorder="1" applyAlignment="1">
      <alignment horizontal="right" vertical="center"/>
    </xf>
    <xf numFmtId="41" fontId="16" fillId="0" borderId="254" xfId="3" applyNumberFormat="1" applyFont="1" applyBorder="1" applyAlignment="1">
      <alignment horizontal="right" vertical="center"/>
    </xf>
    <xf numFmtId="41" fontId="16" fillId="0" borderId="254" xfId="3" applyNumberFormat="1" applyFont="1" applyBorder="1" applyAlignment="1" applyProtection="1">
      <alignment horizontal="right" vertical="center"/>
      <protection locked="0"/>
    </xf>
    <xf numFmtId="41" fontId="16" fillId="0" borderId="255" xfId="3" applyNumberFormat="1" applyFont="1" applyBorder="1" applyAlignment="1" applyProtection="1">
      <alignment horizontal="right" vertical="center"/>
      <protection locked="0"/>
    </xf>
    <xf numFmtId="41" fontId="16" fillId="0" borderId="256" xfId="3" applyNumberFormat="1" applyFont="1" applyBorder="1" applyAlignment="1">
      <alignment horizontal="right" vertical="center"/>
    </xf>
    <xf numFmtId="165" fontId="16" fillId="0" borderId="156" xfId="3" quotePrefix="1" applyNumberFormat="1" applyFont="1" applyBorder="1" applyAlignment="1">
      <alignment horizontal="right" vertical="center"/>
    </xf>
    <xf numFmtId="165" fontId="16" fillId="0" borderId="253" xfId="3" applyNumberFormat="1" applyFont="1" applyBorder="1" applyAlignment="1">
      <alignment vertical="center"/>
    </xf>
    <xf numFmtId="165" fontId="16" fillId="0" borderId="156" xfId="3" quotePrefix="1" applyNumberFormat="1" applyFont="1" applyBorder="1" applyAlignment="1">
      <alignment vertical="center"/>
    </xf>
    <xf numFmtId="165" fontId="16" fillId="0" borderId="254" xfId="3" applyNumberFormat="1" applyFont="1" applyBorder="1" applyAlignment="1">
      <alignment vertical="center"/>
    </xf>
    <xf numFmtId="173" fontId="17" fillId="0" borderId="252" xfId="3" applyNumberFormat="1" applyFont="1" applyBorder="1" applyAlignment="1" applyProtection="1">
      <alignment horizontal="right" vertical="center"/>
      <protection locked="0"/>
    </xf>
    <xf numFmtId="173" fontId="16" fillId="0" borderId="252" xfId="3" applyNumberFormat="1" applyFont="1" applyBorder="1" applyAlignment="1">
      <alignment horizontal="right" vertical="center"/>
    </xf>
    <xf numFmtId="173" fontId="16" fillId="0" borderId="156" xfId="3" applyNumberFormat="1" applyFont="1" applyBorder="1" applyAlignment="1">
      <alignment horizontal="right" vertical="center"/>
    </xf>
    <xf numFmtId="173" fontId="16" fillId="0" borderId="253" xfId="3" applyNumberFormat="1" applyFont="1" applyBorder="1" applyAlignment="1">
      <alignment vertical="center"/>
    </xf>
    <xf numFmtId="173" fontId="16" fillId="0" borderId="252" xfId="3" applyNumberFormat="1" applyFont="1" applyBorder="1" applyAlignment="1">
      <alignment vertical="center"/>
    </xf>
    <xf numFmtId="173" fontId="16" fillId="0" borderId="156" xfId="3" applyNumberFormat="1" applyFont="1" applyBorder="1" applyAlignment="1">
      <alignment vertical="center"/>
    </xf>
    <xf numFmtId="173" fontId="16" fillId="0" borderId="254" xfId="3" applyNumberFormat="1" applyFont="1" applyBorder="1" applyAlignment="1">
      <alignment vertical="center"/>
    </xf>
    <xf numFmtId="165" fontId="16" fillId="0" borderId="254" xfId="3" applyNumberFormat="1" applyFont="1" applyBorder="1" applyAlignment="1" applyProtection="1">
      <alignment horizontal="right" vertical="center"/>
      <protection locked="0"/>
    </xf>
    <xf numFmtId="41" fontId="24" fillId="0" borderId="252" xfId="3" applyNumberFormat="1" applyFont="1" applyBorder="1"/>
    <xf numFmtId="41" fontId="24" fillId="10" borderId="254" xfId="3" applyNumberFormat="1" applyFont="1" applyFill="1" applyBorder="1" applyProtection="1">
      <protection locked="0"/>
    </xf>
    <xf numFmtId="41" fontId="24" fillId="10" borderId="255" xfId="3" applyNumberFormat="1" applyFont="1" applyFill="1" applyBorder="1" applyProtection="1">
      <protection locked="0"/>
    </xf>
    <xf numFmtId="41" fontId="24" fillId="10" borderId="252" xfId="3" applyNumberFormat="1" applyFont="1" applyFill="1" applyBorder="1"/>
    <xf numFmtId="0" fontId="16" fillId="0" borderId="266" xfId="3" applyFont="1" applyBorder="1" applyAlignment="1" applyProtection="1">
      <alignment horizontal="left" vertical="center" indent="1"/>
      <protection locked="0"/>
    </xf>
    <xf numFmtId="165" fontId="17" fillId="0" borderId="267" xfId="3" applyNumberFormat="1" applyFont="1" applyBorder="1" applyAlignment="1" applyProtection="1">
      <alignment horizontal="right" vertical="center"/>
      <protection locked="0"/>
    </xf>
    <xf numFmtId="165" fontId="16" fillId="0" borderId="267" xfId="3" applyNumberFormat="1" applyFont="1" applyBorder="1" applyAlignment="1">
      <alignment horizontal="right" vertical="center"/>
    </xf>
    <xf numFmtId="165" fontId="16" fillId="0" borderId="161" xfId="3" applyNumberFormat="1" applyFont="1" applyBorder="1" applyAlignment="1">
      <alignment horizontal="right" vertical="center"/>
    </xf>
    <xf numFmtId="165" fontId="16" fillId="0" borderId="268" xfId="3" applyNumberFormat="1" applyFont="1" applyBorder="1" applyAlignment="1">
      <alignment vertical="center"/>
    </xf>
    <xf numFmtId="165" fontId="16" fillId="0" borderId="267" xfId="3" applyNumberFormat="1" applyFont="1" applyBorder="1" applyAlignment="1">
      <alignment vertical="center"/>
    </xf>
    <xf numFmtId="165" fontId="16" fillId="0" borderId="269" xfId="3" applyNumberFormat="1" applyFont="1" applyBorder="1" applyAlignment="1">
      <alignment vertical="center"/>
    </xf>
    <xf numFmtId="41" fontId="24" fillId="10" borderId="269" xfId="3" applyNumberFormat="1" applyFont="1" applyFill="1" applyBorder="1" applyProtection="1">
      <protection locked="0"/>
    </xf>
    <xf numFmtId="41" fontId="24" fillId="10" borderId="270" xfId="3" applyNumberFormat="1" applyFont="1" applyFill="1" applyBorder="1" applyProtection="1">
      <protection locked="0"/>
    </xf>
    <xf numFmtId="41" fontId="24" fillId="10" borderId="267" xfId="3" applyNumberFormat="1" applyFont="1" applyFill="1" applyBorder="1"/>
    <xf numFmtId="0" fontId="40" fillId="0" borderId="20" xfId="3" applyFont="1" applyBorder="1" applyProtection="1">
      <protection locked="0"/>
    </xf>
    <xf numFmtId="173" fontId="44" fillId="0" borderId="20" xfId="3" applyNumberFormat="1" applyFont="1" applyBorder="1" applyAlignment="1" applyProtection="1">
      <alignment vertical="center"/>
      <protection locked="0"/>
    </xf>
    <xf numFmtId="173" fontId="30" fillId="0" borderId="20" xfId="3" applyNumberFormat="1" applyFont="1" applyBorder="1" applyProtection="1">
      <protection locked="0"/>
    </xf>
    <xf numFmtId="0" fontId="31" fillId="0" borderId="0" xfId="3" applyFont="1" applyAlignment="1" applyProtection="1">
      <alignment horizontal="left" vertical="center"/>
      <protection locked="0"/>
    </xf>
    <xf numFmtId="11" fontId="14" fillId="9" borderId="280" xfId="3" applyNumberFormat="1" applyFont="1" applyFill="1" applyBorder="1" applyAlignment="1" applyProtection="1">
      <alignment vertical="center" wrapText="1"/>
      <protection locked="0"/>
    </xf>
    <xf numFmtId="11" fontId="14" fillId="0" borderId="280" xfId="3" applyNumberFormat="1" applyFont="1" applyBorder="1" applyAlignment="1" applyProtection="1">
      <alignment vertical="center" wrapText="1"/>
      <protection locked="0"/>
    </xf>
    <xf numFmtId="11" fontId="23" fillId="0" borderId="281" xfId="3" applyNumberFormat="1" applyFont="1" applyBorder="1" applyAlignment="1" applyProtection="1">
      <alignment horizontal="right" vertical="center"/>
      <protection locked="0"/>
    </xf>
    <xf numFmtId="11" fontId="24" fillId="0" borderId="281" xfId="3" applyNumberFormat="1" applyFont="1" applyBorder="1" applyAlignment="1" applyProtection="1">
      <alignment horizontal="right" vertical="center"/>
      <protection locked="0"/>
    </xf>
    <xf numFmtId="11" fontId="24" fillId="0" borderId="280" xfId="3" applyNumberFormat="1" applyFont="1" applyBorder="1" applyAlignment="1" applyProtection="1">
      <alignment horizontal="right" vertical="center"/>
      <protection locked="0"/>
    </xf>
    <xf numFmtId="11" fontId="24" fillId="0" borderId="17" xfId="3" applyNumberFormat="1" applyFont="1" applyBorder="1" applyAlignment="1">
      <alignment horizontal="right" vertical="center"/>
    </xf>
    <xf numFmtId="11" fontId="24" fillId="0" borderId="281" xfId="3" applyNumberFormat="1" applyFont="1" applyBorder="1" applyAlignment="1">
      <alignment horizontal="right" vertical="center"/>
    </xf>
    <xf numFmtId="11" fontId="24" fillId="0" borderId="139" xfId="3" applyNumberFormat="1" applyFont="1" applyBorder="1" applyAlignment="1">
      <alignment horizontal="right" vertical="center"/>
    </xf>
    <xf numFmtId="11" fontId="24" fillId="0" borderId="283" xfId="3" applyNumberFormat="1" applyFont="1" applyBorder="1" applyAlignment="1">
      <alignment horizontal="right" vertical="center"/>
    </xf>
    <xf numFmtId="0" fontId="24" fillId="0" borderId="283" xfId="3" applyFont="1" applyBorder="1" applyAlignment="1" applyProtection="1">
      <alignment vertical="center"/>
      <protection locked="0"/>
    </xf>
    <xf numFmtId="0" fontId="24" fillId="0" borderId="280" xfId="3" applyFont="1" applyBorder="1" applyAlignment="1" applyProtection="1">
      <alignment vertical="center"/>
      <protection locked="0"/>
    </xf>
    <xf numFmtId="0" fontId="24" fillId="0" borderId="281" xfId="3" applyFont="1" applyBorder="1" applyAlignment="1">
      <alignment vertical="center"/>
    </xf>
    <xf numFmtId="11" fontId="14" fillId="0" borderId="284" xfId="3" applyNumberFormat="1" applyFont="1" applyBorder="1" applyAlignment="1" applyProtection="1">
      <alignment vertical="center" wrapText="1"/>
      <protection locked="0"/>
    </xf>
    <xf numFmtId="11" fontId="23" fillId="0" borderId="285" xfId="3" applyNumberFormat="1" applyFont="1" applyBorder="1" applyAlignment="1" applyProtection="1">
      <alignment horizontal="right" vertical="center"/>
      <protection locked="0"/>
    </xf>
    <xf numFmtId="11" fontId="24" fillId="0" borderId="285" xfId="3" applyNumberFormat="1" applyFont="1" applyBorder="1" applyAlignment="1" applyProtection="1">
      <alignment horizontal="right" vertical="center"/>
      <protection locked="0"/>
    </xf>
    <xf numFmtId="11" fontId="24" fillId="0" borderId="284" xfId="3" applyNumberFormat="1" applyFont="1" applyBorder="1" applyAlignment="1" applyProtection="1">
      <alignment horizontal="right" vertical="center"/>
      <protection locked="0"/>
    </xf>
    <xf numFmtId="11" fontId="23" fillId="0" borderId="18" xfId="3" applyNumberFormat="1" applyFont="1" applyBorder="1" applyAlignment="1">
      <alignment horizontal="right" vertical="center"/>
    </xf>
    <xf numFmtId="11" fontId="23" fillId="0" borderId="285" xfId="3" applyNumberFormat="1" applyFont="1" applyBorder="1" applyAlignment="1">
      <alignment horizontal="right" vertical="center"/>
    </xf>
    <xf numFmtId="11" fontId="23" fillId="0" borderId="145" xfId="3" applyNumberFormat="1" applyFont="1" applyBorder="1" applyAlignment="1">
      <alignment horizontal="right" vertical="center"/>
    </xf>
    <xf numFmtId="11" fontId="23" fillId="0" borderId="286" xfId="3" applyNumberFormat="1" applyFont="1" applyBorder="1" applyAlignment="1">
      <alignment horizontal="right" vertical="center"/>
    </xf>
    <xf numFmtId="0" fontId="23" fillId="0" borderId="286" xfId="3" applyFont="1" applyBorder="1" applyAlignment="1" applyProtection="1">
      <alignment vertical="center"/>
      <protection locked="0"/>
    </xf>
    <xf numFmtId="0" fontId="23" fillId="0" borderId="284" xfId="3" applyFont="1" applyBorder="1" applyAlignment="1" applyProtection="1">
      <alignment vertical="center"/>
      <protection locked="0"/>
    </xf>
    <xf numFmtId="0" fontId="23" fillId="0" borderId="285" xfId="3" applyFont="1" applyBorder="1" applyAlignment="1">
      <alignment vertical="center"/>
    </xf>
    <xf numFmtId="0" fontId="24" fillId="0" borderId="287" xfId="3" applyFont="1" applyBorder="1" applyAlignment="1" applyProtection="1">
      <alignment vertical="center"/>
      <protection locked="0"/>
    </xf>
    <xf numFmtId="165" fontId="23" fillId="0" borderId="288" xfId="3" applyNumberFormat="1" applyFont="1" applyBorder="1" applyAlignment="1" applyProtection="1">
      <alignment horizontal="right" vertical="center"/>
      <protection locked="0"/>
    </xf>
    <xf numFmtId="165" fontId="24" fillId="0" borderId="288" xfId="3" applyNumberFormat="1" applyFont="1" applyBorder="1" applyAlignment="1">
      <alignment horizontal="right" vertical="center"/>
    </xf>
    <xf numFmtId="165" fontId="24" fillId="0" borderId="287" xfId="3" applyNumberFormat="1" applyFont="1" applyBorder="1" applyAlignment="1">
      <alignment horizontal="right" vertical="center"/>
    </xf>
    <xf numFmtId="165" fontId="24" fillId="0" borderId="289" xfId="3" applyNumberFormat="1" applyFont="1" applyBorder="1" applyAlignment="1">
      <alignment vertical="center"/>
    </xf>
    <xf numFmtId="165" fontId="24" fillId="0" borderId="288" xfId="3" applyNumberFormat="1" applyFont="1" applyBorder="1" applyAlignment="1">
      <alignment vertical="center"/>
    </xf>
    <xf numFmtId="165" fontId="24" fillId="0" borderId="287" xfId="3" applyNumberFormat="1" applyFont="1" applyBorder="1" applyAlignment="1">
      <alignment vertical="center"/>
    </xf>
    <xf numFmtId="165" fontId="24" fillId="0" borderId="289" xfId="3" applyNumberFormat="1" applyFont="1" applyBorder="1" applyAlignment="1" applyProtection="1">
      <alignment vertical="center"/>
      <protection locked="0"/>
    </xf>
    <xf numFmtId="165" fontId="24" fillId="0" borderId="287" xfId="3" applyNumberFormat="1" applyFont="1" applyBorder="1" applyAlignment="1" applyProtection="1">
      <alignment vertical="center"/>
      <protection locked="0"/>
    </xf>
    <xf numFmtId="0" fontId="24" fillId="0" borderId="290" xfId="3" applyFont="1" applyBorder="1" applyAlignment="1" applyProtection="1">
      <alignment vertical="center"/>
      <protection locked="0"/>
    </xf>
    <xf numFmtId="165" fontId="23" fillId="0" borderId="291" xfId="3" applyNumberFormat="1" applyFont="1" applyBorder="1" applyAlignment="1" applyProtection="1">
      <alignment horizontal="right" vertical="center"/>
      <protection locked="0"/>
    </xf>
    <xf numFmtId="165" fontId="24" fillId="0" borderId="291" xfId="3" applyNumberFormat="1" applyFont="1" applyBorder="1" applyAlignment="1">
      <alignment horizontal="right" vertical="center"/>
    </xf>
    <xf numFmtId="165" fontId="24" fillId="0" borderId="292" xfId="3" applyNumberFormat="1" applyFont="1" applyBorder="1" applyAlignment="1">
      <alignment horizontal="right" vertical="center"/>
    </xf>
    <xf numFmtId="165" fontId="24" fillId="0" borderId="293" xfId="3" applyNumberFormat="1" applyFont="1" applyBorder="1" applyAlignment="1">
      <alignment vertical="center"/>
    </xf>
    <xf numFmtId="165" fontId="24" fillId="0" borderId="291" xfId="3" applyNumberFormat="1" applyFont="1" applyBorder="1" applyAlignment="1">
      <alignment vertical="center"/>
    </xf>
    <xf numFmtId="165" fontId="24" fillId="0" borderId="292" xfId="3" applyNumberFormat="1" applyFont="1" applyBorder="1" applyAlignment="1">
      <alignment vertical="center"/>
    </xf>
    <xf numFmtId="165" fontId="24" fillId="0" borderId="293" xfId="3" applyNumberFormat="1" applyFont="1" applyBorder="1" applyAlignment="1" applyProtection="1">
      <alignment vertical="center"/>
      <protection locked="0"/>
    </xf>
    <xf numFmtId="165" fontId="24" fillId="0" borderId="292" xfId="3" applyNumberFormat="1" applyFont="1" applyBorder="1" applyAlignment="1" applyProtection="1">
      <alignment vertical="center"/>
      <protection locked="0"/>
    </xf>
    <xf numFmtId="0" fontId="24" fillId="0" borderId="294" xfId="3" applyFont="1" applyBorder="1" applyAlignment="1" applyProtection="1">
      <alignment horizontal="left" vertical="center" indent="1"/>
      <protection locked="0"/>
    </xf>
    <xf numFmtId="165" fontId="23" fillId="0" borderId="295" xfId="3" applyNumberFormat="1" applyFont="1" applyBorder="1" applyAlignment="1" applyProtection="1">
      <alignment horizontal="right" vertical="center"/>
      <protection locked="0"/>
    </xf>
    <xf numFmtId="165" fontId="24" fillId="0" borderId="295" xfId="3" applyNumberFormat="1" applyFont="1" applyBorder="1" applyAlignment="1">
      <alignment horizontal="right" vertical="center"/>
    </xf>
    <xf numFmtId="165" fontId="24" fillId="0" borderId="296" xfId="3" applyNumberFormat="1" applyFont="1" applyBorder="1" applyAlignment="1">
      <alignment horizontal="right" vertical="center"/>
    </xf>
    <xf numFmtId="165" fontId="24" fillId="0" borderId="297" xfId="3" applyNumberFormat="1" applyFont="1" applyBorder="1" applyAlignment="1">
      <alignment vertical="center"/>
    </xf>
    <xf numFmtId="165" fontId="24" fillId="0" borderId="295" xfId="3" applyNumberFormat="1" applyFont="1" applyBorder="1" applyAlignment="1">
      <alignment vertical="center"/>
    </xf>
    <xf numFmtId="165" fontId="24" fillId="0" borderId="298" xfId="3" applyNumberFormat="1" applyFont="1" applyBorder="1" applyAlignment="1">
      <alignment vertical="center"/>
    </xf>
    <xf numFmtId="165" fontId="24" fillId="0" borderId="299" xfId="3" applyNumberFormat="1" applyFont="1" applyBorder="1" applyAlignment="1">
      <alignment vertical="center"/>
    </xf>
    <xf numFmtId="165" fontId="24" fillId="0" borderId="299" xfId="3" applyNumberFormat="1" applyFont="1" applyBorder="1" applyAlignment="1" applyProtection="1">
      <alignment vertical="center"/>
      <protection locked="0"/>
    </xf>
    <xf numFmtId="165" fontId="24" fillId="0" borderId="296" xfId="3" applyNumberFormat="1" applyFont="1" applyBorder="1" applyAlignment="1" applyProtection="1">
      <alignment vertical="center"/>
      <protection locked="0"/>
    </xf>
    <xf numFmtId="0" fontId="23" fillId="0" borderId="300" xfId="3" applyFont="1" applyBorder="1" applyAlignment="1" applyProtection="1">
      <alignment vertical="center"/>
      <protection locked="0"/>
    </xf>
    <xf numFmtId="165" fontId="23" fillId="0" borderId="301" xfId="3" applyNumberFormat="1" applyFont="1" applyBorder="1" applyAlignment="1" applyProtection="1">
      <alignment horizontal="right" vertical="center"/>
      <protection locked="0"/>
    </xf>
    <xf numFmtId="165" fontId="24" fillId="0" borderId="301" xfId="3" applyNumberFormat="1" applyFont="1" applyBorder="1" applyAlignment="1">
      <alignment horizontal="right" vertical="center"/>
    </xf>
    <xf numFmtId="165" fontId="24" fillId="0" borderId="300" xfId="3" applyNumberFormat="1" applyFont="1" applyBorder="1" applyAlignment="1">
      <alignment horizontal="right" vertical="center"/>
    </xf>
    <xf numFmtId="165" fontId="24" fillId="0" borderId="302" xfId="3" applyNumberFormat="1" applyFont="1" applyBorder="1" applyAlignment="1">
      <alignment vertical="center"/>
    </xf>
    <xf numFmtId="165" fontId="24" fillId="0" borderId="301" xfId="3" applyNumberFormat="1" applyFont="1" applyBorder="1" applyAlignment="1">
      <alignment vertical="center"/>
    </xf>
    <xf numFmtId="165" fontId="24" fillId="0" borderId="303" xfId="3" applyNumberFormat="1" applyFont="1" applyBorder="1" applyAlignment="1">
      <alignment vertical="center"/>
    </xf>
    <xf numFmtId="165" fontId="24" fillId="0" borderId="304" xfId="3" applyNumberFormat="1" applyFont="1" applyBorder="1" applyAlignment="1">
      <alignment vertical="center"/>
    </xf>
    <xf numFmtId="165" fontId="24" fillId="0" borderId="304" xfId="3" applyNumberFormat="1" applyFont="1" applyBorder="1" applyAlignment="1" applyProtection="1">
      <alignment vertical="center"/>
      <protection locked="0"/>
    </xf>
    <xf numFmtId="165" fontId="24" fillId="0" borderId="300" xfId="3" applyNumberFormat="1" applyFont="1" applyBorder="1" applyAlignment="1" applyProtection="1">
      <alignment vertical="center"/>
      <protection locked="0"/>
    </xf>
    <xf numFmtId="0" fontId="24" fillId="0" borderId="300" xfId="3" applyFont="1" applyBorder="1" applyAlignment="1" applyProtection="1">
      <alignment vertical="center"/>
      <protection locked="0"/>
    </xf>
    <xf numFmtId="0" fontId="24" fillId="0" borderId="305" xfId="3" applyFont="1" applyBorder="1" applyAlignment="1" applyProtection="1">
      <alignment vertical="center"/>
      <protection locked="0"/>
    </xf>
    <xf numFmtId="165" fontId="23" fillId="0" borderId="306" xfId="3" applyNumberFormat="1" applyFont="1" applyBorder="1" applyAlignment="1" applyProtection="1">
      <alignment horizontal="right" vertical="center"/>
      <protection locked="0"/>
    </xf>
    <xf numFmtId="165" fontId="24" fillId="0" borderId="306" xfId="3" applyNumberFormat="1" applyFont="1" applyBorder="1" applyAlignment="1">
      <alignment horizontal="right" vertical="center"/>
    </xf>
    <xf numFmtId="165" fontId="24" fillId="0" borderId="305" xfId="3" applyNumberFormat="1" applyFont="1" applyBorder="1" applyAlignment="1">
      <alignment horizontal="right" vertical="center"/>
    </xf>
    <xf numFmtId="165" fontId="24" fillId="0" borderId="307" xfId="3" applyNumberFormat="1" applyFont="1" applyBorder="1" applyAlignment="1">
      <alignment vertical="center"/>
    </xf>
    <xf numFmtId="165" fontId="24" fillId="0" borderId="306" xfId="3" applyNumberFormat="1" applyFont="1" applyBorder="1" applyAlignment="1">
      <alignment vertical="center"/>
    </xf>
    <xf numFmtId="165" fontId="24" fillId="0" borderId="305" xfId="3" applyNumberFormat="1" applyFont="1" applyBorder="1" applyAlignment="1">
      <alignment vertical="center"/>
    </xf>
    <xf numFmtId="165" fontId="24" fillId="0" borderId="307" xfId="3" applyNumberFormat="1" applyFont="1" applyBorder="1" applyAlignment="1" applyProtection="1">
      <alignment vertical="center"/>
      <protection locked="0"/>
    </xf>
    <xf numFmtId="165" fontId="24" fillId="0" borderId="305" xfId="3" applyNumberFormat="1" applyFont="1" applyBorder="1" applyAlignment="1" applyProtection="1">
      <alignment vertical="center"/>
      <protection locked="0"/>
    </xf>
    <xf numFmtId="0" fontId="23" fillId="0" borderId="308" xfId="3" applyFont="1" applyBorder="1" applyAlignment="1" applyProtection="1">
      <alignment vertical="center"/>
      <protection locked="0"/>
    </xf>
    <xf numFmtId="165" fontId="23" fillId="0" borderId="309" xfId="3" applyNumberFormat="1" applyFont="1" applyBorder="1" applyAlignment="1" applyProtection="1">
      <alignment horizontal="right" vertical="center"/>
      <protection locked="0"/>
    </xf>
    <xf numFmtId="165" fontId="24" fillId="0" borderId="309" xfId="3" applyNumberFormat="1" applyFont="1" applyBorder="1" applyAlignment="1">
      <alignment horizontal="right" vertical="center"/>
    </xf>
    <xf numFmtId="165" fontId="24" fillId="0" borderId="308" xfId="3" applyNumberFormat="1" applyFont="1" applyBorder="1" applyAlignment="1">
      <alignment horizontal="right" vertical="center"/>
    </xf>
    <xf numFmtId="165" fontId="24" fillId="0" borderId="309" xfId="3" applyNumberFormat="1" applyFont="1" applyBorder="1" applyAlignment="1">
      <alignment vertical="center"/>
    </xf>
    <xf numFmtId="165" fontId="24" fillId="0" borderId="310" xfId="3" applyNumberFormat="1" applyFont="1" applyBorder="1" applyAlignment="1">
      <alignment vertical="center"/>
    </xf>
    <xf numFmtId="165" fontId="24" fillId="0" borderId="310" xfId="3" applyNumberFormat="1" applyFont="1" applyBorder="1" applyAlignment="1" applyProtection="1">
      <alignment vertical="center"/>
      <protection locked="0"/>
    </xf>
    <xf numFmtId="165" fontId="24" fillId="0" borderId="308" xfId="3" applyNumberFormat="1" applyFont="1" applyBorder="1" applyAlignment="1" applyProtection="1">
      <alignment vertical="center"/>
      <protection locked="0"/>
    </xf>
    <xf numFmtId="0" fontId="24" fillId="0" borderId="308" xfId="3" applyFont="1" applyBorder="1" applyAlignment="1" applyProtection="1">
      <alignment vertical="center"/>
      <protection locked="0"/>
    </xf>
    <xf numFmtId="165" fontId="24" fillId="0" borderId="310" xfId="3" applyNumberFormat="1" applyFont="1" applyBorder="1" applyAlignment="1">
      <alignment horizontal="right" vertical="center"/>
    </xf>
    <xf numFmtId="165" fontId="24" fillId="0" borderId="310" xfId="3" applyNumberFormat="1" applyFont="1" applyBorder="1" applyAlignment="1" applyProtection="1">
      <alignment horizontal="right" vertical="center"/>
      <protection locked="0"/>
    </xf>
    <xf numFmtId="165" fontId="24" fillId="0" borderId="308" xfId="3" applyNumberFormat="1" applyFont="1" applyBorder="1" applyAlignment="1" applyProtection="1">
      <alignment horizontal="right" vertical="center"/>
      <protection locked="0"/>
    </xf>
    <xf numFmtId="0" fontId="24" fillId="0" borderId="287" xfId="3" applyFont="1" applyBorder="1" applyAlignment="1" applyProtection="1">
      <alignment horizontal="left" vertical="center" indent="1"/>
      <protection locked="0"/>
    </xf>
    <xf numFmtId="165" fontId="24" fillId="0" borderId="289" xfId="3" applyNumberFormat="1" applyFont="1" applyBorder="1" applyAlignment="1">
      <alignment horizontal="right" vertical="center"/>
    </xf>
    <xf numFmtId="165" fontId="24" fillId="0" borderId="289" xfId="3" applyNumberFormat="1" applyFont="1" applyBorder="1" applyAlignment="1" applyProtection="1">
      <alignment horizontal="right" vertical="center"/>
      <protection locked="0"/>
    </xf>
    <xf numFmtId="165" fontId="24" fillId="0" borderId="287" xfId="3" applyNumberFormat="1" applyFont="1" applyBorder="1" applyAlignment="1" applyProtection="1">
      <alignment horizontal="right" vertical="center"/>
      <protection locked="0"/>
    </xf>
    <xf numFmtId="0" fontId="24" fillId="0" borderId="311" xfId="3" applyFont="1" applyBorder="1" applyAlignment="1" applyProtection="1">
      <alignment horizontal="left" vertical="center" indent="1"/>
      <protection locked="0"/>
    </xf>
    <xf numFmtId="165" fontId="23" fillId="0" borderId="312" xfId="3" applyNumberFormat="1" applyFont="1" applyBorder="1" applyAlignment="1" applyProtection="1">
      <alignment horizontal="right" vertical="center"/>
      <protection locked="0"/>
    </xf>
    <xf numFmtId="165" fontId="24" fillId="0" borderId="313" xfId="3" applyNumberFormat="1" applyFont="1" applyBorder="1" applyAlignment="1">
      <alignment horizontal="right" vertical="center"/>
    </xf>
    <xf numFmtId="165" fontId="24" fillId="0" borderId="311" xfId="3" applyNumberFormat="1" applyFont="1" applyBorder="1" applyAlignment="1">
      <alignment horizontal="right" vertical="center"/>
    </xf>
    <xf numFmtId="165" fontId="24" fillId="0" borderId="314" xfId="3" applyNumberFormat="1" applyFont="1" applyBorder="1" applyAlignment="1">
      <alignment horizontal="right" vertical="center"/>
    </xf>
    <xf numFmtId="165" fontId="24" fillId="0" borderId="315" xfId="3" applyNumberFormat="1" applyFont="1" applyBorder="1" applyAlignment="1">
      <alignment horizontal="right" vertical="center"/>
    </xf>
    <xf numFmtId="165" fontId="24" fillId="0" borderId="316" xfId="3" applyNumberFormat="1" applyFont="1" applyBorder="1" applyAlignment="1">
      <alignment vertical="center"/>
    </xf>
    <xf numFmtId="165" fontId="24" fillId="0" borderId="313" xfId="3" applyNumberFormat="1" applyFont="1" applyBorder="1" applyAlignment="1">
      <alignment vertical="center"/>
    </xf>
    <xf numFmtId="165" fontId="24" fillId="0" borderId="316" xfId="3" applyNumberFormat="1" applyFont="1" applyBorder="1" applyAlignment="1" applyProtection="1">
      <alignment horizontal="right" vertical="center"/>
      <protection locked="0"/>
    </xf>
    <xf numFmtId="165" fontId="24" fillId="0" borderId="311" xfId="3" applyNumberFormat="1" applyFont="1" applyBorder="1" applyAlignment="1" applyProtection="1">
      <alignment horizontal="right" vertical="center"/>
      <protection locked="0"/>
    </xf>
    <xf numFmtId="0" fontId="23" fillId="0" borderId="311" xfId="3" applyFont="1" applyBorder="1" applyAlignment="1" applyProtection="1">
      <alignment horizontal="left" vertical="center"/>
      <protection locked="0"/>
    </xf>
    <xf numFmtId="165" fontId="23" fillId="0" borderId="90" xfId="3" applyNumberFormat="1" applyFont="1" applyBorder="1" applyAlignment="1" applyProtection="1">
      <alignment horizontal="right" vertical="center"/>
      <protection locked="0"/>
    </xf>
    <xf numFmtId="165" fontId="23" fillId="0" borderId="313" xfId="3" applyNumberFormat="1" applyFont="1" applyBorder="1" applyAlignment="1" applyProtection="1">
      <alignment horizontal="right" vertical="center"/>
      <protection locked="0"/>
    </xf>
    <xf numFmtId="0" fontId="24" fillId="0" borderId="311" xfId="3" applyFont="1" applyBorder="1" applyAlignment="1" applyProtection="1">
      <alignment horizontal="left" vertical="center"/>
      <protection locked="0"/>
    </xf>
    <xf numFmtId="165" fontId="24" fillId="0" borderId="312" xfId="3" applyNumberFormat="1" applyFont="1" applyBorder="1" applyAlignment="1">
      <alignment horizontal="right" vertical="center"/>
    </xf>
    <xf numFmtId="0" fontId="24" fillId="0" borderId="317" xfId="3" applyFont="1" applyBorder="1" applyAlignment="1" applyProtection="1">
      <alignment horizontal="left" vertical="center"/>
      <protection locked="0"/>
    </xf>
    <xf numFmtId="165" fontId="24" fillId="0" borderId="317" xfId="3" applyNumberFormat="1" applyFont="1" applyBorder="1" applyAlignment="1">
      <alignment horizontal="right" vertical="center"/>
    </xf>
    <xf numFmtId="165" fontId="24" fillId="0" borderId="318" xfId="3" applyNumberFormat="1" applyFont="1" applyBorder="1" applyAlignment="1">
      <alignment horizontal="right" vertical="center"/>
    </xf>
    <xf numFmtId="165" fontId="24" fillId="0" borderId="318" xfId="3" applyNumberFormat="1" applyFont="1" applyBorder="1" applyAlignment="1" applyProtection="1">
      <alignment horizontal="right" vertical="center"/>
      <protection locked="0"/>
    </xf>
    <xf numFmtId="165" fontId="24" fillId="0" borderId="317" xfId="3" applyNumberFormat="1" applyFont="1" applyBorder="1" applyAlignment="1" applyProtection="1">
      <alignment horizontal="right" vertical="center"/>
      <protection locked="0"/>
    </xf>
    <xf numFmtId="165" fontId="24" fillId="0" borderId="312" xfId="3" applyNumberFormat="1" applyFont="1" applyBorder="1" applyAlignment="1">
      <alignment vertical="center"/>
    </xf>
    <xf numFmtId="0" fontId="24" fillId="0" borderId="319" xfId="3" applyFont="1" applyBorder="1" applyAlignment="1" applyProtection="1">
      <alignment horizontal="left" vertical="center"/>
      <protection locked="0"/>
    </xf>
    <xf numFmtId="165" fontId="23" fillId="0" borderId="320" xfId="3" applyNumberFormat="1" applyFont="1" applyBorder="1" applyAlignment="1" applyProtection="1">
      <alignment horizontal="right" vertical="center"/>
      <protection locked="0"/>
    </xf>
    <xf numFmtId="165" fontId="24" fillId="0" borderId="320" xfId="3" applyNumberFormat="1" applyFont="1" applyBorder="1" applyAlignment="1">
      <alignment horizontal="right" vertical="center"/>
    </xf>
    <xf numFmtId="165" fontId="24" fillId="0" borderId="319" xfId="3" applyNumberFormat="1" applyFont="1" applyBorder="1" applyAlignment="1">
      <alignment horizontal="right" vertical="center"/>
    </xf>
    <xf numFmtId="165" fontId="24" fillId="0" borderId="302" xfId="3" applyNumberFormat="1" applyFont="1" applyBorder="1" applyAlignment="1">
      <alignment horizontal="right" vertical="center"/>
    </xf>
    <xf numFmtId="165" fontId="24" fillId="0" borderId="303" xfId="3" applyNumberFormat="1" applyFont="1" applyBorder="1" applyAlignment="1">
      <alignment horizontal="right" vertical="center"/>
    </xf>
    <xf numFmtId="165" fontId="24" fillId="0" borderId="321" xfId="3" applyNumberFormat="1" applyFont="1" applyBorder="1" applyAlignment="1">
      <alignment vertical="center"/>
    </xf>
    <xf numFmtId="165" fontId="24" fillId="0" borderId="320" xfId="3" applyNumberFormat="1" applyFont="1" applyBorder="1" applyAlignment="1">
      <alignment vertical="center"/>
    </xf>
    <xf numFmtId="165" fontId="24" fillId="0" borderId="321" xfId="3" applyNumberFormat="1" applyFont="1" applyBorder="1" applyAlignment="1" applyProtection="1">
      <alignment horizontal="right" vertical="center"/>
      <protection locked="0"/>
    </xf>
    <xf numFmtId="165" fontId="24" fillId="0" borderId="303" xfId="3" applyNumberFormat="1" applyFont="1" applyBorder="1" applyAlignment="1" applyProtection="1">
      <alignment horizontal="right" vertical="center"/>
      <protection locked="0"/>
    </xf>
    <xf numFmtId="0" fontId="23" fillId="0" borderId="322" xfId="3" applyFont="1" applyBorder="1" applyAlignment="1" applyProtection="1">
      <alignment horizontal="left" vertical="center"/>
      <protection locked="0"/>
    </xf>
    <xf numFmtId="165" fontId="23" fillId="0" borderId="323" xfId="3" applyNumberFormat="1" applyFont="1" applyBorder="1" applyAlignment="1" applyProtection="1">
      <alignment horizontal="right" vertical="center"/>
      <protection locked="0"/>
    </xf>
    <xf numFmtId="165" fontId="24" fillId="0" borderId="323" xfId="3" applyNumberFormat="1" applyFont="1" applyBorder="1" applyAlignment="1">
      <alignment horizontal="right" vertical="center"/>
    </xf>
    <xf numFmtId="165" fontId="24" fillId="0" borderId="324" xfId="3" applyNumberFormat="1" applyFont="1" applyBorder="1" applyAlignment="1">
      <alignment horizontal="right" vertical="center"/>
    </xf>
    <xf numFmtId="165" fontId="24" fillId="0" borderId="325" xfId="3" applyNumberFormat="1" applyFont="1" applyBorder="1" applyAlignment="1">
      <alignment horizontal="right" vertical="center"/>
    </xf>
    <xf numFmtId="165" fontId="24" fillId="0" borderId="325" xfId="3" applyNumberFormat="1" applyFont="1" applyBorder="1" applyAlignment="1" applyProtection="1">
      <alignment horizontal="right" vertical="center"/>
      <protection locked="0"/>
    </xf>
    <xf numFmtId="165" fontId="24" fillId="0" borderId="324" xfId="3" applyNumberFormat="1" applyFont="1" applyBorder="1" applyAlignment="1" applyProtection="1">
      <alignment horizontal="right" vertical="center"/>
      <protection locked="0"/>
    </xf>
    <xf numFmtId="165" fontId="24" fillId="0" borderId="323" xfId="3" applyNumberFormat="1" applyFont="1" applyBorder="1" applyAlignment="1">
      <alignment vertical="center"/>
    </xf>
    <xf numFmtId="11" fontId="14" fillId="0" borderId="280" xfId="3" applyNumberFormat="1" applyFont="1" applyBorder="1" applyAlignment="1" applyProtection="1">
      <alignment vertical="center"/>
      <protection locked="0"/>
    </xf>
    <xf numFmtId="11" fontId="17" fillId="0" borderId="281" xfId="3" applyNumberFormat="1" applyFont="1" applyBorder="1" applyAlignment="1" applyProtection="1">
      <alignment horizontal="right" vertical="center"/>
      <protection locked="0"/>
    </xf>
    <xf numFmtId="11" fontId="16" fillId="0" borderId="281" xfId="3" applyNumberFormat="1" applyFont="1" applyBorder="1" applyAlignment="1">
      <alignment horizontal="right" vertical="center"/>
    </xf>
    <xf numFmtId="11" fontId="16" fillId="0" borderId="280" xfId="3" applyNumberFormat="1" applyFont="1" applyBorder="1" applyAlignment="1">
      <alignment horizontal="right" vertical="center"/>
    </xf>
    <xf numFmtId="11" fontId="16" fillId="0" borderId="17" xfId="3" applyNumberFormat="1" applyFont="1" applyBorder="1" applyAlignment="1">
      <alignment horizontal="right" vertical="center"/>
    </xf>
    <xf numFmtId="11" fontId="16" fillId="0" borderId="139" xfId="3" applyNumberFormat="1" applyFont="1" applyBorder="1" applyAlignment="1">
      <alignment horizontal="right" vertical="center"/>
    </xf>
    <xf numFmtId="11" fontId="16" fillId="0" borderId="283" xfId="3" quotePrefix="1" applyNumberFormat="1" applyFont="1" applyBorder="1" applyAlignment="1">
      <alignment horizontal="right" vertical="center"/>
    </xf>
    <xf numFmtId="11" fontId="16" fillId="0" borderId="283" xfId="3" applyNumberFormat="1" applyFont="1" applyBorder="1" applyAlignment="1" applyProtection="1">
      <alignment horizontal="right" vertical="center"/>
      <protection locked="0"/>
    </xf>
    <xf numFmtId="11" fontId="16" fillId="0" borderId="280" xfId="3" applyNumberFormat="1" applyFont="1" applyBorder="1" applyAlignment="1" applyProtection="1">
      <alignment horizontal="right" vertical="center"/>
      <protection locked="0"/>
    </xf>
    <xf numFmtId="0" fontId="24" fillId="0" borderId="326" xfId="3" applyFont="1" applyBorder="1" applyAlignment="1" applyProtection="1">
      <alignment vertical="center"/>
      <protection locked="0"/>
    </xf>
    <xf numFmtId="167" fontId="23" fillId="0" borderId="327" xfId="3" applyNumberFormat="1" applyFont="1" applyBorder="1" applyAlignment="1" applyProtection="1">
      <alignment horizontal="right" vertical="center"/>
      <protection locked="0"/>
    </xf>
    <xf numFmtId="167" fontId="24" fillId="0" borderId="327" xfId="3" applyNumberFormat="1" applyFont="1" applyBorder="1" applyAlignment="1">
      <alignment vertical="center"/>
    </xf>
    <xf numFmtId="167" fontId="24" fillId="0" borderId="326" xfId="3" applyNumberFormat="1" applyFont="1" applyBorder="1" applyAlignment="1">
      <alignment horizontal="right" vertical="center"/>
    </xf>
    <xf numFmtId="167" fontId="24" fillId="0" borderId="328" xfId="3" applyNumberFormat="1" applyFont="1" applyBorder="1" applyAlignment="1">
      <alignment vertical="center"/>
    </xf>
    <xf numFmtId="167" fontId="24" fillId="0" borderId="326" xfId="3" applyNumberFormat="1" applyFont="1" applyBorder="1" applyAlignment="1">
      <alignment vertical="center"/>
    </xf>
    <xf numFmtId="167" fontId="24" fillId="0" borderId="328" xfId="3" applyNumberFormat="1" applyFont="1" applyBorder="1" applyAlignment="1" applyProtection="1">
      <alignment vertical="center"/>
      <protection locked="0"/>
    </xf>
    <xf numFmtId="167" fontId="24" fillId="0" borderId="326" xfId="3" applyNumberFormat="1" applyFont="1" applyBorder="1" applyAlignment="1" applyProtection="1">
      <alignment vertical="center"/>
      <protection locked="0"/>
    </xf>
    <xf numFmtId="0" fontId="23" fillId="0" borderId="315" xfId="3" applyFont="1" applyBorder="1" applyAlignment="1" applyProtection="1">
      <alignment vertical="center"/>
      <protection locked="0"/>
    </xf>
    <xf numFmtId="170" fontId="23" fillId="0" borderId="329" xfId="3" applyNumberFormat="1" applyFont="1" applyBorder="1" applyAlignment="1" applyProtection="1">
      <alignment horizontal="right" vertical="center"/>
      <protection locked="0"/>
    </xf>
    <xf numFmtId="170" fontId="24" fillId="0" borderId="329" xfId="3" applyNumberFormat="1" applyFont="1" applyBorder="1" applyAlignment="1">
      <alignment horizontal="right" vertical="center"/>
    </xf>
    <xf numFmtId="170" fontId="24" fillId="0" borderId="315" xfId="3" applyNumberFormat="1" applyFont="1" applyBorder="1" applyAlignment="1">
      <alignment horizontal="right" vertical="center"/>
    </xf>
    <xf numFmtId="170" fontId="24" fillId="0" borderId="314" xfId="3" applyNumberFormat="1" applyFont="1" applyBorder="1" applyAlignment="1">
      <alignment vertical="center"/>
    </xf>
    <xf numFmtId="170" fontId="24" fillId="0" borderId="329" xfId="3" applyNumberFormat="1" applyFont="1" applyBorder="1" applyAlignment="1">
      <alignment vertical="center"/>
    </xf>
    <xf numFmtId="170" fontId="24" fillId="0" borderId="315" xfId="3" applyNumberFormat="1" applyFont="1" applyBorder="1" applyAlignment="1">
      <alignment vertical="center"/>
    </xf>
    <xf numFmtId="170" fontId="24" fillId="0" borderId="314" xfId="3" applyNumberFormat="1" applyFont="1" applyBorder="1" applyAlignment="1" applyProtection="1">
      <alignment horizontal="right" vertical="center"/>
      <protection locked="0"/>
    </xf>
    <xf numFmtId="170" fontId="24" fillId="0" borderId="315" xfId="3" applyNumberFormat="1" applyFont="1" applyBorder="1" applyAlignment="1" applyProtection="1">
      <alignment horizontal="right" vertical="center"/>
      <protection locked="0"/>
    </xf>
    <xf numFmtId="0" fontId="24" fillId="0" borderId="315" xfId="3" applyFont="1" applyBorder="1" applyAlignment="1" applyProtection="1">
      <alignment horizontal="left" vertical="center" indent="1"/>
      <protection locked="0"/>
    </xf>
    <xf numFmtId="168" fontId="23" fillId="0" borderId="329" xfId="3" applyNumberFormat="1" applyFont="1" applyBorder="1" applyAlignment="1" applyProtection="1">
      <alignment horizontal="right" vertical="center"/>
      <protection locked="0"/>
    </xf>
    <xf numFmtId="168" fontId="24" fillId="0" borderId="329" xfId="3" applyNumberFormat="1" applyFont="1" applyBorder="1" applyAlignment="1">
      <alignment horizontal="right" vertical="center"/>
    </xf>
    <xf numFmtId="168" fontId="24" fillId="0" borderId="315" xfId="3" applyNumberFormat="1" applyFont="1" applyBorder="1" applyAlignment="1">
      <alignment horizontal="right" vertical="center"/>
    </xf>
    <xf numFmtId="168" fontId="24" fillId="0" borderId="314" xfId="3" applyNumberFormat="1" applyFont="1" applyBorder="1" applyAlignment="1">
      <alignment vertical="center"/>
    </xf>
    <xf numFmtId="168" fontId="24" fillId="0" borderId="329" xfId="3" applyNumberFormat="1" applyFont="1" applyBorder="1" applyAlignment="1">
      <alignment vertical="center"/>
    </xf>
    <xf numFmtId="168" fontId="24" fillId="0" borderId="314" xfId="3" applyNumberFormat="1" applyFont="1" applyBorder="1" applyAlignment="1" applyProtection="1">
      <alignment horizontal="right" vertical="center"/>
      <protection locked="0"/>
    </xf>
    <xf numFmtId="168" fontId="24" fillId="0" borderId="315" xfId="3" applyNumberFormat="1" applyFont="1" applyBorder="1" applyAlignment="1" applyProtection="1">
      <alignment horizontal="right" vertical="center"/>
      <protection locked="0"/>
    </xf>
    <xf numFmtId="167" fontId="23" fillId="0" borderId="313" xfId="3" applyNumberFormat="1" applyFont="1" applyBorder="1" applyAlignment="1" applyProtection="1">
      <alignment horizontal="right" vertical="center"/>
      <protection locked="0"/>
    </xf>
    <xf numFmtId="167" fontId="24" fillId="0" borderId="313" xfId="3" applyNumberFormat="1" applyFont="1" applyBorder="1" applyAlignment="1">
      <alignment horizontal="right" vertical="center"/>
    </xf>
    <xf numFmtId="167" fontId="24" fillId="0" borderId="311" xfId="3" applyNumberFormat="1" applyFont="1" applyBorder="1" applyAlignment="1">
      <alignment horizontal="right" vertical="center"/>
    </xf>
    <xf numFmtId="167" fontId="24" fillId="0" borderId="314" xfId="3" applyNumberFormat="1" applyFont="1" applyBorder="1" applyAlignment="1">
      <alignment vertical="center"/>
    </xf>
    <xf numFmtId="167" fontId="24" fillId="0" borderId="315" xfId="3" applyNumberFormat="1" applyFont="1" applyBorder="1" applyAlignment="1">
      <alignment horizontal="right" vertical="center"/>
    </xf>
    <xf numFmtId="167" fontId="24" fillId="0" borderId="316" xfId="3" applyNumberFormat="1" applyFont="1" applyBorder="1" applyAlignment="1">
      <alignment vertical="center"/>
    </xf>
    <xf numFmtId="167" fontId="24" fillId="0" borderId="313" xfId="3" applyNumberFormat="1" applyFont="1" applyBorder="1" applyAlignment="1">
      <alignment vertical="center"/>
    </xf>
    <xf numFmtId="167" fontId="24" fillId="0" borderId="316" xfId="3" applyNumberFormat="1" applyFont="1" applyBorder="1" applyAlignment="1" applyProtection="1">
      <alignment horizontal="right" vertical="center"/>
      <protection locked="0"/>
    </xf>
    <xf numFmtId="167" fontId="24" fillId="0" borderId="311" xfId="3" applyNumberFormat="1" applyFont="1" applyBorder="1" applyAlignment="1" applyProtection="1">
      <alignment horizontal="right" vertical="center"/>
      <protection locked="0"/>
    </xf>
    <xf numFmtId="167" fontId="24" fillId="0" borderId="314" xfId="3" applyNumberFormat="1" applyFont="1" applyBorder="1" applyAlignment="1">
      <alignment horizontal="right" vertical="center"/>
    </xf>
    <xf numFmtId="167" fontId="24" fillId="0" borderId="314" xfId="3" applyNumberFormat="1" applyFont="1" applyBorder="1" applyAlignment="1" applyProtection="1">
      <alignment horizontal="right" vertical="center"/>
      <protection locked="0"/>
    </xf>
    <xf numFmtId="167" fontId="24" fillId="0" borderId="315" xfId="3" applyNumberFormat="1" applyFont="1" applyBorder="1" applyAlignment="1" applyProtection="1">
      <alignment horizontal="right" vertical="center"/>
      <protection locked="0"/>
    </xf>
    <xf numFmtId="168" fontId="23" fillId="0" borderId="313" xfId="3" applyNumberFormat="1" applyFont="1" applyBorder="1" applyAlignment="1" applyProtection="1">
      <alignment horizontal="right" vertical="center"/>
      <protection locked="0"/>
    </xf>
    <xf numFmtId="168" fontId="24" fillId="0" borderId="313" xfId="3" applyNumberFormat="1" applyFont="1" applyBorder="1" applyAlignment="1">
      <alignment horizontal="right" vertical="center"/>
    </xf>
    <xf numFmtId="168" fontId="24" fillId="0" borderId="311" xfId="3" applyNumberFormat="1" applyFont="1" applyBorder="1" applyAlignment="1">
      <alignment horizontal="right" vertical="center"/>
    </xf>
    <xf numFmtId="168" fontId="24" fillId="0" borderId="316" xfId="3" applyNumberFormat="1" applyFont="1" applyBorder="1" applyAlignment="1">
      <alignment vertical="center"/>
    </xf>
    <xf numFmtId="168" fontId="24" fillId="0" borderId="313" xfId="3" applyNumberFormat="1" applyFont="1" applyBorder="1" applyAlignment="1">
      <alignment vertical="center"/>
    </xf>
    <xf numFmtId="168" fontId="24" fillId="0" borderId="316" xfId="3" applyNumberFormat="1" applyFont="1" applyBorder="1" applyAlignment="1" applyProtection="1">
      <alignment horizontal="right" vertical="center"/>
      <protection locked="0"/>
    </xf>
    <xf numFmtId="168" fontId="24" fillId="0" borderId="311" xfId="3" applyNumberFormat="1" applyFont="1" applyBorder="1" applyAlignment="1" applyProtection="1">
      <alignment horizontal="right" vertical="center"/>
      <protection locked="0"/>
    </xf>
    <xf numFmtId="0" fontId="16" fillId="0" borderId="326" xfId="3" applyFont="1" applyBorder="1" applyAlignment="1" applyProtection="1">
      <alignment vertical="center"/>
      <protection locked="0"/>
    </xf>
    <xf numFmtId="168" fontId="23" fillId="0" borderId="327" xfId="3" applyNumberFormat="1" applyFont="1" applyBorder="1" applyAlignment="1" applyProtection="1">
      <alignment horizontal="right" vertical="center"/>
      <protection locked="0"/>
    </xf>
    <xf numFmtId="168" fontId="24" fillId="0" borderId="327" xfId="3" applyNumberFormat="1" applyFont="1" applyBorder="1" applyAlignment="1">
      <alignment horizontal="right" vertical="center"/>
    </xf>
    <xf numFmtId="168" fontId="24" fillId="0" borderId="326" xfId="3" applyNumberFormat="1" applyFont="1" applyBorder="1" applyAlignment="1">
      <alignment horizontal="right" vertical="center"/>
    </xf>
    <xf numFmtId="168" fontId="24" fillId="0" borderId="328" xfId="3" applyNumberFormat="1" applyFont="1" applyBorder="1" applyAlignment="1">
      <alignment horizontal="right" vertical="center"/>
    </xf>
    <xf numFmtId="168" fontId="24" fillId="0" borderId="328" xfId="3" applyNumberFormat="1" applyFont="1" applyBorder="1" applyAlignment="1">
      <alignment vertical="center"/>
    </xf>
    <xf numFmtId="168" fontId="24" fillId="0" borderId="327" xfId="3" applyNumberFormat="1" applyFont="1" applyBorder="1" applyAlignment="1">
      <alignment vertical="center"/>
    </xf>
    <xf numFmtId="168" fontId="24" fillId="0" borderId="330" xfId="3" applyNumberFormat="1" applyFont="1" applyBorder="1" applyAlignment="1" applyProtection="1">
      <alignment horizontal="right" vertical="center"/>
      <protection locked="0"/>
    </xf>
    <xf numFmtId="168" fontId="24" fillId="0" borderId="331" xfId="3" applyNumberFormat="1" applyFont="1" applyBorder="1" applyAlignment="1" applyProtection="1">
      <alignment horizontal="right" vertical="center"/>
      <protection locked="0"/>
    </xf>
    <xf numFmtId="168" fontId="16" fillId="0" borderId="327" xfId="3" applyNumberFormat="1" applyFont="1" applyBorder="1" applyAlignment="1">
      <alignment vertical="center"/>
    </xf>
    <xf numFmtId="0" fontId="16" fillId="0" borderId="332" xfId="3" applyFont="1" applyBorder="1" applyAlignment="1" applyProtection="1">
      <alignment vertical="center"/>
      <protection locked="0"/>
    </xf>
    <xf numFmtId="168" fontId="23" fillId="0" borderId="333" xfId="3" applyNumberFormat="1" applyFont="1" applyBorder="1" applyAlignment="1" applyProtection="1">
      <alignment horizontal="right" vertical="center"/>
      <protection locked="0"/>
    </xf>
    <xf numFmtId="168" fontId="24" fillId="0" borderId="333" xfId="3" applyNumberFormat="1" applyFont="1" applyBorder="1" applyAlignment="1">
      <alignment horizontal="right" vertical="center"/>
    </xf>
    <xf numFmtId="168" fontId="24" fillId="0" borderId="332" xfId="3" applyNumberFormat="1" applyFont="1" applyBorder="1" applyAlignment="1">
      <alignment horizontal="right" vertical="center"/>
    </xf>
    <xf numFmtId="168" fontId="24" fillId="0" borderId="314" xfId="3" applyNumberFormat="1" applyFont="1" applyBorder="1" applyAlignment="1">
      <alignment horizontal="right" vertical="center"/>
    </xf>
    <xf numFmtId="168" fontId="24" fillId="0" borderId="334" xfId="3" applyNumberFormat="1" applyFont="1" applyBorder="1" applyAlignment="1">
      <alignment vertical="center"/>
    </xf>
    <xf numFmtId="168" fontId="24" fillId="0" borderId="333" xfId="3" applyNumberFormat="1" applyFont="1" applyBorder="1" applyAlignment="1">
      <alignment vertical="center"/>
    </xf>
    <xf numFmtId="168" fontId="24" fillId="0" borderId="335" xfId="3" applyNumberFormat="1" applyFont="1" applyBorder="1" applyAlignment="1" applyProtection="1">
      <alignment horizontal="right" vertical="center"/>
      <protection locked="0"/>
    </xf>
    <xf numFmtId="168" fontId="24" fillId="0" borderId="336" xfId="3" applyNumberFormat="1" applyFont="1" applyBorder="1" applyAlignment="1" applyProtection="1">
      <alignment horizontal="right" vertical="center"/>
      <protection locked="0"/>
    </xf>
    <xf numFmtId="168" fontId="16" fillId="0" borderId="333" xfId="3" applyNumberFormat="1" applyFont="1" applyBorder="1" applyAlignment="1">
      <alignment vertical="center"/>
    </xf>
    <xf numFmtId="168" fontId="17" fillId="0" borderId="333" xfId="3" applyNumberFormat="1" applyFont="1" applyBorder="1" applyAlignment="1" applyProtection="1">
      <alignment horizontal="right" vertical="center"/>
      <protection locked="0"/>
    </xf>
    <xf numFmtId="168" fontId="16" fillId="0" borderId="333" xfId="3" applyNumberFormat="1" applyFont="1" applyBorder="1" applyAlignment="1">
      <alignment horizontal="right" vertical="center"/>
    </xf>
    <xf numFmtId="168" fontId="16" fillId="0" borderId="332" xfId="3" applyNumberFormat="1" applyFont="1" applyBorder="1" applyAlignment="1">
      <alignment horizontal="right" vertical="center"/>
    </xf>
    <xf numFmtId="168" fontId="16" fillId="0" borderId="314" xfId="3" applyNumberFormat="1" applyFont="1" applyBorder="1" applyAlignment="1">
      <alignment horizontal="right" vertical="center"/>
    </xf>
    <xf numFmtId="168" fontId="16" fillId="0" borderId="315" xfId="3" applyNumberFormat="1" applyFont="1" applyBorder="1" applyAlignment="1">
      <alignment horizontal="right" vertical="center"/>
    </xf>
    <xf numFmtId="168" fontId="16" fillId="0" borderId="334" xfId="3" applyNumberFormat="1" applyFont="1" applyBorder="1" applyAlignment="1">
      <alignment vertical="center"/>
    </xf>
    <xf numFmtId="168" fontId="16" fillId="0" borderId="302" xfId="3" applyNumberFormat="1" applyFont="1" applyBorder="1" applyAlignment="1" applyProtection="1">
      <alignment horizontal="right" vertical="center"/>
      <protection locked="0"/>
    </xf>
    <xf numFmtId="168" fontId="16" fillId="0" borderId="303" xfId="3" applyNumberFormat="1" applyFont="1" applyBorder="1" applyAlignment="1" applyProtection="1">
      <alignment horizontal="right" vertical="center"/>
      <protection locked="0"/>
    </xf>
    <xf numFmtId="0" fontId="16" fillId="0" borderId="332" xfId="3" applyFont="1" applyBorder="1" applyAlignment="1" applyProtection="1">
      <alignment horizontal="left" vertical="center" indent="1"/>
      <protection locked="0"/>
    </xf>
    <xf numFmtId="0" fontId="16" fillId="0" borderId="337" xfId="3" applyFont="1" applyBorder="1" applyAlignment="1" applyProtection="1">
      <alignment vertical="center"/>
      <protection locked="0"/>
    </xf>
    <xf numFmtId="168" fontId="17" fillId="0" borderId="338" xfId="3" applyNumberFormat="1" applyFont="1" applyBorder="1" applyAlignment="1" applyProtection="1">
      <alignment horizontal="right" vertical="center"/>
      <protection locked="0"/>
    </xf>
    <xf numFmtId="168" fontId="16" fillId="0" borderId="338" xfId="3" applyNumberFormat="1" applyFont="1" applyBorder="1" applyAlignment="1">
      <alignment horizontal="right" vertical="center"/>
    </xf>
    <xf numFmtId="168" fontId="16" fillId="0" borderId="337" xfId="3" applyNumberFormat="1" applyFont="1" applyBorder="1" applyAlignment="1">
      <alignment horizontal="right" vertical="center"/>
    </xf>
    <xf numFmtId="168" fontId="16" fillId="0" borderId="339" xfId="3" applyNumberFormat="1" applyFont="1" applyBorder="1" applyAlignment="1">
      <alignment vertical="center"/>
    </xf>
    <xf numFmtId="168" fontId="16" fillId="0" borderId="338" xfId="3" applyNumberFormat="1" applyFont="1" applyBorder="1" applyAlignment="1">
      <alignment vertical="center"/>
    </xf>
    <xf numFmtId="168" fontId="16" fillId="0" borderId="340" xfId="3" applyNumberFormat="1" applyFont="1" applyBorder="1" applyAlignment="1" applyProtection="1">
      <alignment horizontal="right" vertical="center"/>
      <protection locked="0"/>
    </xf>
    <xf numFmtId="168" fontId="16" fillId="0" borderId="341" xfId="3" applyNumberFormat="1" applyFont="1" applyBorder="1" applyAlignment="1" applyProtection="1">
      <alignment horizontal="right" vertical="center"/>
      <protection locked="0"/>
    </xf>
    <xf numFmtId="0" fontId="16" fillId="0" borderId="342" xfId="3" applyFont="1" applyBorder="1" applyAlignment="1" applyProtection="1">
      <alignment vertical="center"/>
      <protection locked="0"/>
    </xf>
    <xf numFmtId="168" fontId="17" fillId="0" borderId="343" xfId="3" applyNumberFormat="1" applyFont="1" applyBorder="1" applyAlignment="1" applyProtection="1">
      <alignment horizontal="right" vertical="center"/>
      <protection locked="0"/>
    </xf>
    <xf numFmtId="168" fontId="16" fillId="0" borderId="343" xfId="3" applyNumberFormat="1" applyFont="1" applyBorder="1" applyAlignment="1">
      <alignment horizontal="right" vertical="center"/>
    </xf>
    <xf numFmtId="168" fontId="16" fillId="0" borderId="342" xfId="3" applyNumberFormat="1" applyFont="1" applyBorder="1" applyAlignment="1">
      <alignment horizontal="right" vertical="center"/>
    </xf>
    <xf numFmtId="168" fontId="16" fillId="0" borderId="344" xfId="3" applyNumberFormat="1" applyFont="1" applyBorder="1" applyAlignment="1">
      <alignment vertical="center"/>
    </xf>
    <xf numFmtId="168" fontId="16" fillId="0" borderId="343" xfId="3" applyNumberFormat="1" applyFont="1" applyBorder="1" applyAlignment="1">
      <alignment vertical="center"/>
    </xf>
    <xf numFmtId="168" fontId="16" fillId="0" borderId="344" xfId="3" applyNumberFormat="1" applyFont="1" applyBorder="1" applyAlignment="1" applyProtection="1">
      <alignment horizontal="right" vertical="center"/>
      <protection locked="0"/>
    </xf>
    <xf numFmtId="168" fontId="16" fillId="0" borderId="342" xfId="3" applyNumberFormat="1" applyFont="1" applyBorder="1" applyAlignment="1" applyProtection="1">
      <alignment horizontal="right" vertical="center"/>
      <protection locked="0"/>
    </xf>
    <xf numFmtId="0" fontId="17" fillId="0" borderId="342" xfId="3" applyFont="1" applyBorder="1" applyAlignment="1" applyProtection="1">
      <alignment vertical="center"/>
      <protection locked="0"/>
    </xf>
    <xf numFmtId="168" fontId="16" fillId="0" borderId="344" xfId="3" quotePrefix="1" applyNumberFormat="1" applyFont="1" applyBorder="1" applyAlignment="1">
      <alignment vertical="center"/>
    </xf>
    <xf numFmtId="0" fontId="17" fillId="0" borderId="322" xfId="3" applyFont="1" applyBorder="1" applyAlignment="1" applyProtection="1">
      <alignment vertical="center"/>
      <protection locked="0"/>
    </xf>
    <xf numFmtId="168" fontId="17" fillId="0" borderId="345" xfId="3" applyNumberFormat="1" applyFont="1" applyBorder="1" applyAlignment="1" applyProtection="1">
      <alignment horizontal="right" vertical="center"/>
      <protection locked="0"/>
    </xf>
    <xf numFmtId="168" fontId="16" fillId="0" borderId="345" xfId="3" applyNumberFormat="1" applyFont="1" applyBorder="1" applyAlignment="1">
      <alignment horizontal="right" vertical="center"/>
    </xf>
    <xf numFmtId="168" fontId="16" fillId="0" borderId="322" xfId="3" applyNumberFormat="1" applyFont="1" applyBorder="1" applyAlignment="1">
      <alignment horizontal="right" vertical="center"/>
    </xf>
    <xf numFmtId="168" fontId="16" fillId="0" borderId="346" xfId="3" applyNumberFormat="1" applyFont="1" applyBorder="1" applyAlignment="1">
      <alignment horizontal="right" vertical="center"/>
    </xf>
    <xf numFmtId="168" fontId="16" fillId="0" borderId="346" xfId="3" applyNumberFormat="1" applyFont="1" applyBorder="1" applyAlignment="1">
      <alignment vertical="center"/>
    </xf>
    <xf numFmtId="168" fontId="16" fillId="0" borderId="345" xfId="3" applyNumberFormat="1" applyFont="1" applyBorder="1" applyAlignment="1">
      <alignment vertical="center"/>
    </xf>
    <xf numFmtId="168" fontId="16" fillId="0" borderId="346" xfId="3" applyNumberFormat="1" applyFont="1" applyBorder="1" applyAlignment="1" applyProtection="1">
      <alignment horizontal="right" vertical="center"/>
      <protection locked="0"/>
    </xf>
    <xf numFmtId="168" fontId="16" fillId="0" borderId="322" xfId="3" applyNumberFormat="1" applyFont="1" applyBorder="1" applyAlignment="1" applyProtection="1">
      <alignment horizontal="right" vertical="center"/>
      <protection locked="0"/>
    </xf>
    <xf numFmtId="0" fontId="23" fillId="0" borderId="145" xfId="3" applyFont="1" applyBorder="1" applyAlignment="1" applyProtection="1">
      <alignment vertical="center"/>
      <protection locked="0"/>
    </xf>
    <xf numFmtId="165" fontId="23" fillId="0" borderId="347" xfId="3" applyNumberFormat="1" applyFont="1" applyBorder="1" applyAlignment="1" applyProtection="1">
      <alignment vertical="center"/>
      <protection locked="0"/>
    </xf>
    <xf numFmtId="165" fontId="24" fillId="0" borderId="347" xfId="3" applyNumberFormat="1" applyFont="1" applyBorder="1" applyAlignment="1">
      <alignment vertical="center"/>
    </xf>
    <xf numFmtId="165" fontId="24" fillId="0" borderId="145" xfId="3" applyNumberFormat="1" applyFont="1" applyBorder="1" applyAlignment="1">
      <alignment horizontal="right" vertical="center"/>
    </xf>
    <xf numFmtId="165" fontId="24" fillId="0" borderId="18" xfId="3" applyNumberFormat="1" applyFont="1" applyBorder="1" applyAlignment="1">
      <alignment vertical="center"/>
    </xf>
    <xf numFmtId="165" fontId="24" fillId="0" borderId="145" xfId="3" applyNumberFormat="1" applyFont="1" applyBorder="1" applyAlignment="1">
      <alignment vertical="center"/>
    </xf>
    <xf numFmtId="165" fontId="24" fillId="11" borderId="348" xfId="3" applyNumberFormat="1" applyFont="1" applyFill="1" applyBorder="1" applyAlignment="1" applyProtection="1">
      <alignment vertical="center"/>
      <protection locked="0"/>
    </xf>
    <xf numFmtId="165" fontId="24" fillId="11" borderId="349" xfId="3" applyNumberFormat="1" applyFont="1" applyFill="1" applyBorder="1" applyAlignment="1" applyProtection="1">
      <alignment vertical="center"/>
      <protection locked="0"/>
    </xf>
    <xf numFmtId="165" fontId="24" fillId="11" borderId="20" xfId="3" applyNumberFormat="1" applyFont="1" applyFill="1" applyBorder="1" applyAlignment="1">
      <alignment vertical="center"/>
    </xf>
    <xf numFmtId="0" fontId="16" fillId="0" borderId="308" xfId="3" applyFont="1" applyBorder="1" applyAlignment="1" applyProtection="1">
      <alignment horizontal="left" vertical="center" indent="1"/>
      <protection locked="0"/>
    </xf>
    <xf numFmtId="165" fontId="17" fillId="0" borderId="309" xfId="3" applyNumberFormat="1" applyFont="1" applyBorder="1" applyAlignment="1" applyProtection="1">
      <alignment horizontal="right" vertical="center"/>
      <protection locked="0"/>
    </xf>
    <xf numFmtId="165" fontId="16" fillId="0" borderId="309" xfId="3" applyNumberFormat="1" applyFont="1" applyBorder="1" applyAlignment="1">
      <alignment horizontal="right" vertical="center"/>
    </xf>
    <xf numFmtId="165" fontId="16" fillId="0" borderId="308" xfId="3" applyNumberFormat="1" applyFont="1" applyBorder="1" applyAlignment="1">
      <alignment horizontal="right" vertical="center"/>
    </xf>
    <xf numFmtId="165" fontId="16" fillId="0" borderId="15" xfId="3" applyNumberFormat="1" applyFont="1" applyBorder="1" applyAlignment="1">
      <alignment horizontal="right" vertical="center"/>
    </xf>
    <xf numFmtId="165" fontId="16" fillId="0" borderId="310" xfId="3" applyNumberFormat="1" applyFont="1" applyBorder="1" applyAlignment="1">
      <alignment horizontal="right" vertical="center"/>
    </xf>
    <xf numFmtId="165" fontId="24" fillId="9" borderId="350" xfId="3" applyNumberFormat="1" applyFont="1" applyFill="1" applyBorder="1" applyProtection="1">
      <protection locked="0"/>
    </xf>
    <xf numFmtId="165" fontId="24" fillId="9" borderId="351" xfId="3" applyNumberFormat="1" applyFont="1" applyFill="1" applyBorder="1" applyProtection="1">
      <protection locked="0"/>
    </xf>
    <xf numFmtId="165" fontId="24" fillId="9" borderId="0" xfId="3" applyNumberFormat="1" applyFont="1" applyFill="1"/>
    <xf numFmtId="165" fontId="17" fillId="0" borderId="309" xfId="3" applyNumberFormat="1" applyFont="1" applyBorder="1" applyAlignment="1">
      <alignment horizontal="right" vertical="center"/>
    </xf>
    <xf numFmtId="165" fontId="16" fillId="0" borderId="15" xfId="5" applyNumberFormat="1" applyFont="1" applyBorder="1" applyAlignment="1">
      <alignment horizontal="right" vertical="center"/>
    </xf>
    <xf numFmtId="165" fontId="16" fillId="0" borderId="352" xfId="5" applyNumberFormat="1" applyFont="1" applyBorder="1" applyAlignment="1">
      <alignment horizontal="right" vertical="center"/>
    </xf>
    <xf numFmtId="165" fontId="16" fillId="0" borderId="156" xfId="5" applyNumberFormat="1" applyFont="1" applyBorder="1" applyAlignment="1">
      <alignment horizontal="right" vertical="center"/>
    </xf>
    <xf numFmtId="165" fontId="16" fillId="0" borderId="353" xfId="5" applyNumberFormat="1" applyFont="1" applyBorder="1" applyAlignment="1">
      <alignment horizontal="right" vertical="center"/>
    </xf>
    <xf numFmtId="165" fontId="16" fillId="9" borderId="350" xfId="3" applyNumberFormat="1" applyFont="1" applyFill="1" applyBorder="1" applyAlignment="1" applyProtection="1">
      <alignment horizontal="right" vertical="center"/>
      <protection locked="0"/>
    </xf>
    <xf numFmtId="165" fontId="16" fillId="9" borderId="351" xfId="3" applyNumberFormat="1" applyFont="1" applyFill="1" applyBorder="1" applyAlignment="1" applyProtection="1">
      <alignment horizontal="right" vertical="center"/>
      <protection locked="0"/>
    </xf>
    <xf numFmtId="165" fontId="16" fillId="9" borderId="0" xfId="3" applyNumberFormat="1" applyFont="1" applyFill="1" applyAlignment="1">
      <alignment horizontal="right" vertical="center"/>
    </xf>
    <xf numFmtId="0" fontId="16" fillId="0" borderId="161" xfId="3" applyFont="1" applyBorder="1" applyAlignment="1" applyProtection="1">
      <alignment horizontal="left" vertical="center" indent="1"/>
      <protection locked="0"/>
    </xf>
    <xf numFmtId="165" fontId="17" fillId="0" borderId="170" xfId="3" applyNumberFormat="1" applyFont="1" applyBorder="1" applyAlignment="1" applyProtection="1">
      <alignment horizontal="right" vertical="center"/>
      <protection locked="0"/>
    </xf>
    <xf numFmtId="165" fontId="16" fillId="0" borderId="170" xfId="3" applyNumberFormat="1" applyFont="1" applyBorder="1" applyAlignment="1">
      <alignment horizontal="right" vertical="center"/>
    </xf>
    <xf numFmtId="165" fontId="16" fillId="0" borderId="160" xfId="5" applyNumberFormat="1" applyFont="1" applyBorder="1" applyAlignment="1">
      <alignment horizontal="right" vertical="center"/>
    </xf>
    <xf numFmtId="165" fontId="16" fillId="0" borderId="170" xfId="5" applyNumberFormat="1" applyFont="1" applyBorder="1" applyAlignment="1">
      <alignment horizontal="right" vertical="center"/>
    </xf>
    <xf numFmtId="165" fontId="16" fillId="0" borderId="161" xfId="5" applyNumberFormat="1" applyFont="1" applyBorder="1" applyAlignment="1">
      <alignment horizontal="right" vertical="center"/>
    </xf>
    <xf numFmtId="165" fontId="16" fillId="9" borderId="354" xfId="3" applyNumberFormat="1" applyFont="1" applyFill="1" applyBorder="1" applyAlignment="1" applyProtection="1">
      <alignment horizontal="right" vertical="center"/>
      <protection locked="0"/>
    </xf>
    <xf numFmtId="165" fontId="16" fillId="9" borderId="355" xfId="3" applyNumberFormat="1" applyFont="1" applyFill="1" applyBorder="1" applyAlignment="1" applyProtection="1">
      <alignment horizontal="right" vertical="center"/>
      <protection locked="0"/>
    </xf>
    <xf numFmtId="165" fontId="16" fillId="9" borderId="356" xfId="3" applyNumberFormat="1" applyFont="1" applyFill="1" applyBorder="1" applyAlignment="1">
      <alignment horizontal="right" vertical="center"/>
    </xf>
    <xf numFmtId="0" fontId="44" fillId="0" borderId="20" xfId="3" applyFont="1" applyBorder="1" applyAlignment="1" applyProtection="1">
      <alignment horizontal="left" vertical="center" indent="1"/>
      <protection locked="0"/>
    </xf>
    <xf numFmtId="173" fontId="45" fillId="0" borderId="20" xfId="3" applyNumberFormat="1" applyFont="1" applyBorder="1" applyAlignment="1" applyProtection="1">
      <alignment horizontal="right" vertical="center"/>
      <protection locked="0"/>
    </xf>
    <xf numFmtId="173" fontId="44" fillId="0" borderId="20" xfId="3" applyNumberFormat="1" applyFont="1" applyBorder="1" applyAlignment="1" applyProtection="1">
      <alignment horizontal="right" vertical="center"/>
      <protection locked="0"/>
    </xf>
    <xf numFmtId="0" fontId="14" fillId="11" borderId="358" xfId="3" applyFont="1" applyFill="1" applyBorder="1" applyAlignment="1">
      <alignment vertical="center" wrapText="1"/>
    </xf>
    <xf numFmtId="0" fontId="35" fillId="0" borderId="358" xfId="3" applyFont="1" applyBorder="1" applyAlignment="1">
      <alignment vertical="center" wrapText="1"/>
    </xf>
    <xf numFmtId="0" fontId="23" fillId="0" borderId="359" xfId="3" applyFont="1" applyBorder="1" applyAlignment="1">
      <alignment horizontal="right" vertical="center"/>
    </xf>
    <xf numFmtId="0" fontId="24" fillId="0" borderId="359" xfId="3" applyFont="1" applyBorder="1" applyAlignment="1">
      <alignment horizontal="right" vertical="center"/>
    </xf>
    <xf numFmtId="0" fontId="24" fillId="0" borderId="360" xfId="3" applyFont="1" applyBorder="1" applyAlignment="1">
      <alignment horizontal="right" vertical="center"/>
    </xf>
    <xf numFmtId="0" fontId="24" fillId="0" borderId="361" xfId="3" applyFont="1" applyBorder="1" applyAlignment="1">
      <alignment horizontal="right" vertical="center"/>
    </xf>
    <xf numFmtId="0" fontId="24" fillId="0" borderId="362" xfId="3" applyFont="1" applyBorder="1" applyAlignment="1">
      <alignment horizontal="right" vertical="center"/>
    </xf>
    <xf numFmtId="0" fontId="24" fillId="0" borderId="363" xfId="3" applyFont="1" applyBorder="1" applyAlignment="1">
      <alignment horizontal="right" vertical="center"/>
    </xf>
    <xf numFmtId="166" fontId="24" fillId="0" borderId="359" xfId="3" applyNumberFormat="1" applyFont="1" applyBorder="1" applyAlignment="1">
      <alignment horizontal="right" vertical="center"/>
    </xf>
    <xf numFmtId="0" fontId="24" fillId="0" borderId="364" xfId="3" applyFont="1" applyBorder="1" applyAlignment="1">
      <alignment horizontal="right" vertical="center"/>
    </xf>
    <xf numFmtId="0" fontId="14" fillId="0" borderId="358" xfId="3" applyFont="1" applyBorder="1" applyAlignment="1" applyProtection="1">
      <alignment vertical="center" wrapText="1"/>
      <protection locked="0"/>
    </xf>
    <xf numFmtId="0" fontId="23" fillId="0" borderId="359" xfId="3" applyFont="1" applyBorder="1" applyAlignment="1" applyProtection="1">
      <alignment horizontal="right" vertical="center"/>
      <protection locked="0"/>
    </xf>
    <xf numFmtId="0" fontId="24" fillId="0" borderId="359" xfId="3" applyFont="1" applyBorder="1" applyAlignment="1" applyProtection="1">
      <alignment horizontal="right" vertical="center"/>
      <protection locked="0"/>
    </xf>
    <xf numFmtId="0" fontId="24" fillId="0" borderId="360" xfId="3" applyFont="1" applyBorder="1" applyAlignment="1" applyProtection="1">
      <alignment horizontal="right" vertical="center"/>
      <protection locked="0"/>
    </xf>
    <xf numFmtId="166" fontId="23" fillId="0" borderId="359" xfId="3" applyNumberFormat="1" applyFont="1" applyBorder="1" applyAlignment="1">
      <alignment horizontal="right" vertical="center"/>
    </xf>
    <xf numFmtId="0" fontId="24" fillId="0" borderId="365" xfId="3" applyFont="1" applyBorder="1" applyAlignment="1" applyProtection="1">
      <alignment vertical="center"/>
      <protection locked="0"/>
    </xf>
    <xf numFmtId="165" fontId="23" fillId="0" borderId="366" xfId="3" applyNumberFormat="1" applyFont="1" applyBorder="1" applyAlignment="1" applyProtection="1">
      <alignment horizontal="right" vertical="center"/>
      <protection locked="0"/>
    </xf>
    <xf numFmtId="165" fontId="24" fillId="0" borderId="366" xfId="3" quotePrefix="1" applyNumberFormat="1" applyFont="1" applyBorder="1" applyAlignment="1">
      <alignment horizontal="right" vertical="center"/>
    </xf>
    <xf numFmtId="165" fontId="24" fillId="0" borderId="367" xfId="3" applyNumberFormat="1" applyFont="1" applyBorder="1" applyAlignment="1">
      <alignment horizontal="right" vertical="center"/>
    </xf>
    <xf numFmtId="165" fontId="24" fillId="0" borderId="368" xfId="3" applyNumberFormat="1" applyFont="1" applyBorder="1" applyAlignment="1">
      <alignment vertical="center"/>
    </xf>
    <xf numFmtId="165" fontId="24" fillId="0" borderId="366" xfId="3" applyNumberFormat="1" applyFont="1" applyBorder="1" applyAlignment="1">
      <alignment vertical="center"/>
    </xf>
    <xf numFmtId="165" fontId="24" fillId="0" borderId="366" xfId="3" quotePrefix="1" applyNumberFormat="1" applyFont="1" applyBorder="1" applyAlignment="1">
      <alignment vertical="center"/>
    </xf>
    <xf numFmtId="165" fontId="24" fillId="0" borderId="369" xfId="3" applyNumberFormat="1" applyFont="1" applyBorder="1" applyAlignment="1">
      <alignment vertical="center"/>
    </xf>
    <xf numFmtId="165" fontId="24" fillId="0" borderId="370" xfId="3" applyNumberFormat="1" applyFont="1" applyBorder="1" applyAlignment="1">
      <alignment vertical="center"/>
    </xf>
    <xf numFmtId="165" fontId="24" fillId="0" borderId="371" xfId="3" applyNumberFormat="1" applyFont="1" applyBorder="1" applyAlignment="1">
      <alignment vertical="center"/>
    </xf>
    <xf numFmtId="0" fontId="24" fillId="0" borderId="372" xfId="3" applyFont="1" applyBorder="1" applyAlignment="1" applyProtection="1">
      <alignment vertical="center"/>
      <protection locked="0"/>
    </xf>
    <xf numFmtId="165" fontId="23" fillId="0" borderId="373" xfId="3" applyNumberFormat="1" applyFont="1" applyBorder="1" applyAlignment="1" applyProtection="1">
      <alignment horizontal="right" vertical="center"/>
      <protection locked="0"/>
    </xf>
    <xf numFmtId="165" fontId="24" fillId="0" borderId="373" xfId="3" quotePrefix="1" applyNumberFormat="1" applyFont="1" applyBorder="1" applyAlignment="1">
      <alignment horizontal="right" vertical="center"/>
    </xf>
    <xf numFmtId="165" fontId="24" fillId="0" borderId="374" xfId="3" applyNumberFormat="1" applyFont="1" applyBorder="1" applyAlignment="1">
      <alignment horizontal="right" vertical="center"/>
    </xf>
    <xf numFmtId="165" fontId="24" fillId="0" borderId="375" xfId="3" applyNumberFormat="1" applyFont="1" applyBorder="1" applyAlignment="1">
      <alignment vertical="center"/>
    </xf>
    <xf numFmtId="165" fontId="24" fillId="0" borderId="373" xfId="3" applyNumberFormat="1" applyFont="1" applyBorder="1" applyAlignment="1">
      <alignment vertical="center"/>
    </xf>
    <xf numFmtId="165" fontId="24" fillId="0" borderId="373" xfId="3" quotePrefix="1" applyNumberFormat="1" applyFont="1" applyBorder="1" applyAlignment="1">
      <alignment vertical="center"/>
    </xf>
    <xf numFmtId="165" fontId="24" fillId="0" borderId="376" xfId="3" applyNumberFormat="1" applyFont="1" applyBorder="1" applyAlignment="1">
      <alignment vertical="center"/>
    </xf>
    <xf numFmtId="165" fontId="24" fillId="0" borderId="377" xfId="3" applyNumberFormat="1" applyFont="1" applyBorder="1" applyAlignment="1">
      <alignment vertical="center"/>
    </xf>
    <xf numFmtId="165" fontId="24" fillId="0" borderId="378" xfId="3" applyNumberFormat="1" applyFont="1" applyBorder="1" applyAlignment="1">
      <alignment vertical="center"/>
    </xf>
    <xf numFmtId="0" fontId="24" fillId="0" borderId="372" xfId="3" applyFont="1" applyBorder="1" applyAlignment="1" applyProtection="1">
      <alignment horizontal="left" vertical="center" indent="1"/>
      <protection locked="0"/>
    </xf>
    <xf numFmtId="0" fontId="23" fillId="0" borderId="372" xfId="3" applyFont="1" applyBorder="1" applyAlignment="1" applyProtection="1">
      <alignment vertical="center"/>
      <protection locked="0"/>
    </xf>
    <xf numFmtId="165" fontId="24" fillId="0" borderId="373" xfId="3" applyNumberFormat="1" applyFont="1" applyBorder="1" applyAlignment="1">
      <alignment horizontal="right" vertical="center"/>
    </xf>
    <xf numFmtId="165" fontId="23" fillId="0" borderId="379" xfId="3" applyNumberFormat="1" applyFont="1" applyBorder="1" applyAlignment="1" applyProtection="1">
      <alignment horizontal="right" vertical="center"/>
      <protection locked="0"/>
    </xf>
    <xf numFmtId="165" fontId="24" fillId="0" borderId="379" xfId="3" applyNumberFormat="1" applyFont="1" applyBorder="1" applyAlignment="1">
      <alignment horizontal="right" vertical="center"/>
    </xf>
    <xf numFmtId="165" fontId="24" fillId="0" borderId="380" xfId="3" applyNumberFormat="1" applyFont="1" applyBorder="1" applyAlignment="1">
      <alignment horizontal="right" vertical="center"/>
    </xf>
    <xf numFmtId="165" fontId="24" fillId="0" borderId="381" xfId="3" applyNumberFormat="1" applyFont="1" applyBorder="1" applyAlignment="1">
      <alignment vertical="center"/>
    </xf>
    <xf numFmtId="165" fontId="24" fillId="0" borderId="379" xfId="3" applyNumberFormat="1" applyFont="1" applyBorder="1" applyAlignment="1">
      <alignment vertical="center"/>
    </xf>
    <xf numFmtId="165" fontId="24" fillId="0" borderId="380" xfId="3" applyNumberFormat="1" applyFont="1" applyBorder="1" applyAlignment="1">
      <alignment vertical="center"/>
    </xf>
    <xf numFmtId="165" fontId="24" fillId="0" borderId="381" xfId="3" applyNumberFormat="1" applyFont="1" applyBorder="1" applyAlignment="1">
      <alignment horizontal="right" vertical="center"/>
    </xf>
    <xf numFmtId="41" fontId="24" fillId="0" borderId="374" xfId="3" applyNumberFormat="1" applyFont="1" applyBorder="1" applyAlignment="1">
      <alignment horizontal="right" vertical="center"/>
    </xf>
    <xf numFmtId="41" fontId="24" fillId="0" borderId="375" xfId="3" applyNumberFormat="1" applyFont="1" applyBorder="1" applyAlignment="1">
      <alignment vertical="center"/>
    </xf>
    <xf numFmtId="41" fontId="24" fillId="0" borderId="373" xfId="3" applyNumberFormat="1" applyFont="1" applyBorder="1" applyAlignment="1">
      <alignment vertical="center"/>
    </xf>
    <xf numFmtId="41" fontId="24" fillId="0" borderId="376" xfId="3" applyNumberFormat="1" applyFont="1" applyBorder="1" applyAlignment="1">
      <alignment vertical="center"/>
    </xf>
    <xf numFmtId="41" fontId="24" fillId="0" borderId="377" xfId="3" applyNumberFormat="1" applyFont="1" applyBorder="1" applyAlignment="1">
      <alignment vertical="center"/>
    </xf>
    <xf numFmtId="0" fontId="24" fillId="0" borderId="377" xfId="3" applyFont="1" applyBorder="1" applyAlignment="1">
      <alignment vertical="center"/>
    </xf>
    <xf numFmtId="0" fontId="24" fillId="0" borderId="378" xfId="3" applyFont="1" applyBorder="1" applyAlignment="1">
      <alignment vertical="center"/>
    </xf>
    <xf numFmtId="165" fontId="24" fillId="0" borderId="375" xfId="3" applyNumberFormat="1" applyFont="1" applyBorder="1" applyAlignment="1">
      <alignment horizontal="right" vertical="center"/>
    </xf>
    <xf numFmtId="165" fontId="24" fillId="0" borderId="376" xfId="3" applyNumberFormat="1" applyFont="1" applyBorder="1" applyAlignment="1">
      <alignment horizontal="right" vertical="center"/>
    </xf>
    <xf numFmtId="165" fontId="24" fillId="0" borderId="377" xfId="3" applyNumberFormat="1" applyFont="1" applyBorder="1" applyAlignment="1">
      <alignment horizontal="right" vertical="center"/>
    </xf>
    <xf numFmtId="165" fontId="24" fillId="0" borderId="378" xfId="3" applyNumberFormat="1" applyFont="1" applyBorder="1" applyAlignment="1">
      <alignment horizontal="right" vertical="center"/>
    </xf>
    <xf numFmtId="0" fontId="23" fillId="0" borderId="382" xfId="3" applyFont="1" applyBorder="1" applyAlignment="1" applyProtection="1">
      <alignment vertical="center"/>
      <protection locked="0"/>
    </xf>
    <xf numFmtId="165" fontId="23" fillId="0" borderId="383" xfId="3" applyNumberFormat="1" applyFont="1" applyBorder="1" applyAlignment="1" applyProtection="1">
      <alignment horizontal="right" vertical="center"/>
      <protection locked="0"/>
    </xf>
    <xf numFmtId="165" fontId="24" fillId="0" borderId="383" xfId="3" applyNumberFormat="1" applyFont="1" applyBorder="1" applyAlignment="1">
      <alignment horizontal="right" vertical="center"/>
    </xf>
    <xf numFmtId="165" fontId="24" fillId="0" borderId="384" xfId="3" applyNumberFormat="1" applyFont="1" applyBorder="1" applyAlignment="1">
      <alignment horizontal="right" vertical="center"/>
    </xf>
    <xf numFmtId="165" fontId="24" fillId="0" borderId="385" xfId="3" applyNumberFormat="1" applyFont="1" applyBorder="1" applyAlignment="1">
      <alignment vertical="center"/>
    </xf>
    <xf numFmtId="165" fontId="24" fillId="0" borderId="383" xfId="3" applyNumberFormat="1" applyFont="1" applyBorder="1" applyAlignment="1">
      <alignment vertical="center"/>
    </xf>
    <xf numFmtId="165" fontId="24" fillId="0" borderId="386" xfId="3" applyNumberFormat="1" applyFont="1" applyBorder="1" applyAlignment="1">
      <alignment vertical="center"/>
    </xf>
    <xf numFmtId="165" fontId="24" fillId="0" borderId="387" xfId="3" applyNumberFormat="1" applyFont="1" applyBorder="1" applyAlignment="1">
      <alignment vertical="center"/>
    </xf>
    <xf numFmtId="165" fontId="24" fillId="0" borderId="388" xfId="3" applyNumberFormat="1" applyFont="1" applyBorder="1" applyAlignment="1">
      <alignment vertical="center"/>
    </xf>
    <xf numFmtId="0" fontId="14" fillId="0" borderId="358" xfId="3" applyFont="1" applyBorder="1" applyAlignment="1" applyProtection="1">
      <alignment vertical="center"/>
      <protection locked="0"/>
    </xf>
    <xf numFmtId="165" fontId="23" fillId="0" borderId="359" xfId="3" applyNumberFormat="1" applyFont="1" applyBorder="1" applyAlignment="1" applyProtection="1">
      <alignment horizontal="right" vertical="center"/>
      <protection locked="0"/>
    </xf>
    <xf numFmtId="165" fontId="24" fillId="0" borderId="359" xfId="3" applyNumberFormat="1" applyFont="1" applyBorder="1" applyAlignment="1">
      <alignment horizontal="right" vertical="center"/>
    </xf>
    <xf numFmtId="174" fontId="24" fillId="0" borderId="360" xfId="3" applyNumberFormat="1" applyFont="1" applyBorder="1" applyAlignment="1">
      <alignment horizontal="right" vertical="center"/>
    </xf>
    <xf numFmtId="174" fontId="24" fillId="0" borderId="361" xfId="3" applyNumberFormat="1" applyFont="1" applyBorder="1" applyAlignment="1">
      <alignment vertical="center"/>
    </xf>
    <xf numFmtId="174" fontId="24" fillId="0" borderId="359" xfId="3" applyNumberFormat="1" applyFont="1" applyBorder="1" applyAlignment="1">
      <alignment vertical="center"/>
    </xf>
    <xf numFmtId="174" fontId="24" fillId="0" borderId="362" xfId="3" applyNumberFormat="1" applyFont="1" applyBorder="1" applyAlignment="1">
      <alignment vertical="center"/>
    </xf>
    <xf numFmtId="174" fontId="24" fillId="0" borderId="363" xfId="3" applyNumberFormat="1" applyFont="1" applyBorder="1" applyAlignment="1">
      <alignment vertical="center"/>
    </xf>
    <xf numFmtId="0" fontId="24" fillId="0" borderId="363" xfId="3" applyFont="1" applyBorder="1" applyAlignment="1">
      <alignment vertical="center"/>
    </xf>
    <xf numFmtId="0" fontId="24" fillId="0" borderId="364" xfId="3" applyFont="1" applyBorder="1" applyAlignment="1">
      <alignment vertical="center"/>
    </xf>
    <xf numFmtId="0" fontId="23" fillId="0" borderId="365" xfId="3" applyFont="1" applyBorder="1" applyAlignment="1" applyProtection="1">
      <alignment vertical="center"/>
      <protection locked="0"/>
    </xf>
    <xf numFmtId="168" fontId="23" fillId="0" borderId="366" xfId="3" applyNumberFormat="1" applyFont="1" applyBorder="1" applyAlignment="1" applyProtection="1">
      <alignment horizontal="right" vertical="center"/>
      <protection locked="0"/>
    </xf>
    <xf numFmtId="168" fontId="24" fillId="0" borderId="366" xfId="3" applyNumberFormat="1" applyFont="1" applyBorder="1" applyAlignment="1">
      <alignment horizontal="right" vertical="center"/>
    </xf>
    <xf numFmtId="168" fontId="24" fillId="0" borderId="367" xfId="3" applyNumberFormat="1" applyFont="1" applyBorder="1" applyAlignment="1">
      <alignment horizontal="right" vertical="center"/>
    </xf>
    <xf numFmtId="168" fontId="24" fillId="0" borderId="368" xfId="3" applyNumberFormat="1" applyFont="1" applyBorder="1" applyAlignment="1">
      <alignment vertical="center"/>
    </xf>
    <xf numFmtId="168" fontId="24" fillId="0" borderId="366" xfId="3" applyNumberFormat="1" applyFont="1" applyBorder="1" applyAlignment="1">
      <alignment vertical="center"/>
    </xf>
    <xf numFmtId="168" fontId="24" fillId="0" borderId="369" xfId="3" applyNumberFormat="1" applyFont="1" applyBorder="1" applyAlignment="1">
      <alignment vertical="center"/>
    </xf>
    <xf numFmtId="168" fontId="24" fillId="0" borderId="370" xfId="3" applyNumberFormat="1" applyFont="1" applyBorder="1" applyAlignment="1">
      <alignment vertical="center"/>
    </xf>
    <xf numFmtId="168" fontId="24" fillId="0" borderId="371" xfId="3" applyNumberFormat="1" applyFont="1" applyBorder="1" applyAlignment="1">
      <alignment vertical="center"/>
    </xf>
    <xf numFmtId="168" fontId="23" fillId="0" borderId="383" xfId="3" applyNumberFormat="1" applyFont="1" applyBorder="1" applyAlignment="1" applyProtection="1">
      <alignment horizontal="right" vertical="center"/>
      <protection locked="0"/>
    </xf>
    <xf numFmtId="168" fontId="24" fillId="0" borderId="383" xfId="3" applyNumberFormat="1" applyFont="1" applyBorder="1" applyAlignment="1">
      <alignment horizontal="right" vertical="center"/>
    </xf>
    <xf numFmtId="168" fontId="24" fillId="0" borderId="384" xfId="3" applyNumberFormat="1" applyFont="1" applyBorder="1" applyAlignment="1">
      <alignment horizontal="right" vertical="center"/>
    </xf>
    <xf numFmtId="168" fontId="24" fillId="0" borderId="385" xfId="3" applyNumberFormat="1" applyFont="1" applyBorder="1" applyAlignment="1">
      <alignment vertical="center"/>
    </xf>
    <xf numFmtId="168" fontId="24" fillId="0" borderId="386" xfId="3" applyNumberFormat="1" applyFont="1" applyBorder="1" applyAlignment="1">
      <alignment horizontal="right" vertical="center"/>
    </xf>
    <xf numFmtId="168" fontId="24" fillId="0" borderId="387" xfId="3" applyNumberFormat="1" applyFont="1" applyBorder="1" applyAlignment="1">
      <alignment vertical="center"/>
    </xf>
    <xf numFmtId="168" fontId="24" fillId="0" borderId="387" xfId="3" applyNumberFormat="1" applyFont="1" applyBorder="1" applyAlignment="1">
      <alignment horizontal="right" vertical="center"/>
    </xf>
    <xf numFmtId="168" fontId="24" fillId="0" borderId="388" xfId="3" applyNumberFormat="1" applyFont="1" applyBorder="1" applyAlignment="1">
      <alignment horizontal="right" vertical="center"/>
    </xf>
    <xf numFmtId="165" fontId="24" fillId="0" borderId="374" xfId="3" quotePrefix="1" applyNumberFormat="1" applyFont="1" applyBorder="1" applyAlignment="1">
      <alignment horizontal="right" vertical="center"/>
    </xf>
    <xf numFmtId="0" fontId="23" fillId="0" borderId="389" xfId="3" applyFont="1" applyBorder="1" applyAlignment="1" applyProtection="1">
      <alignment vertical="center"/>
      <protection locked="0"/>
    </xf>
    <xf numFmtId="0" fontId="23" fillId="0" borderId="173" xfId="3" applyFont="1" applyBorder="1" applyAlignment="1" applyProtection="1">
      <alignment vertical="center"/>
      <protection locked="0"/>
    </xf>
    <xf numFmtId="165" fontId="23" fillId="0" borderId="172" xfId="3" applyNumberFormat="1" applyFont="1" applyBorder="1" applyAlignment="1" applyProtection="1">
      <alignment horizontal="right" vertical="center"/>
      <protection locked="0"/>
    </xf>
    <xf numFmtId="165" fontId="24" fillId="0" borderId="172" xfId="3" applyNumberFormat="1" applyFont="1" applyBorder="1" applyAlignment="1">
      <alignment horizontal="right" vertical="center"/>
    </xf>
    <xf numFmtId="165" fontId="24" fillId="0" borderId="173" xfId="3" applyNumberFormat="1" applyFont="1" applyBorder="1" applyAlignment="1">
      <alignment horizontal="right" vertical="center"/>
    </xf>
    <xf numFmtId="165" fontId="24" fillId="0" borderId="171" xfId="3" applyNumberFormat="1" applyFont="1" applyBorder="1" applyAlignment="1">
      <alignment vertical="center"/>
    </xf>
    <xf numFmtId="165" fontId="24" fillId="0" borderId="171" xfId="3" applyNumberFormat="1" applyFont="1" applyBorder="1" applyAlignment="1">
      <alignment horizontal="right" vertical="center"/>
    </xf>
    <xf numFmtId="0" fontId="23" fillId="0" borderId="390" xfId="3" applyFont="1" applyBorder="1" applyAlignment="1" applyProtection="1">
      <alignment vertical="center"/>
      <protection locked="0"/>
    </xf>
    <xf numFmtId="0" fontId="30" fillId="0" borderId="390" xfId="3" applyFont="1" applyBorder="1" applyAlignment="1">
      <alignment horizontal="left" vertical="center"/>
    </xf>
    <xf numFmtId="0" fontId="31" fillId="0" borderId="0" xfId="3" quotePrefix="1" applyFont="1" applyAlignment="1">
      <alignment horizontal="left" vertical="center"/>
    </xf>
    <xf numFmtId="0" fontId="35" fillId="11" borderId="392" xfId="3" applyFont="1" applyFill="1" applyBorder="1" applyAlignment="1">
      <alignment vertical="center"/>
    </xf>
    <xf numFmtId="0" fontId="35" fillId="0" borderId="392" xfId="3" applyFont="1" applyBorder="1" applyAlignment="1">
      <alignment vertical="center"/>
    </xf>
    <xf numFmtId="175" fontId="23" fillId="0" borderId="393" xfId="3" applyNumberFormat="1" applyFont="1" applyBorder="1" applyAlignment="1">
      <alignment horizontal="right" vertical="center"/>
    </xf>
    <xf numFmtId="175" fontId="24" fillId="0" borderId="393" xfId="3" applyNumberFormat="1" applyFont="1" applyBorder="1" applyAlignment="1">
      <alignment horizontal="right" vertical="center"/>
    </xf>
    <xf numFmtId="175" fontId="24" fillId="0" borderId="394" xfId="3" applyNumberFormat="1" applyFont="1" applyBorder="1" applyAlignment="1">
      <alignment horizontal="right" vertical="center"/>
    </xf>
    <xf numFmtId="175" fontId="24" fillId="0" borderId="395" xfId="3" applyNumberFormat="1" applyFont="1" applyBorder="1" applyAlignment="1">
      <alignment horizontal="right" vertical="center"/>
    </xf>
    <xf numFmtId="175" fontId="24" fillId="0" borderId="397" xfId="3" applyNumberFormat="1" applyFont="1" applyBorder="1" applyAlignment="1">
      <alignment horizontal="right" vertical="center"/>
    </xf>
    <xf numFmtId="175" fontId="24" fillId="0" borderId="397" xfId="3" applyNumberFormat="1" applyFont="1" applyBorder="1" applyAlignment="1">
      <alignment vertical="center"/>
    </xf>
    <xf numFmtId="175" fontId="24" fillId="0" borderId="396" xfId="3" applyNumberFormat="1" applyFont="1" applyBorder="1" applyAlignment="1">
      <alignment vertical="center"/>
    </xf>
    <xf numFmtId="175" fontId="24" fillId="0" borderId="393" xfId="3" applyNumberFormat="1" applyFont="1" applyBorder="1" applyAlignment="1">
      <alignment vertical="center"/>
    </xf>
    <xf numFmtId="0" fontId="23" fillId="0" borderId="398" xfId="3" applyFont="1" applyBorder="1" applyAlignment="1">
      <alignment horizontal="left" vertical="center" indent="2"/>
    </xf>
    <xf numFmtId="165" fontId="23" fillId="0" borderId="399" xfId="3" applyNumberFormat="1" applyFont="1" applyBorder="1" applyAlignment="1" applyProtection="1">
      <alignment horizontal="right" vertical="center"/>
      <protection locked="0"/>
    </xf>
    <xf numFmtId="165" fontId="24" fillId="0" borderId="399" xfId="3" applyNumberFormat="1" applyFont="1" applyBorder="1" applyAlignment="1" applyProtection="1">
      <alignment horizontal="right" vertical="center"/>
      <protection locked="0"/>
    </xf>
    <xf numFmtId="165" fontId="24" fillId="0" borderId="400" xfId="3" applyNumberFormat="1" applyFont="1" applyBorder="1" applyAlignment="1">
      <alignment horizontal="right" vertical="center"/>
    </xf>
    <xf numFmtId="165" fontId="24" fillId="0" borderId="401" xfId="3" applyNumberFormat="1" applyFont="1" applyBorder="1" applyAlignment="1">
      <alignment vertical="center"/>
    </xf>
    <xf numFmtId="165" fontId="24" fillId="0" borderId="399" xfId="3" applyNumberFormat="1" applyFont="1" applyBorder="1" applyAlignment="1">
      <alignment vertical="center"/>
    </xf>
    <xf numFmtId="165" fontId="24" fillId="0" borderId="400" xfId="3" applyNumberFormat="1" applyFont="1" applyBorder="1" applyAlignment="1">
      <alignment vertical="center"/>
    </xf>
    <xf numFmtId="165" fontId="24" fillId="0" borderId="402" xfId="3" applyNumberFormat="1" applyFont="1" applyBorder="1" applyAlignment="1">
      <alignment vertical="center"/>
    </xf>
    <xf numFmtId="165" fontId="24" fillId="0" borderId="403" xfId="3" applyNumberFormat="1" applyFont="1" applyBorder="1" applyAlignment="1">
      <alignment vertical="center"/>
    </xf>
    <xf numFmtId="0" fontId="23" fillId="0" borderId="404" xfId="3" applyFont="1" applyBorder="1" applyAlignment="1">
      <alignment horizontal="left" vertical="center" indent="2"/>
    </xf>
    <xf numFmtId="165" fontId="23" fillId="0" borderId="405" xfId="3" applyNumberFormat="1" applyFont="1" applyBorder="1" applyAlignment="1" applyProtection="1">
      <alignment horizontal="right" vertical="center"/>
      <protection locked="0"/>
    </xf>
    <xf numFmtId="165" fontId="24" fillId="0" borderId="405" xfId="3" applyNumberFormat="1" applyFont="1" applyBorder="1" applyAlignment="1" applyProtection="1">
      <alignment horizontal="right" vertical="center"/>
      <protection locked="0"/>
    </xf>
    <xf numFmtId="165" fontId="24" fillId="0" borderId="406" xfId="3" applyNumberFormat="1" applyFont="1" applyBorder="1" applyAlignment="1">
      <alignment vertical="center"/>
    </xf>
    <xf numFmtId="165" fontId="24" fillId="0" borderId="405" xfId="3" applyNumberFormat="1" applyFont="1" applyBorder="1" applyAlignment="1">
      <alignment vertical="center"/>
    </xf>
    <xf numFmtId="165" fontId="24" fillId="0" borderId="407" xfId="3" applyNumberFormat="1" applyFont="1" applyBorder="1" applyAlignment="1">
      <alignment vertical="center"/>
    </xf>
    <xf numFmtId="165" fontId="24" fillId="0" borderId="408" xfId="3" applyNumberFormat="1" applyFont="1" applyBorder="1" applyAlignment="1">
      <alignment vertical="center"/>
    </xf>
    <xf numFmtId="0" fontId="23" fillId="0" borderId="404" xfId="3" applyFont="1" applyBorder="1" applyAlignment="1">
      <alignment horizontal="left" vertical="center" indent="1"/>
    </xf>
    <xf numFmtId="0" fontId="23" fillId="0" borderId="404" xfId="3" applyFont="1" applyBorder="1" applyAlignment="1">
      <alignment vertical="center"/>
    </xf>
    <xf numFmtId="0" fontId="23" fillId="0" borderId="405" xfId="3" applyFont="1" applyBorder="1" applyAlignment="1" applyProtection="1">
      <alignment horizontal="right" vertical="center"/>
      <protection locked="0"/>
    </xf>
    <xf numFmtId="0" fontId="24" fillId="0" borderId="405" xfId="3" applyFont="1" applyBorder="1" applyAlignment="1" applyProtection="1">
      <alignment horizontal="right" vertical="center"/>
      <protection locked="0"/>
    </xf>
    <xf numFmtId="176" fontId="24" fillId="0" borderId="380" xfId="3" applyNumberFormat="1" applyFont="1" applyBorder="1" applyAlignment="1">
      <alignment horizontal="right" vertical="center"/>
    </xf>
    <xf numFmtId="177" fontId="24" fillId="0" borderId="406" xfId="3" applyNumberFormat="1" applyFont="1" applyBorder="1" applyAlignment="1">
      <alignment vertical="center"/>
    </xf>
    <xf numFmtId="177" fontId="24" fillId="0" borderId="405" xfId="3" applyNumberFormat="1" applyFont="1" applyBorder="1" applyAlignment="1">
      <alignment vertical="center"/>
    </xf>
    <xf numFmtId="177" fontId="24" fillId="0" borderId="380" xfId="3" applyNumberFormat="1" applyFont="1" applyBorder="1" applyAlignment="1">
      <alignment vertical="center"/>
    </xf>
    <xf numFmtId="177" fontId="24" fillId="0" borderId="407" xfId="3" applyNumberFormat="1" applyFont="1" applyBorder="1" applyAlignment="1">
      <alignment vertical="center"/>
    </xf>
    <xf numFmtId="177" fontId="24" fillId="0" borderId="408" xfId="3" applyNumberFormat="1" applyFont="1" applyBorder="1" applyAlignment="1">
      <alignment vertical="center"/>
    </xf>
    <xf numFmtId="0" fontId="24" fillId="0" borderId="404" xfId="3" applyFont="1" applyBorder="1" applyAlignment="1">
      <alignment horizontal="left" vertical="center" indent="3"/>
    </xf>
    <xf numFmtId="0" fontId="23" fillId="0" borderId="404" xfId="3" applyFont="1" applyBorder="1" applyAlignment="1">
      <alignment horizontal="left" vertical="center"/>
    </xf>
    <xf numFmtId="0" fontId="24" fillId="0" borderId="404" xfId="3" applyFont="1" applyBorder="1" applyAlignment="1">
      <alignment horizontal="left" vertical="center" indent="1"/>
    </xf>
    <xf numFmtId="0" fontId="24" fillId="0" borderId="404" xfId="3" quotePrefix="1" applyFont="1" applyBorder="1" applyAlignment="1">
      <alignment horizontal="left" vertical="center" indent="1"/>
    </xf>
    <xf numFmtId="0" fontId="23" fillId="0" borderId="409" xfId="3" applyFont="1" applyBorder="1" applyAlignment="1">
      <alignment vertical="center"/>
    </xf>
    <xf numFmtId="165" fontId="23" fillId="0" borderId="410" xfId="3" applyNumberFormat="1" applyFont="1" applyBorder="1" applyAlignment="1" applyProtection="1">
      <alignment horizontal="right" vertical="center"/>
      <protection locked="0"/>
    </xf>
    <xf numFmtId="165" fontId="24" fillId="0" borderId="410" xfId="3" applyNumberFormat="1" applyFont="1" applyBorder="1" applyAlignment="1" applyProtection="1">
      <alignment horizontal="right" vertical="center"/>
      <protection locked="0"/>
    </xf>
    <xf numFmtId="165" fontId="24" fillId="0" borderId="411" xfId="3" applyNumberFormat="1" applyFont="1" applyBorder="1" applyAlignment="1">
      <alignment vertical="center"/>
    </xf>
    <xf numFmtId="165" fontId="24" fillId="0" borderId="410" xfId="3" applyNumberFormat="1" applyFont="1" applyBorder="1" applyAlignment="1">
      <alignment vertical="center"/>
    </xf>
    <xf numFmtId="165" fontId="24" fillId="0" borderId="173" xfId="3" applyNumberFormat="1" applyFont="1" applyBorder="1" applyAlignment="1">
      <alignment vertical="center"/>
    </xf>
    <xf numFmtId="165" fontId="24" fillId="0" borderId="412" xfId="3" applyNumberFormat="1" applyFont="1" applyBorder="1" applyAlignment="1">
      <alignment vertical="center"/>
    </xf>
    <xf numFmtId="165" fontId="24" fillId="0" borderId="413" xfId="3" applyNumberFormat="1" applyFont="1" applyBorder="1" applyAlignment="1">
      <alignment vertical="center"/>
    </xf>
    <xf numFmtId="0" fontId="40" fillId="0" borderId="390" xfId="3" applyFont="1" applyBorder="1"/>
    <xf numFmtId="0" fontId="35" fillId="11" borderId="415" xfId="3" applyFont="1" applyFill="1" applyBorder="1" applyAlignment="1">
      <alignment vertical="center"/>
    </xf>
    <xf numFmtId="0" fontId="35" fillId="0" borderId="415" xfId="3" applyFont="1" applyBorder="1" applyAlignment="1">
      <alignment vertical="center"/>
    </xf>
    <xf numFmtId="0" fontId="23" fillId="0" borderId="416" xfId="3" applyFont="1" applyBorder="1" applyAlignment="1">
      <alignment horizontal="right" vertical="center"/>
    </xf>
    <xf numFmtId="0" fontId="24" fillId="0" borderId="416" xfId="3" applyFont="1" applyBorder="1" applyAlignment="1">
      <alignment horizontal="right" vertical="center"/>
    </xf>
    <xf numFmtId="0" fontId="24" fillId="0" borderId="417" xfId="3" applyFont="1" applyBorder="1" applyAlignment="1">
      <alignment horizontal="right" vertical="center"/>
    </xf>
    <xf numFmtId="0" fontId="24" fillId="0" borderId="418" xfId="3" applyFont="1" applyBorder="1" applyAlignment="1">
      <alignment horizontal="right" vertical="center"/>
    </xf>
    <xf numFmtId="0" fontId="24" fillId="0" borderId="394" xfId="3" applyFont="1" applyBorder="1" applyAlignment="1">
      <alignment horizontal="right" vertical="center"/>
    </xf>
    <xf numFmtId="166" fontId="24" fillId="0" borderId="418" xfId="3" applyNumberFormat="1" applyFont="1" applyBorder="1" applyAlignment="1">
      <alignment horizontal="right" vertical="center"/>
    </xf>
    <xf numFmtId="166" fontId="24" fillId="0" borderId="417" xfId="3" applyNumberFormat="1" applyFont="1" applyBorder="1" applyAlignment="1">
      <alignment horizontal="right" vertical="center"/>
    </xf>
    <xf numFmtId="166" fontId="24" fillId="0" borderId="416" xfId="3" applyNumberFormat="1" applyFont="1" applyBorder="1" applyAlignment="1">
      <alignment horizontal="right" vertical="center"/>
    </xf>
    <xf numFmtId="0" fontId="14" fillId="0" borderId="415" xfId="3" applyFont="1" applyBorder="1" applyAlignment="1">
      <alignment vertical="center"/>
    </xf>
    <xf numFmtId="0" fontId="23" fillId="0" borderId="418" xfId="3" applyFont="1" applyBorder="1" applyAlignment="1">
      <alignment horizontal="right" vertical="center"/>
    </xf>
    <xf numFmtId="0" fontId="23" fillId="0" borderId="394" xfId="3" applyFont="1" applyBorder="1" applyAlignment="1">
      <alignment horizontal="right" vertical="center"/>
    </xf>
    <xf numFmtId="166" fontId="23" fillId="0" borderId="418" xfId="3" applyNumberFormat="1" applyFont="1" applyBorder="1" applyAlignment="1">
      <alignment horizontal="right" vertical="center"/>
    </xf>
    <xf numFmtId="166" fontId="23" fillId="0" borderId="416" xfId="3" applyNumberFormat="1" applyFont="1" applyBorder="1" applyAlignment="1">
      <alignment horizontal="right" vertical="center"/>
    </xf>
    <xf numFmtId="166" fontId="23" fillId="0" borderId="417" xfId="3" applyNumberFormat="1" applyFont="1" applyBorder="1" applyAlignment="1">
      <alignment horizontal="right" vertical="center"/>
    </xf>
    <xf numFmtId="0" fontId="24" fillId="0" borderId="419" xfId="3" applyFont="1" applyBorder="1" applyAlignment="1">
      <alignment vertical="center"/>
    </xf>
    <xf numFmtId="165" fontId="23" fillId="0" borderId="420" xfId="3" applyNumberFormat="1" applyFont="1" applyBorder="1" applyAlignment="1">
      <alignment horizontal="right" vertical="center"/>
    </xf>
    <xf numFmtId="165" fontId="24" fillId="0" borderId="420" xfId="3" applyNumberFormat="1" applyFont="1" applyBorder="1" applyAlignment="1" applyProtection="1">
      <alignment horizontal="right" vertical="center"/>
      <protection locked="0"/>
    </xf>
    <xf numFmtId="165" fontId="24" fillId="0" borderId="421" xfId="3" applyNumberFormat="1" applyFont="1" applyBorder="1" applyAlignment="1">
      <alignment horizontal="right" vertical="center"/>
    </xf>
    <xf numFmtId="165" fontId="24" fillId="0" borderId="422" xfId="3" applyNumberFormat="1" applyFont="1" applyBorder="1" applyAlignment="1">
      <alignment vertical="center"/>
    </xf>
    <xf numFmtId="165" fontId="24" fillId="0" borderId="420" xfId="3" applyNumberFormat="1" applyFont="1" applyBorder="1" applyAlignment="1">
      <alignment vertical="center"/>
    </xf>
    <xf numFmtId="165" fontId="24" fillId="0" borderId="422" xfId="3" applyNumberFormat="1" applyFont="1" applyBorder="1" applyAlignment="1" applyProtection="1">
      <alignment vertical="center"/>
      <protection locked="0"/>
    </xf>
    <xf numFmtId="165" fontId="24" fillId="0" borderId="421" xfId="3" applyNumberFormat="1" applyFont="1" applyBorder="1" applyAlignment="1" applyProtection="1">
      <alignment vertical="center"/>
      <protection locked="0"/>
    </xf>
    <xf numFmtId="0" fontId="24" fillId="0" borderId="423" xfId="3" applyFont="1" applyBorder="1" applyAlignment="1">
      <alignment vertical="center"/>
    </xf>
    <xf numFmtId="165" fontId="23" fillId="0" borderId="424" xfId="3" applyNumberFormat="1" applyFont="1" applyBorder="1" applyAlignment="1">
      <alignment horizontal="right" vertical="center"/>
    </xf>
    <xf numFmtId="165" fontId="24" fillId="0" borderId="424" xfId="3" applyNumberFormat="1" applyFont="1" applyBorder="1" applyAlignment="1" applyProtection="1">
      <alignment horizontal="right" vertical="center"/>
      <protection locked="0"/>
    </xf>
    <xf numFmtId="165" fontId="24" fillId="0" borderId="425" xfId="3" applyNumberFormat="1" applyFont="1" applyBorder="1" applyAlignment="1">
      <alignment horizontal="right" vertical="center"/>
    </xf>
    <xf numFmtId="165" fontId="24" fillId="0" borderId="426" xfId="3" applyNumberFormat="1" applyFont="1" applyBorder="1" applyAlignment="1">
      <alignment vertical="center"/>
    </xf>
    <xf numFmtId="165" fontId="24" fillId="0" borderId="424" xfId="3" applyNumberFormat="1" applyFont="1" applyBorder="1" applyAlignment="1">
      <alignment vertical="center"/>
    </xf>
    <xf numFmtId="165" fontId="24" fillId="0" borderId="426" xfId="3" applyNumberFormat="1" applyFont="1" applyBorder="1" applyAlignment="1" applyProtection="1">
      <alignment vertical="center"/>
      <protection locked="0"/>
    </xf>
    <xf numFmtId="165" fontId="24" fillId="0" borderId="425" xfId="3" applyNumberFormat="1" applyFont="1" applyBorder="1" applyAlignment="1" applyProtection="1">
      <alignment vertical="center"/>
      <protection locked="0"/>
    </xf>
    <xf numFmtId="0" fontId="24" fillId="0" borderId="423" xfId="3" applyFont="1" applyBorder="1" applyAlignment="1">
      <alignment horizontal="left" vertical="center" indent="1"/>
    </xf>
    <xf numFmtId="0" fontId="23" fillId="0" borderId="423" xfId="3" applyFont="1" applyBorder="1" applyAlignment="1">
      <alignment vertical="center"/>
    </xf>
    <xf numFmtId="41" fontId="23" fillId="0" borderId="424" xfId="3" applyNumberFormat="1" applyFont="1" applyBorder="1" applyAlignment="1">
      <alignment horizontal="right" vertical="center"/>
    </xf>
    <xf numFmtId="41" fontId="24" fillId="0" borderId="424" xfId="3" applyNumberFormat="1" applyFont="1" applyBorder="1" applyAlignment="1" applyProtection="1">
      <alignment horizontal="right" vertical="center"/>
      <protection locked="0"/>
    </xf>
    <xf numFmtId="41" fontId="24" fillId="0" borderId="426" xfId="3" applyNumberFormat="1" applyFont="1" applyBorder="1" applyAlignment="1">
      <alignment vertical="center"/>
    </xf>
    <xf numFmtId="41" fontId="24" fillId="0" borderId="424" xfId="3" applyNumberFormat="1" applyFont="1" applyBorder="1" applyAlignment="1">
      <alignment vertical="center"/>
    </xf>
    <xf numFmtId="41" fontId="24" fillId="0" borderId="380" xfId="3" applyNumberFormat="1" applyFont="1" applyBorder="1" applyAlignment="1">
      <alignment vertical="center"/>
    </xf>
    <xf numFmtId="41" fontId="24" fillId="0" borderId="426" xfId="3" applyNumberFormat="1" applyFont="1" applyBorder="1" applyAlignment="1" applyProtection="1">
      <alignment vertical="center"/>
      <protection locked="0"/>
    </xf>
    <xf numFmtId="41" fontId="24" fillId="0" borderId="425" xfId="3" applyNumberFormat="1" applyFont="1" applyBorder="1" applyAlignment="1" applyProtection="1">
      <alignment vertical="center"/>
      <protection locked="0"/>
    </xf>
    <xf numFmtId="0" fontId="24" fillId="0" borderId="173" xfId="3" applyFont="1" applyBorder="1" applyAlignment="1">
      <alignment vertical="center"/>
    </xf>
    <xf numFmtId="174" fontId="23" fillId="0" borderId="172" xfId="3" applyNumberFormat="1" applyFont="1" applyBorder="1" applyAlignment="1">
      <alignment horizontal="right" vertical="center"/>
    </xf>
    <xf numFmtId="41" fontId="24" fillId="0" borderId="172" xfId="3" applyNumberFormat="1" applyFont="1" applyBorder="1" applyAlignment="1" applyProtection="1">
      <alignment horizontal="right" vertical="center"/>
      <protection locked="0"/>
    </xf>
    <xf numFmtId="41" fontId="24" fillId="0" borderId="173" xfId="3" applyNumberFormat="1" applyFont="1" applyBorder="1" applyAlignment="1">
      <alignment horizontal="right" vertical="center"/>
    </xf>
    <xf numFmtId="174" fontId="24" fillId="0" borderId="171" xfId="3" applyNumberFormat="1" applyFont="1" applyBorder="1" applyAlignment="1">
      <alignment vertical="center"/>
    </xf>
    <xf numFmtId="174" fontId="24" fillId="0" borderId="172" xfId="3" applyNumberFormat="1" applyFont="1" applyBorder="1" applyAlignment="1">
      <alignment vertical="center"/>
    </xf>
    <xf numFmtId="41" fontId="24" fillId="0" borderId="172" xfId="3" applyNumberFormat="1" applyFont="1" applyBorder="1" applyAlignment="1">
      <alignment vertical="center"/>
    </xf>
    <xf numFmtId="41" fontId="24" fillId="0" borderId="173" xfId="3" applyNumberFormat="1" applyFont="1" applyBorder="1" applyAlignment="1">
      <alignment vertical="center"/>
    </xf>
    <xf numFmtId="41" fontId="24" fillId="0" borderId="171" xfId="3" applyNumberFormat="1" applyFont="1" applyBorder="1" applyAlignment="1">
      <alignment vertical="center"/>
    </xf>
    <xf numFmtId="41" fontId="24" fillId="0" borderId="172" xfId="3" applyNumberFormat="1" applyFont="1" applyBorder="1" applyAlignment="1" applyProtection="1">
      <alignment vertical="center"/>
      <protection locked="0"/>
    </xf>
    <xf numFmtId="41" fontId="24" fillId="0" borderId="173" xfId="3" applyNumberFormat="1" applyFont="1" applyBorder="1" applyAlignment="1" applyProtection="1">
      <alignment vertical="center"/>
      <protection locked="0"/>
    </xf>
    <xf numFmtId="0" fontId="14" fillId="0" borderId="427" xfId="3" applyFont="1" applyBorder="1" applyAlignment="1">
      <alignment vertical="center"/>
    </xf>
    <xf numFmtId="169" fontId="23" fillId="0" borderId="428" xfId="3" applyNumberFormat="1" applyFont="1" applyBorder="1" applyAlignment="1">
      <alignment horizontal="right" vertical="center"/>
    </xf>
    <xf numFmtId="169" fontId="24" fillId="0" borderId="428" xfId="3" applyNumberFormat="1" applyFont="1" applyBorder="1" applyAlignment="1" applyProtection="1">
      <alignment horizontal="right" vertical="center"/>
      <protection locked="0"/>
    </xf>
    <xf numFmtId="169" fontId="24" fillId="0" borderId="429" xfId="3" applyNumberFormat="1" applyFont="1" applyBorder="1" applyAlignment="1">
      <alignment horizontal="right" vertical="center"/>
    </xf>
    <xf numFmtId="169" fontId="24" fillId="0" borderId="430" xfId="3" applyNumberFormat="1" applyFont="1" applyBorder="1" applyAlignment="1">
      <alignment vertical="center"/>
    </xf>
    <xf numFmtId="169" fontId="24" fillId="0" borderId="428" xfId="3" applyNumberFormat="1" applyFont="1" applyBorder="1" applyAlignment="1">
      <alignment vertical="center"/>
    </xf>
    <xf numFmtId="169" fontId="24" fillId="0" borderId="394" xfId="3" applyNumberFormat="1" applyFont="1" applyBorder="1" applyAlignment="1">
      <alignment vertical="center"/>
    </xf>
    <xf numFmtId="169" fontId="24" fillId="0" borderId="431" xfId="3" applyNumberFormat="1" applyFont="1" applyBorder="1" applyAlignment="1">
      <alignment vertical="center"/>
    </xf>
    <xf numFmtId="41" fontId="24" fillId="0" borderId="428" xfId="3" applyNumberFormat="1" applyFont="1" applyBorder="1" applyAlignment="1" applyProtection="1">
      <alignment vertical="center"/>
      <protection locked="0"/>
    </xf>
    <xf numFmtId="41" fontId="24" fillId="0" borderId="429" xfId="3" applyNumberFormat="1" applyFont="1" applyBorder="1" applyAlignment="1" applyProtection="1">
      <alignment vertical="center"/>
      <protection locked="0"/>
    </xf>
    <xf numFmtId="41" fontId="24" fillId="0" borderId="428" xfId="3" applyNumberFormat="1" applyFont="1" applyBorder="1" applyAlignment="1">
      <alignment vertical="center"/>
    </xf>
    <xf numFmtId="0" fontId="24" fillId="0" borderId="400" xfId="3" applyFont="1" applyBorder="1" applyAlignment="1">
      <alignment horizontal="left" vertical="center" indent="1"/>
    </xf>
    <xf numFmtId="168" fontId="23" fillId="0" borderId="432" xfId="3" applyNumberFormat="1" applyFont="1" applyBorder="1" applyAlignment="1">
      <alignment horizontal="right" vertical="center"/>
    </xf>
    <xf numFmtId="168" fontId="24" fillId="0" borderId="432" xfId="3" applyNumberFormat="1" applyFont="1" applyBorder="1" applyAlignment="1" applyProtection="1">
      <alignment horizontal="right" vertical="center"/>
      <protection locked="0"/>
    </xf>
    <xf numFmtId="168" fontId="24" fillId="0" borderId="400" xfId="3" applyNumberFormat="1" applyFont="1" applyBorder="1" applyAlignment="1">
      <alignment horizontal="right" vertical="center"/>
    </xf>
    <xf numFmtId="168" fontId="24" fillId="0" borderId="433" xfId="3" applyNumberFormat="1" applyFont="1" applyBorder="1" applyAlignment="1">
      <alignment vertical="center"/>
    </xf>
    <xf numFmtId="168" fontId="24" fillId="0" borderId="432" xfId="3" applyNumberFormat="1" applyFont="1" applyBorder="1" applyAlignment="1">
      <alignment vertical="center"/>
    </xf>
    <xf numFmtId="168" fontId="24" fillId="0" borderId="400" xfId="3" applyNumberFormat="1" applyFont="1" applyBorder="1" applyAlignment="1">
      <alignment vertical="center"/>
    </xf>
    <xf numFmtId="41" fontId="24" fillId="10" borderId="434" xfId="3" applyNumberFormat="1" applyFont="1" applyFill="1" applyBorder="1" applyAlignment="1" applyProtection="1">
      <alignment vertical="center"/>
      <protection locked="0"/>
    </xf>
    <xf numFmtId="41" fontId="24" fillId="10" borderId="435" xfId="3" applyNumberFormat="1" applyFont="1" applyFill="1" applyBorder="1" applyAlignment="1" applyProtection="1">
      <alignment vertical="center"/>
      <protection locked="0"/>
    </xf>
    <xf numFmtId="41" fontId="24" fillId="10" borderId="436" xfId="3" applyNumberFormat="1" applyFont="1" applyFill="1" applyBorder="1" applyAlignment="1">
      <alignment vertical="center"/>
    </xf>
    <xf numFmtId="168" fontId="23" fillId="0" borderId="424" xfId="3" applyNumberFormat="1" applyFont="1" applyBorder="1" applyAlignment="1">
      <alignment horizontal="right" vertical="center"/>
    </xf>
    <xf numFmtId="168" fontId="24" fillId="0" borderId="424" xfId="3" applyNumberFormat="1" applyFont="1" applyBorder="1" applyAlignment="1" applyProtection="1">
      <alignment horizontal="right" vertical="center"/>
      <protection locked="0"/>
    </xf>
    <xf numFmtId="168" fontId="24" fillId="0" borderId="425" xfId="3" applyNumberFormat="1" applyFont="1" applyBorder="1" applyAlignment="1">
      <alignment horizontal="right" vertical="center"/>
    </xf>
    <xf numFmtId="168" fontId="24" fillId="0" borderId="426" xfId="3" applyNumberFormat="1" applyFont="1" applyBorder="1" applyAlignment="1">
      <alignment vertical="center"/>
    </xf>
    <xf numFmtId="168" fontId="24" fillId="0" borderId="424" xfId="3" applyNumberFormat="1" applyFont="1" applyBorder="1" applyAlignment="1">
      <alignment vertical="center"/>
    </xf>
    <xf numFmtId="168" fontId="24" fillId="0" borderId="380" xfId="3" applyNumberFormat="1" applyFont="1" applyBorder="1" applyAlignment="1">
      <alignment vertical="center"/>
    </xf>
    <xf numFmtId="168" fontId="24" fillId="0" borderId="437" xfId="3" applyNumberFormat="1" applyFont="1" applyBorder="1" applyAlignment="1">
      <alignment vertical="center"/>
    </xf>
    <xf numFmtId="41" fontId="24" fillId="10" borderId="438" xfId="3" applyNumberFormat="1" applyFont="1" applyFill="1" applyBorder="1" applyAlignment="1" applyProtection="1">
      <alignment vertical="center"/>
      <protection locked="0"/>
    </xf>
    <xf numFmtId="41" fontId="24" fillId="10" borderId="439" xfId="3" applyNumberFormat="1" applyFont="1" applyFill="1" applyBorder="1" applyAlignment="1" applyProtection="1">
      <alignment vertical="center"/>
      <protection locked="0"/>
    </xf>
    <xf numFmtId="41" fontId="24" fillId="10" borderId="438" xfId="3" applyNumberFormat="1" applyFont="1" applyFill="1" applyBorder="1" applyAlignment="1">
      <alignment vertical="center"/>
    </xf>
    <xf numFmtId="41" fontId="24" fillId="10" borderId="329" xfId="3" applyNumberFormat="1" applyFont="1" applyFill="1" applyBorder="1" applyAlignment="1" applyProtection="1">
      <alignment vertical="center"/>
      <protection locked="0"/>
    </xf>
    <xf numFmtId="41" fontId="24" fillId="10" borderId="440" xfId="3" applyNumberFormat="1" applyFont="1" applyFill="1" applyBorder="1" applyAlignment="1" applyProtection="1">
      <alignment vertical="center"/>
      <protection locked="0"/>
    </xf>
    <xf numFmtId="41" fontId="24" fillId="10" borderId="329" xfId="3" applyNumberFormat="1" applyFont="1" applyFill="1" applyBorder="1" applyAlignment="1">
      <alignment vertical="center"/>
    </xf>
    <xf numFmtId="169" fontId="23" fillId="0" borderId="172" xfId="3" applyNumberFormat="1" applyFont="1" applyBorder="1" applyAlignment="1">
      <alignment horizontal="right" vertical="center"/>
    </xf>
    <xf numFmtId="169" fontId="24" fillId="0" borderId="172" xfId="3" applyNumberFormat="1" applyFont="1" applyBorder="1" applyAlignment="1" applyProtection="1">
      <alignment horizontal="right" vertical="center"/>
      <protection locked="0"/>
    </xf>
    <xf numFmtId="168" fontId="24" fillId="0" borderId="173" xfId="3" applyNumberFormat="1" applyFont="1" applyBorder="1" applyAlignment="1">
      <alignment horizontal="right" vertical="center"/>
    </xf>
    <xf numFmtId="169" fontId="24" fillId="0" borderId="171" xfId="3" applyNumberFormat="1" applyFont="1" applyBorder="1" applyAlignment="1">
      <alignment vertical="center"/>
    </xf>
    <xf numFmtId="169" fontId="24" fillId="0" borderId="172" xfId="3" applyNumberFormat="1" applyFont="1" applyBorder="1" applyAlignment="1">
      <alignment vertical="center"/>
    </xf>
    <xf numFmtId="169" fontId="24" fillId="0" borderId="173" xfId="3" applyNumberFormat="1" applyFont="1" applyBorder="1" applyAlignment="1">
      <alignment vertical="center"/>
    </xf>
    <xf numFmtId="168" fontId="24" fillId="0" borderId="429" xfId="3" applyNumberFormat="1" applyFont="1" applyBorder="1" applyAlignment="1">
      <alignment horizontal="right" vertical="center"/>
    </xf>
    <xf numFmtId="0" fontId="24" fillId="0" borderId="400" xfId="3" applyFont="1" applyBorder="1" applyAlignment="1">
      <alignment vertical="center"/>
    </xf>
    <xf numFmtId="169" fontId="23" fillId="0" borderId="432" xfId="3" applyNumberFormat="1" applyFont="1" applyBorder="1" applyAlignment="1">
      <alignment horizontal="right" vertical="center"/>
    </xf>
    <xf numFmtId="169" fontId="24" fillId="0" borderId="432" xfId="3" applyNumberFormat="1" applyFont="1" applyBorder="1" applyAlignment="1" applyProtection="1">
      <alignment horizontal="right" vertical="center"/>
      <protection locked="0"/>
    </xf>
    <xf numFmtId="41" fontId="24" fillId="10" borderId="436" xfId="3" applyNumberFormat="1" applyFont="1" applyFill="1" applyBorder="1" applyAlignment="1" applyProtection="1">
      <alignment vertical="center"/>
      <protection locked="0"/>
    </xf>
    <xf numFmtId="169" fontId="23" fillId="0" borderId="424" xfId="3" applyNumberFormat="1" applyFont="1" applyBorder="1" applyAlignment="1">
      <alignment horizontal="right" vertical="center"/>
    </xf>
    <xf numFmtId="169" fontId="24" fillId="0" borderId="424" xfId="3" applyNumberFormat="1" applyFont="1" applyBorder="1" applyAlignment="1" applyProtection="1">
      <alignment horizontal="right" vertical="center"/>
      <protection locked="0"/>
    </xf>
    <xf numFmtId="0" fontId="23" fillId="0" borderId="441" xfId="3" applyFont="1" applyBorder="1" applyAlignment="1">
      <alignment vertical="center"/>
    </xf>
    <xf numFmtId="169" fontId="23" fillId="0" borderId="442" xfId="3" applyNumberFormat="1" applyFont="1" applyBorder="1" applyAlignment="1">
      <alignment horizontal="right" vertical="center"/>
    </xf>
    <xf numFmtId="169" fontId="24" fillId="0" borderId="442" xfId="3" applyNumberFormat="1" applyFont="1" applyBorder="1" applyAlignment="1" applyProtection="1">
      <alignment horizontal="right" vertical="center"/>
      <protection locked="0"/>
    </xf>
    <xf numFmtId="168" fontId="24" fillId="0" borderId="443" xfId="3" applyNumberFormat="1" applyFont="1" applyBorder="1" applyAlignment="1">
      <alignment horizontal="right" vertical="center"/>
    </xf>
    <xf numFmtId="168" fontId="24" fillId="0" borderId="444" xfId="3" applyNumberFormat="1" applyFont="1" applyBorder="1" applyAlignment="1">
      <alignment vertical="center"/>
    </xf>
    <xf numFmtId="168" fontId="24" fillId="0" borderId="442" xfId="3" applyNumberFormat="1" applyFont="1" applyBorder="1" applyAlignment="1">
      <alignment vertical="center"/>
    </xf>
    <xf numFmtId="168" fontId="24" fillId="0" borderId="173" xfId="3" applyNumberFormat="1" applyFont="1" applyBorder="1" applyAlignment="1">
      <alignment vertical="center"/>
    </xf>
    <xf numFmtId="168" fontId="24" fillId="0" borderId="445" xfId="3" applyNumberFormat="1" applyFont="1" applyBorder="1" applyAlignment="1">
      <alignment vertical="center"/>
    </xf>
    <xf numFmtId="41" fontId="24" fillId="10" borderId="446" xfId="3" applyNumberFormat="1" applyFont="1" applyFill="1" applyBorder="1" applyAlignment="1" applyProtection="1">
      <alignment vertical="center"/>
      <protection locked="0"/>
    </xf>
    <xf numFmtId="41" fontId="24" fillId="10" borderId="447" xfId="3" applyNumberFormat="1" applyFont="1" applyFill="1" applyBorder="1" applyAlignment="1" applyProtection="1">
      <alignment vertical="center"/>
      <protection locked="0"/>
    </xf>
    <xf numFmtId="41" fontId="24" fillId="10" borderId="446" xfId="3" applyNumberFormat="1" applyFont="1" applyFill="1" applyBorder="1" applyAlignment="1">
      <alignment vertical="center"/>
    </xf>
    <xf numFmtId="0" fontId="34" fillId="0" borderId="390" xfId="3" applyFont="1" applyBorder="1" applyAlignment="1">
      <alignment vertical="center"/>
    </xf>
    <xf numFmtId="178" fontId="31" fillId="0" borderId="390" xfId="3" applyNumberFormat="1" applyFont="1" applyBorder="1" applyAlignment="1">
      <alignment vertical="center"/>
    </xf>
    <xf numFmtId="178" fontId="34" fillId="0" borderId="390" xfId="3" applyNumberFormat="1" applyFont="1" applyBorder="1" applyAlignment="1">
      <alignment vertical="center"/>
    </xf>
    <xf numFmtId="0" fontId="35" fillId="11" borderId="449" xfId="3" applyFont="1" applyFill="1" applyBorder="1" applyAlignment="1">
      <alignment vertical="center"/>
    </xf>
    <xf numFmtId="0" fontId="35" fillId="0" borderId="449" xfId="3" applyFont="1" applyBorder="1" applyAlignment="1">
      <alignment vertical="center"/>
    </xf>
    <xf numFmtId="0" fontId="23" fillId="0" borderId="450" xfId="3" applyFont="1" applyBorder="1" applyAlignment="1">
      <alignment horizontal="right" vertical="center"/>
    </xf>
    <xf numFmtId="0" fontId="24" fillId="0" borderId="450" xfId="3" applyFont="1" applyBorder="1" applyAlignment="1">
      <alignment horizontal="right" vertical="center"/>
    </xf>
    <xf numFmtId="0" fontId="24" fillId="0" borderId="451" xfId="3" applyFont="1" applyBorder="1" applyAlignment="1">
      <alignment horizontal="right" vertical="center"/>
    </xf>
    <xf numFmtId="0" fontId="24" fillId="0" borderId="453" xfId="3" applyFont="1" applyBorder="1" applyAlignment="1">
      <alignment horizontal="right" vertical="center"/>
    </xf>
    <xf numFmtId="175" fontId="24" fillId="0" borderId="453" xfId="3" applyNumberFormat="1" applyFont="1" applyBorder="1" applyAlignment="1">
      <alignment horizontal="right" vertical="center"/>
    </xf>
    <xf numFmtId="175" fontId="24" fillId="0" borderId="452" xfId="3" applyNumberFormat="1" applyFont="1" applyBorder="1" applyAlignment="1">
      <alignment horizontal="right" vertical="center"/>
    </xf>
    <xf numFmtId="175" fontId="24" fillId="0" borderId="450" xfId="3" applyNumberFormat="1" applyFont="1" applyBorder="1" applyAlignment="1">
      <alignment horizontal="right" vertical="center"/>
    </xf>
    <xf numFmtId="0" fontId="23" fillId="0" borderId="454" xfId="3" applyFont="1" applyBorder="1" applyAlignment="1">
      <alignment vertical="center"/>
    </xf>
    <xf numFmtId="41" fontId="23" fillId="0" borderId="455" xfId="3" applyNumberFormat="1" applyFont="1" applyBorder="1" applyAlignment="1">
      <alignment vertical="center"/>
    </xf>
    <xf numFmtId="41" fontId="24" fillId="0" borderId="455" xfId="3" applyNumberFormat="1" applyFont="1" applyBorder="1" applyAlignment="1">
      <alignment vertical="center"/>
    </xf>
    <xf numFmtId="41" fontId="24" fillId="0" borderId="400" xfId="3" applyNumberFormat="1" applyFont="1" applyBorder="1" applyAlignment="1">
      <alignment vertical="center"/>
    </xf>
    <xf numFmtId="41" fontId="24" fillId="0" borderId="456" xfId="3" applyNumberFormat="1" applyFont="1" applyBorder="1" applyAlignment="1">
      <alignment vertical="center"/>
    </xf>
    <xf numFmtId="41" fontId="24" fillId="0" borderId="457" xfId="3" applyNumberFormat="1" applyFont="1" applyBorder="1" applyAlignment="1">
      <alignment vertical="center"/>
    </xf>
    <xf numFmtId="41" fontId="24" fillId="0" borderId="458" xfId="3" applyNumberFormat="1" applyFont="1" applyBorder="1" applyAlignment="1">
      <alignment vertical="center"/>
    </xf>
    <xf numFmtId="0" fontId="24" fillId="0" borderId="459" xfId="3" applyFont="1" applyBorder="1" applyAlignment="1">
      <alignment horizontal="left" vertical="center" indent="1"/>
    </xf>
    <xf numFmtId="165" fontId="23" fillId="0" borderId="460" xfId="3" applyNumberFormat="1" applyFont="1" applyBorder="1" applyAlignment="1">
      <alignment horizontal="right" vertical="center"/>
    </xf>
    <xf numFmtId="165" fontId="24" fillId="0" borderId="460" xfId="18" applyNumberFormat="1" applyFont="1" applyBorder="1" applyAlignment="1" applyProtection="1">
      <alignment horizontal="right" vertical="center"/>
      <protection locked="0"/>
    </xf>
    <xf numFmtId="165" fontId="24" fillId="0" borderId="461" xfId="3" applyNumberFormat="1" applyFont="1" applyBorder="1" applyAlignment="1">
      <alignment vertical="center"/>
    </xf>
    <xf numFmtId="165" fontId="24" fillId="0" borderId="460" xfId="3" applyNumberFormat="1" applyFont="1" applyBorder="1" applyAlignment="1">
      <alignment vertical="center"/>
    </xf>
    <xf numFmtId="165" fontId="24" fillId="0" borderId="462" xfId="3" applyNumberFormat="1" applyFont="1" applyBorder="1" applyAlignment="1">
      <alignment vertical="center"/>
    </xf>
    <xf numFmtId="165" fontId="24" fillId="0" borderId="462" xfId="3" applyNumberFormat="1" applyFont="1" applyBorder="1" applyAlignment="1" applyProtection="1">
      <alignment vertical="center"/>
      <protection locked="0"/>
    </xf>
    <xf numFmtId="165" fontId="24" fillId="0" borderId="463" xfId="3" applyNumberFormat="1" applyFont="1" applyBorder="1" applyAlignment="1" applyProtection="1">
      <alignment vertical="center"/>
      <protection locked="0"/>
    </xf>
    <xf numFmtId="0" fontId="23" fillId="0" borderId="459" xfId="3" applyFont="1" applyBorder="1" applyAlignment="1">
      <alignment horizontal="left" vertical="center" indent="1"/>
    </xf>
    <xf numFmtId="0" fontId="23" fillId="0" borderId="459" xfId="3" applyFont="1" applyBorder="1" applyAlignment="1">
      <alignment vertical="center"/>
    </xf>
    <xf numFmtId="41" fontId="23" fillId="0" borderId="460" xfId="3" applyNumberFormat="1" applyFont="1" applyBorder="1" applyAlignment="1">
      <alignment horizontal="right" vertical="center"/>
    </xf>
    <xf numFmtId="41" fontId="24" fillId="0" borderId="460" xfId="18" applyNumberFormat="1" applyFont="1" applyBorder="1" applyAlignment="1" applyProtection="1">
      <alignment horizontal="right" vertical="center"/>
      <protection locked="0"/>
    </xf>
    <xf numFmtId="41" fontId="24" fillId="0" borderId="380" xfId="3" applyNumberFormat="1" applyFont="1" applyBorder="1" applyAlignment="1">
      <alignment horizontal="right" vertical="center"/>
    </xf>
    <xf numFmtId="41" fontId="24" fillId="0" borderId="461" xfId="3" applyNumberFormat="1" applyFont="1" applyBorder="1" applyAlignment="1">
      <alignment vertical="center"/>
    </xf>
    <xf numFmtId="41" fontId="24" fillId="0" borderId="460" xfId="3" applyNumberFormat="1" applyFont="1" applyBorder="1" applyAlignment="1">
      <alignment vertical="center"/>
    </xf>
    <xf numFmtId="41" fontId="24" fillId="0" borderId="462" xfId="3" applyNumberFormat="1" applyFont="1" applyBorder="1" applyAlignment="1">
      <alignment vertical="center"/>
    </xf>
    <xf numFmtId="41" fontId="24" fillId="0" borderId="462" xfId="3" applyNumberFormat="1" applyFont="1" applyBorder="1" applyAlignment="1" applyProtection="1">
      <alignment vertical="center"/>
      <protection locked="0"/>
    </xf>
    <xf numFmtId="41" fontId="24" fillId="0" borderId="463" xfId="3" applyNumberFormat="1" applyFont="1" applyBorder="1" applyAlignment="1" applyProtection="1">
      <alignment vertical="center"/>
      <protection locked="0"/>
    </xf>
    <xf numFmtId="165" fontId="24" fillId="0" borderId="463" xfId="3" applyNumberFormat="1" applyFont="1" applyBorder="1" applyAlignment="1">
      <alignment vertical="center"/>
    </xf>
    <xf numFmtId="165" fontId="24" fillId="0" borderId="460" xfId="3" applyNumberFormat="1" applyFont="1" applyBorder="1" applyAlignment="1">
      <alignment horizontal="right" vertical="center"/>
    </xf>
    <xf numFmtId="0" fontId="23" fillId="0" borderId="464" xfId="3" applyFont="1" applyBorder="1" applyAlignment="1">
      <alignment vertical="center"/>
    </xf>
    <xf numFmtId="165" fontId="23" fillId="0" borderId="465" xfId="3" applyNumberFormat="1" applyFont="1" applyBorder="1" applyAlignment="1">
      <alignment horizontal="right" vertical="center"/>
    </xf>
    <xf numFmtId="165" fontId="24" fillId="0" borderId="465" xfId="18" applyNumberFormat="1" applyFont="1" applyBorder="1" applyAlignment="1" applyProtection="1">
      <alignment horizontal="right" vertical="center"/>
      <protection locked="0"/>
    </xf>
    <xf numFmtId="165" fontId="24" fillId="0" borderId="466" xfId="3" applyNumberFormat="1" applyFont="1" applyBorder="1" applyAlignment="1">
      <alignment vertical="center"/>
    </xf>
    <xf numFmtId="165" fontId="24" fillId="0" borderId="465" xfId="3" applyNumberFormat="1" applyFont="1" applyBorder="1" applyAlignment="1">
      <alignment vertical="center"/>
    </xf>
    <xf numFmtId="165" fontId="24" fillId="0" borderId="467" xfId="3" applyNumberFormat="1" applyFont="1" applyBorder="1" applyAlignment="1">
      <alignment vertical="center"/>
    </xf>
    <xf numFmtId="165" fontId="24" fillId="0" borderId="467" xfId="3" applyNumberFormat="1" applyFont="1" applyBorder="1" applyAlignment="1" applyProtection="1">
      <alignment vertical="center"/>
      <protection locked="0"/>
    </xf>
    <xf numFmtId="165" fontId="24" fillId="0" borderId="468" xfId="3" applyNumberFormat="1" applyFont="1" applyBorder="1" applyAlignment="1" applyProtection="1">
      <alignment vertical="center"/>
      <protection locked="0"/>
    </xf>
    <xf numFmtId="174" fontId="34" fillId="0" borderId="390" xfId="3" applyNumberFormat="1" applyFont="1" applyBorder="1" applyAlignment="1">
      <alignment vertical="center"/>
    </xf>
    <xf numFmtId="174" fontId="31" fillId="0" borderId="390" xfId="3" applyNumberFormat="1" applyFont="1" applyBorder="1" applyAlignment="1">
      <alignment vertical="center"/>
    </xf>
    <xf numFmtId="0" fontId="33" fillId="0" borderId="0" xfId="3" quotePrefix="1" applyFont="1" applyAlignment="1">
      <alignment horizontal="left" vertical="top" wrapText="1"/>
    </xf>
    <xf numFmtId="0" fontId="35" fillId="10" borderId="469" xfId="3" applyFont="1" applyFill="1" applyBorder="1" applyAlignment="1">
      <alignment vertical="center"/>
    </xf>
    <xf numFmtId="0" fontId="35" fillId="0" borderId="469" xfId="3" applyFont="1" applyBorder="1" applyAlignment="1">
      <alignment vertical="center"/>
    </xf>
    <xf numFmtId="166" fontId="17" fillId="0" borderId="470" xfId="3" applyNumberFormat="1" applyFont="1" applyBorder="1" applyAlignment="1">
      <alignment horizontal="right" vertical="center"/>
    </xf>
    <xf numFmtId="166" fontId="16" fillId="0" borderId="470" xfId="3" applyNumberFormat="1" applyFont="1" applyBorder="1" applyAlignment="1">
      <alignment horizontal="right" vertical="center"/>
    </xf>
    <xf numFmtId="166" fontId="16" fillId="0" borderId="471" xfId="3" applyNumberFormat="1" applyFont="1" applyBorder="1" applyAlignment="1">
      <alignment horizontal="right" vertical="center"/>
    </xf>
    <xf numFmtId="166" fontId="16" fillId="0" borderId="472" xfId="3" applyNumberFormat="1" applyFont="1" applyBorder="1" applyAlignment="1">
      <alignment horizontal="right" vertical="center"/>
    </xf>
    <xf numFmtId="166" fontId="16" fillId="0" borderId="473" xfId="3" applyNumberFormat="1" applyFont="1" applyBorder="1" applyAlignment="1">
      <alignment horizontal="right" vertical="center"/>
    </xf>
    <xf numFmtId="166" fontId="16" fillId="0" borderId="475" xfId="3" quotePrefix="1" applyNumberFormat="1" applyFont="1" applyBorder="1" applyAlignment="1">
      <alignment horizontal="right" vertical="center"/>
    </xf>
    <xf numFmtId="0" fontId="14" fillId="0" borderId="469" xfId="3" applyFont="1" applyBorder="1" applyAlignment="1">
      <alignment vertical="center"/>
    </xf>
    <xf numFmtId="166" fontId="17" fillId="0" borderId="475" xfId="3" quotePrefix="1" applyNumberFormat="1" applyFont="1" applyBorder="1" applyAlignment="1">
      <alignment horizontal="right" vertical="center"/>
    </xf>
    <xf numFmtId="0" fontId="17" fillId="0" borderId="476" xfId="3" applyFont="1" applyBorder="1" applyAlignment="1">
      <alignment horizontal="left" vertical="center"/>
    </xf>
    <xf numFmtId="165" fontId="17" fillId="0" borderId="477" xfId="3" applyNumberFormat="1" applyFont="1" applyBorder="1" applyAlignment="1">
      <alignment horizontal="right" vertical="center"/>
    </xf>
    <xf numFmtId="165" fontId="16" fillId="0" borderId="477" xfId="3" applyNumberFormat="1" applyFont="1" applyBorder="1" applyAlignment="1">
      <alignment horizontal="right" vertical="center"/>
    </xf>
    <xf numFmtId="165" fontId="16" fillId="0" borderId="478" xfId="3" applyNumberFormat="1" applyFont="1" applyBorder="1" applyAlignment="1">
      <alignment horizontal="right" vertical="center"/>
    </xf>
    <xf numFmtId="165" fontId="16" fillId="0" borderId="479" xfId="3" applyNumberFormat="1" applyFont="1" applyBorder="1" applyAlignment="1">
      <alignment horizontal="right" vertical="center"/>
    </xf>
    <xf numFmtId="165" fontId="16" fillId="0" borderId="477" xfId="3" quotePrefix="1" applyNumberFormat="1" applyFont="1" applyBorder="1" applyAlignment="1">
      <alignment horizontal="right" vertical="center" wrapText="1"/>
    </xf>
    <xf numFmtId="165" fontId="16" fillId="0" borderId="480" xfId="3" applyNumberFormat="1" applyFont="1" applyBorder="1" applyAlignment="1">
      <alignment horizontal="right" vertical="center"/>
    </xf>
    <xf numFmtId="165" fontId="16" fillId="0" borderId="481" xfId="3" applyNumberFormat="1" applyFont="1" applyBorder="1" applyAlignment="1">
      <alignment horizontal="right" vertical="center"/>
    </xf>
    <xf numFmtId="0" fontId="17" fillId="0" borderId="482" xfId="3" applyFont="1" applyBorder="1" applyAlignment="1">
      <alignment horizontal="left" vertical="center"/>
    </xf>
    <xf numFmtId="165" fontId="17" fillId="0" borderId="483" xfId="3" applyNumberFormat="1" applyFont="1" applyBorder="1" applyAlignment="1">
      <alignment horizontal="right" vertical="center"/>
    </xf>
    <xf numFmtId="165" fontId="16" fillId="0" borderId="483" xfId="3" applyNumberFormat="1" applyFont="1" applyBorder="1" applyAlignment="1">
      <alignment horizontal="right" vertical="center"/>
    </xf>
    <xf numFmtId="165" fontId="16" fillId="0" borderId="484" xfId="3" applyNumberFormat="1" applyFont="1" applyBorder="1" applyAlignment="1">
      <alignment horizontal="right" vertical="center"/>
    </xf>
    <xf numFmtId="165" fontId="16" fillId="0" borderId="485" xfId="3" applyNumberFormat="1" applyFont="1" applyBorder="1" applyAlignment="1">
      <alignment horizontal="right" vertical="center"/>
    </xf>
    <xf numFmtId="165" fontId="16" fillId="0" borderId="486" xfId="3" applyNumberFormat="1" applyFont="1" applyBorder="1" applyAlignment="1">
      <alignment horizontal="right" vertical="center"/>
    </xf>
    <xf numFmtId="165" fontId="16" fillId="0" borderId="487" xfId="3" applyNumberFormat="1" applyFont="1" applyBorder="1" applyAlignment="1">
      <alignment horizontal="right" vertical="center"/>
    </xf>
    <xf numFmtId="41" fontId="17" fillId="0" borderId="483" xfId="3" applyNumberFormat="1" applyFont="1" applyBorder="1" applyAlignment="1">
      <alignment horizontal="right" vertical="center"/>
    </xf>
    <xf numFmtId="41" fontId="16" fillId="0" borderId="483" xfId="3" applyNumberFormat="1" applyFont="1" applyBorder="1" applyAlignment="1">
      <alignment horizontal="right" vertical="center"/>
    </xf>
    <xf numFmtId="41" fontId="16" fillId="0" borderId="484" xfId="3" applyNumberFormat="1" applyFont="1" applyBorder="1" applyAlignment="1">
      <alignment horizontal="right" vertical="center"/>
    </xf>
    <xf numFmtId="41" fontId="16" fillId="0" borderId="485" xfId="3" applyNumberFormat="1" applyFont="1" applyBorder="1" applyAlignment="1">
      <alignment horizontal="right" vertical="center"/>
    </xf>
    <xf numFmtId="41" fontId="16" fillId="0" borderId="486" xfId="3" applyNumberFormat="1" applyFont="1" applyBorder="1" applyAlignment="1">
      <alignment horizontal="right" vertical="center"/>
    </xf>
    <xf numFmtId="41" fontId="16" fillId="0" borderId="487" xfId="3" applyNumberFormat="1" applyFont="1" applyBorder="1" applyAlignment="1">
      <alignment horizontal="right" vertical="center"/>
    </xf>
    <xf numFmtId="0" fontId="16" fillId="0" borderId="482" xfId="3" applyFont="1" applyBorder="1" applyAlignment="1">
      <alignment horizontal="left" vertical="center" indent="1"/>
    </xf>
    <xf numFmtId="0" fontId="16" fillId="0" borderId="482" xfId="3" applyFont="1" applyBorder="1" applyAlignment="1">
      <alignment horizontal="left" vertical="center"/>
    </xf>
    <xf numFmtId="0" fontId="40" fillId="0" borderId="488" xfId="3" applyFont="1" applyBorder="1" applyAlignment="1">
      <alignment vertical="center"/>
    </xf>
    <xf numFmtId="0" fontId="14" fillId="0" borderId="482" xfId="3" applyFont="1" applyBorder="1" applyAlignment="1">
      <alignment vertical="center"/>
    </xf>
    <xf numFmtId="0" fontId="17" fillId="0" borderId="489" xfId="3" applyFont="1" applyBorder="1" applyAlignment="1">
      <alignment vertical="center"/>
    </xf>
    <xf numFmtId="165" fontId="17" fillId="0" borderId="490" xfId="3" applyNumberFormat="1" applyFont="1" applyBorder="1" applyAlignment="1">
      <alignment horizontal="right" vertical="center"/>
    </xf>
    <xf numFmtId="165" fontId="16" fillId="0" borderId="490" xfId="3" applyNumberFormat="1" applyFont="1" applyBorder="1" applyAlignment="1">
      <alignment horizontal="right" vertical="center"/>
    </xf>
    <xf numFmtId="165" fontId="16" fillId="0" borderId="491" xfId="3" applyNumberFormat="1" applyFont="1" applyBorder="1" applyAlignment="1">
      <alignment horizontal="right" vertical="center"/>
    </xf>
    <xf numFmtId="165" fontId="16" fillId="0" borderId="492" xfId="3" applyNumberFormat="1" applyFont="1" applyBorder="1" applyAlignment="1">
      <alignment horizontal="right" vertical="center"/>
    </xf>
    <xf numFmtId="165" fontId="16" fillId="0" borderId="493" xfId="3" applyNumberFormat="1" applyFont="1" applyBorder="1" applyAlignment="1">
      <alignment horizontal="right" vertical="center"/>
    </xf>
    <xf numFmtId="165" fontId="16" fillId="0" borderId="494" xfId="3" applyNumberFormat="1" applyFont="1" applyBorder="1" applyAlignment="1">
      <alignment horizontal="right" vertical="center"/>
    </xf>
    <xf numFmtId="0" fontId="45" fillId="0" borderId="390" xfId="3" applyFont="1" applyBorder="1" applyAlignment="1">
      <alignment horizontal="left" vertical="center"/>
    </xf>
    <xf numFmtId="179" fontId="45" fillId="0" borderId="390" xfId="3" applyNumberFormat="1" applyFont="1" applyBorder="1" applyAlignment="1">
      <alignment horizontal="right" vertical="center"/>
    </xf>
    <xf numFmtId="179" fontId="44" fillId="0" borderId="390" xfId="3" applyNumberFormat="1" applyFont="1" applyBorder="1" applyAlignment="1">
      <alignment horizontal="right" vertical="center"/>
    </xf>
    <xf numFmtId="166" fontId="16" fillId="0" borderId="495" xfId="3" applyNumberFormat="1" applyFont="1" applyBorder="1" applyAlignment="1">
      <alignment horizontal="right" vertical="center"/>
    </xf>
    <xf numFmtId="166" fontId="16" fillId="0" borderId="496" xfId="3" applyNumberFormat="1" applyFont="1" applyBorder="1" applyAlignment="1">
      <alignment horizontal="right" vertical="center"/>
    </xf>
    <xf numFmtId="166" fontId="16" fillId="0" borderId="497" xfId="3" applyNumberFormat="1" applyFont="1" applyBorder="1" applyAlignment="1">
      <alignment horizontal="right" vertical="center"/>
    </xf>
    <xf numFmtId="0" fontId="16" fillId="0" borderId="476" xfId="3" applyFont="1" applyBorder="1" applyAlignment="1">
      <alignment horizontal="left" vertical="center"/>
    </xf>
    <xf numFmtId="166" fontId="17" fillId="0" borderId="477" xfId="3" applyNumberFormat="1" applyFont="1" applyBorder="1" applyAlignment="1">
      <alignment horizontal="right" vertical="center"/>
    </xf>
    <xf numFmtId="166" fontId="16" fillId="0" borderId="477" xfId="3" applyNumberFormat="1" applyFont="1" applyBorder="1" applyAlignment="1">
      <alignment horizontal="right" vertical="center"/>
    </xf>
    <xf numFmtId="166" fontId="16" fillId="0" borderId="499" xfId="3" applyNumberFormat="1" applyFont="1" applyBorder="1" applyAlignment="1">
      <alignment horizontal="right" vertical="center"/>
    </xf>
    <xf numFmtId="166" fontId="16" fillId="0" borderId="500" xfId="3" applyNumberFormat="1" applyFont="1" applyBorder="1" applyAlignment="1">
      <alignment horizontal="right" vertical="center"/>
    </xf>
    <xf numFmtId="166" fontId="16" fillId="0" borderId="501" xfId="3" applyNumberFormat="1" applyFont="1" applyBorder="1" applyAlignment="1">
      <alignment horizontal="right" vertical="center"/>
    </xf>
    <xf numFmtId="166" fontId="16" fillId="0" borderId="481" xfId="3" quotePrefix="1" applyNumberFormat="1" applyFont="1" applyBorder="1" applyAlignment="1">
      <alignment horizontal="right" vertical="center"/>
    </xf>
    <xf numFmtId="165" fontId="16" fillId="0" borderId="502" xfId="3" applyNumberFormat="1" applyFont="1" applyBorder="1" applyAlignment="1">
      <alignment horizontal="right" vertical="center"/>
    </xf>
    <xf numFmtId="165" fontId="16" fillId="0" borderId="503" xfId="3" applyNumberFormat="1" applyFont="1" applyBorder="1" applyAlignment="1">
      <alignment horizontal="right" vertical="center"/>
    </xf>
    <xf numFmtId="165" fontId="16" fillId="0" borderId="504" xfId="3" applyNumberFormat="1" applyFont="1" applyBorder="1" applyAlignment="1">
      <alignment horizontal="right" vertical="center"/>
    </xf>
    <xf numFmtId="41" fontId="16" fillId="0" borderId="502" xfId="3" applyNumberFormat="1" applyFont="1" applyBorder="1" applyAlignment="1">
      <alignment horizontal="right" vertical="center"/>
    </xf>
    <xf numFmtId="41" fontId="16" fillId="0" borderId="503" xfId="3" applyNumberFormat="1" applyFont="1" applyBorder="1" applyAlignment="1">
      <alignment horizontal="right" vertical="center"/>
    </xf>
    <xf numFmtId="41" fontId="16" fillId="0" borderId="504" xfId="3" applyNumberFormat="1" applyFont="1" applyBorder="1" applyAlignment="1">
      <alignment horizontal="right" vertical="center"/>
    </xf>
    <xf numFmtId="41" fontId="24" fillId="0" borderId="483" xfId="3" applyNumberFormat="1" applyFont="1" applyBorder="1"/>
    <xf numFmtId="41" fontId="24" fillId="0" borderId="502" xfId="3" applyNumberFormat="1" applyFont="1" applyBorder="1"/>
    <xf numFmtId="41" fontId="24" fillId="0" borderId="504" xfId="3" applyNumberFormat="1" applyFont="1" applyBorder="1"/>
    <xf numFmtId="0" fontId="17" fillId="0" borderId="505" xfId="3" applyFont="1" applyBorder="1" applyAlignment="1">
      <alignment horizontal="left" vertical="center"/>
    </xf>
    <xf numFmtId="41" fontId="17" fillId="0" borderId="506" xfId="3" applyNumberFormat="1" applyFont="1" applyBorder="1" applyAlignment="1">
      <alignment horizontal="right" vertical="center"/>
    </xf>
    <xf numFmtId="41" fontId="16" fillId="0" borderId="506" xfId="3" applyNumberFormat="1" applyFont="1" applyBorder="1" applyAlignment="1">
      <alignment horizontal="right" vertical="center"/>
    </xf>
    <xf numFmtId="41" fontId="16" fillId="0" borderId="507" xfId="3" applyNumberFormat="1" applyFont="1" applyBorder="1" applyAlignment="1">
      <alignment horizontal="right" vertical="center"/>
    </xf>
    <xf numFmtId="41" fontId="16" fillId="0" borderId="508" xfId="3" applyNumberFormat="1" applyFont="1" applyBorder="1" applyAlignment="1">
      <alignment horizontal="right" vertical="center"/>
    </xf>
    <xf numFmtId="41" fontId="16" fillId="0" borderId="509" xfId="3" applyNumberFormat="1" applyFont="1" applyBorder="1" applyAlignment="1">
      <alignment horizontal="right" vertical="center"/>
    </xf>
    <xf numFmtId="41" fontId="16" fillId="0" borderId="494" xfId="3" applyNumberFormat="1" applyFont="1" applyBorder="1" applyAlignment="1">
      <alignment horizontal="right" vertical="center"/>
    </xf>
    <xf numFmtId="41" fontId="16" fillId="0" borderId="475" xfId="3" quotePrefix="1" applyNumberFormat="1" applyFont="1" applyBorder="1" applyAlignment="1">
      <alignment horizontal="right" vertical="center"/>
    </xf>
    <xf numFmtId="41" fontId="16" fillId="0" borderId="470" xfId="3" applyNumberFormat="1" applyFont="1" applyBorder="1" applyAlignment="1">
      <alignment horizontal="right" vertical="center"/>
    </xf>
    <xf numFmtId="41" fontId="16" fillId="0" borderId="481" xfId="3" quotePrefix="1" applyNumberFormat="1" applyFont="1" applyBorder="1" applyAlignment="1">
      <alignment horizontal="right" vertical="center"/>
    </xf>
    <xf numFmtId="41" fontId="16" fillId="0" borderId="477" xfId="3" applyNumberFormat="1" applyFont="1" applyBorder="1" applyAlignment="1">
      <alignment horizontal="right" vertical="center"/>
    </xf>
    <xf numFmtId="165" fontId="16" fillId="0" borderId="503" xfId="3" applyNumberFormat="1" applyFont="1" applyBorder="1" applyAlignment="1">
      <alignment horizontal="left" vertical="center" indent="1"/>
    </xf>
    <xf numFmtId="165" fontId="16" fillId="0" borderId="483" xfId="3" applyNumberFormat="1" applyFont="1" applyBorder="1" applyAlignment="1">
      <alignment horizontal="left" vertical="center" indent="1"/>
    </xf>
    <xf numFmtId="165" fontId="16" fillId="0" borderId="504" xfId="3" applyNumberFormat="1" applyFont="1" applyBorder="1" applyAlignment="1">
      <alignment horizontal="left" vertical="center" indent="1"/>
    </xf>
    <xf numFmtId="165" fontId="16" fillId="0" borderId="487" xfId="3" applyNumberFormat="1" applyFont="1" applyBorder="1" applyAlignment="1">
      <alignment horizontal="left" vertical="center" indent="1"/>
    </xf>
    <xf numFmtId="41" fontId="17" fillId="0" borderId="483" xfId="3" applyNumberFormat="1" applyFont="1" applyBorder="1" applyAlignment="1">
      <alignment vertical="center"/>
    </xf>
    <xf numFmtId="41" fontId="16" fillId="0" borderId="483" xfId="3" applyNumberFormat="1" applyFont="1" applyBorder="1" applyAlignment="1">
      <alignment vertical="center"/>
    </xf>
    <xf numFmtId="41" fontId="16" fillId="0" borderId="502" xfId="3" applyNumberFormat="1" applyFont="1" applyBorder="1" applyAlignment="1">
      <alignment vertical="center"/>
    </xf>
    <xf numFmtId="41" fontId="16" fillId="0" borderId="503" xfId="3" applyNumberFormat="1" applyFont="1" applyBorder="1" applyAlignment="1">
      <alignment vertical="center"/>
    </xf>
    <xf numFmtId="41" fontId="16" fillId="0" borderId="504" xfId="3" applyNumberFormat="1" applyFont="1" applyBorder="1" applyAlignment="1">
      <alignment vertical="center"/>
    </xf>
    <xf numFmtId="41" fontId="16" fillId="0" borderId="487" xfId="3" quotePrefix="1" applyNumberFormat="1" applyFont="1" applyBorder="1" applyAlignment="1">
      <alignment vertical="center"/>
    </xf>
    <xf numFmtId="41" fontId="16" fillId="0" borderId="483" xfId="3" quotePrefix="1" applyNumberFormat="1" applyFont="1" applyBorder="1" applyAlignment="1">
      <alignment vertical="center"/>
    </xf>
    <xf numFmtId="165" fontId="16" fillId="0" borderId="510" xfId="3" applyNumberFormat="1" applyFont="1" applyBorder="1" applyAlignment="1">
      <alignment horizontal="right" vertical="center"/>
    </xf>
    <xf numFmtId="0" fontId="45" fillId="0" borderId="390" xfId="3" applyFont="1" applyBorder="1" applyAlignment="1">
      <alignment vertical="center"/>
    </xf>
    <xf numFmtId="180" fontId="45" fillId="0" borderId="390" xfId="3" applyNumberFormat="1" applyFont="1" applyBorder="1" applyAlignment="1">
      <alignment horizontal="right" vertical="center"/>
    </xf>
    <xf numFmtId="181" fontId="45" fillId="0" borderId="390" xfId="3" applyNumberFormat="1" applyFont="1" applyBorder="1" applyAlignment="1">
      <alignment horizontal="right" vertical="center"/>
    </xf>
    <xf numFmtId="181" fontId="44" fillId="0" borderId="390" xfId="3" applyNumberFormat="1" applyFont="1" applyBorder="1" applyAlignment="1">
      <alignment horizontal="right" vertical="center"/>
    </xf>
    <xf numFmtId="0" fontId="43" fillId="11" borderId="511" xfId="3" applyFont="1" applyFill="1" applyBorder="1" applyAlignment="1" applyProtection="1">
      <alignment vertical="center"/>
      <protection locked="0"/>
    </xf>
    <xf numFmtId="0" fontId="35" fillId="0" borderId="511" xfId="3" applyFont="1" applyBorder="1" applyAlignment="1" applyProtection="1">
      <alignment vertical="center"/>
      <protection locked="0"/>
    </xf>
    <xf numFmtId="166" fontId="17" fillId="0" borderId="512" xfId="3" applyNumberFormat="1" applyFont="1" applyBorder="1" applyAlignment="1" applyProtection="1">
      <alignment horizontal="right" vertical="center"/>
      <protection locked="0"/>
    </xf>
    <xf numFmtId="166" fontId="16" fillId="0" borderId="512" xfId="3" applyNumberFormat="1" applyFont="1" applyBorder="1" applyAlignment="1" applyProtection="1">
      <alignment horizontal="right" vertical="center"/>
      <protection locked="0"/>
    </xf>
    <xf numFmtId="166" fontId="16" fillId="0" borderId="513" xfId="3" applyNumberFormat="1" applyFont="1" applyBorder="1" applyAlignment="1" applyProtection="1">
      <alignment horizontal="right" vertical="center"/>
      <protection locked="0"/>
    </xf>
    <xf numFmtId="166" fontId="16" fillId="0" borderId="514" xfId="3" applyNumberFormat="1" applyFont="1" applyBorder="1" applyAlignment="1" applyProtection="1">
      <alignment horizontal="right" vertical="center"/>
      <protection locked="0"/>
    </xf>
    <xf numFmtId="166" fontId="16" fillId="0" borderId="515" xfId="3" applyNumberFormat="1" applyFont="1" applyBorder="1" applyAlignment="1" applyProtection="1">
      <alignment horizontal="right" vertical="center"/>
      <protection locked="0"/>
    </xf>
    <xf numFmtId="166" fontId="16" fillId="0" borderId="518" xfId="3" quotePrefix="1" applyNumberFormat="1" applyFont="1" applyBorder="1" applyAlignment="1" applyProtection="1">
      <alignment horizontal="right" vertical="center"/>
      <protection locked="0"/>
    </xf>
    <xf numFmtId="166" fontId="16" fillId="0" borderId="516" xfId="3" applyNumberFormat="1" applyFont="1" applyBorder="1" applyAlignment="1" applyProtection="1">
      <alignment horizontal="right" vertical="center"/>
      <protection locked="0"/>
    </xf>
    <xf numFmtId="166" fontId="16" fillId="0" borderId="517" xfId="3" applyNumberFormat="1" applyFont="1" applyBorder="1" applyAlignment="1" applyProtection="1">
      <alignment horizontal="right" vertical="center"/>
      <protection locked="0"/>
    </xf>
    <xf numFmtId="0" fontId="16" fillId="0" borderId="519" xfId="3" applyFont="1" applyBorder="1" applyAlignment="1" applyProtection="1">
      <alignment horizontal="left" vertical="center"/>
      <protection locked="0"/>
    </xf>
    <xf numFmtId="165" fontId="17" fillId="0" borderId="520" xfId="3" applyNumberFormat="1" applyFont="1" applyBorder="1" applyAlignment="1" applyProtection="1">
      <alignment horizontal="right" vertical="center"/>
      <protection locked="0"/>
    </xf>
    <xf numFmtId="165" fontId="16" fillId="0" borderId="520" xfId="3" applyNumberFormat="1" applyFont="1" applyBorder="1" applyAlignment="1" applyProtection="1">
      <alignment horizontal="right" vertical="center"/>
      <protection locked="0"/>
    </xf>
    <xf numFmtId="165" fontId="16" fillId="0" borderId="521" xfId="3" applyNumberFormat="1" applyFont="1" applyBorder="1" applyAlignment="1" applyProtection="1">
      <alignment horizontal="right" vertical="center"/>
      <protection locked="0"/>
    </xf>
    <xf numFmtId="165" fontId="16" fillId="0" borderId="522" xfId="3" applyNumberFormat="1" applyFont="1" applyBorder="1" applyAlignment="1">
      <alignment horizontal="right" vertical="center"/>
    </xf>
    <xf numFmtId="165" fontId="16" fillId="0" borderId="520" xfId="3" applyNumberFormat="1" applyFont="1" applyBorder="1" applyAlignment="1">
      <alignment horizontal="right" vertical="center"/>
    </xf>
    <xf numFmtId="165" fontId="16" fillId="0" borderId="523" xfId="3" applyNumberFormat="1" applyFont="1" applyBorder="1" applyAlignment="1">
      <alignment horizontal="right" vertical="center"/>
    </xf>
    <xf numFmtId="165" fontId="16" fillId="0" borderId="524" xfId="3" applyNumberFormat="1" applyFont="1" applyBorder="1" applyAlignment="1">
      <alignment horizontal="right" vertical="center"/>
    </xf>
    <xf numFmtId="165" fontId="16" fillId="0" borderId="525" xfId="3" applyNumberFormat="1" applyFont="1" applyBorder="1" applyAlignment="1" applyProtection="1">
      <alignment vertical="center"/>
      <protection locked="0"/>
    </xf>
    <xf numFmtId="165" fontId="16" fillId="0" borderId="526" xfId="3" applyNumberFormat="1" applyFont="1" applyBorder="1" applyAlignment="1" applyProtection="1">
      <alignment vertical="center"/>
      <protection locked="0"/>
    </xf>
    <xf numFmtId="165" fontId="16" fillId="0" borderId="520" xfId="3" applyNumberFormat="1" applyFont="1" applyBorder="1" applyAlignment="1">
      <alignment vertical="center"/>
    </xf>
    <xf numFmtId="0" fontId="16" fillId="0" borderId="527" xfId="3" applyFont="1" applyBorder="1" applyAlignment="1" applyProtection="1">
      <alignment horizontal="left" vertical="center"/>
      <protection locked="0"/>
    </xf>
    <xf numFmtId="41" fontId="17" fillId="0" borderId="528" xfId="3" applyNumberFormat="1" applyFont="1" applyBorder="1" applyAlignment="1" applyProtection="1">
      <alignment horizontal="right" vertical="center"/>
      <protection locked="0"/>
    </xf>
    <xf numFmtId="41" fontId="16" fillId="0" borderId="528" xfId="3" applyNumberFormat="1" applyFont="1" applyBorder="1" applyAlignment="1" applyProtection="1">
      <alignment horizontal="right" vertical="center"/>
      <protection locked="0"/>
    </xf>
    <xf numFmtId="41" fontId="16" fillId="0" borderId="529" xfId="3" applyNumberFormat="1" applyFont="1" applyBorder="1" applyAlignment="1" applyProtection="1">
      <alignment horizontal="right" vertical="center"/>
      <protection locked="0"/>
    </xf>
    <xf numFmtId="41" fontId="16" fillId="0" borderId="530" xfId="3" applyNumberFormat="1" applyFont="1" applyBorder="1" applyAlignment="1">
      <alignment horizontal="right" vertical="center"/>
    </xf>
    <xf numFmtId="41" fontId="16" fillId="0" borderId="528" xfId="3" applyNumberFormat="1" applyFont="1" applyBorder="1" applyAlignment="1">
      <alignment horizontal="right" vertical="center"/>
    </xf>
    <xf numFmtId="41" fontId="16" fillId="0" borderId="531" xfId="3" applyNumberFormat="1" applyFont="1" applyBorder="1" applyAlignment="1">
      <alignment horizontal="right" vertical="center"/>
    </xf>
    <xf numFmtId="41" fontId="16" fillId="0" borderId="532" xfId="3" applyNumberFormat="1" applyFont="1" applyBorder="1" applyAlignment="1">
      <alignment horizontal="right" vertical="center"/>
    </xf>
    <xf numFmtId="41" fontId="16" fillId="0" borderId="533" xfId="3" applyNumberFormat="1" applyFont="1" applyBorder="1" applyAlignment="1" applyProtection="1">
      <alignment vertical="center"/>
      <protection locked="0"/>
    </xf>
    <xf numFmtId="41" fontId="16" fillId="0" borderId="534" xfId="3" applyNumberFormat="1" applyFont="1" applyBorder="1" applyAlignment="1" applyProtection="1">
      <alignment vertical="center"/>
      <protection locked="0"/>
    </xf>
    <xf numFmtId="41" fontId="16" fillId="0" borderId="528" xfId="3" applyNumberFormat="1" applyFont="1" applyBorder="1" applyAlignment="1">
      <alignment vertical="center"/>
    </xf>
    <xf numFmtId="0" fontId="40" fillId="0" borderId="529" xfId="3" applyFont="1" applyBorder="1" applyProtection="1">
      <protection locked="0"/>
    </xf>
    <xf numFmtId="0" fontId="16" fillId="0" borderId="527" xfId="3" quotePrefix="1" applyFont="1" applyBorder="1" applyAlignment="1" applyProtection="1">
      <alignment horizontal="left" vertical="center" indent="1"/>
      <protection locked="0"/>
    </xf>
    <xf numFmtId="165" fontId="17" fillId="0" borderId="528" xfId="3" applyNumberFormat="1" applyFont="1" applyBorder="1" applyAlignment="1" applyProtection="1">
      <alignment horizontal="right" vertical="center"/>
      <protection locked="0"/>
    </xf>
    <xf numFmtId="165" fontId="16" fillId="0" borderId="528" xfId="3" applyNumberFormat="1" applyFont="1" applyBorder="1" applyAlignment="1" applyProtection="1">
      <alignment horizontal="right" vertical="center"/>
      <protection locked="0"/>
    </xf>
    <xf numFmtId="165" fontId="16" fillId="0" borderId="529" xfId="3" applyNumberFormat="1" applyFont="1" applyBorder="1" applyAlignment="1" applyProtection="1">
      <alignment horizontal="right" vertical="center"/>
      <protection locked="0"/>
    </xf>
    <xf numFmtId="165" fontId="16" fillId="0" borderId="530" xfId="3" applyNumberFormat="1" applyFont="1" applyBorder="1" applyAlignment="1">
      <alignment horizontal="right" vertical="center"/>
    </xf>
    <xf numFmtId="165" fontId="16" fillId="0" borderId="528" xfId="3" applyNumberFormat="1" applyFont="1" applyBorder="1" applyAlignment="1">
      <alignment horizontal="right" vertical="center"/>
    </xf>
    <xf numFmtId="165" fontId="16" fillId="0" borderId="531" xfId="3" applyNumberFormat="1" applyFont="1" applyBorder="1" applyAlignment="1">
      <alignment horizontal="right" vertical="center"/>
    </xf>
    <xf numFmtId="165" fontId="16" fillId="0" borderId="532" xfId="3" applyNumberFormat="1" applyFont="1" applyBorder="1" applyAlignment="1">
      <alignment horizontal="right" vertical="center"/>
    </xf>
    <xf numFmtId="165" fontId="16" fillId="0" borderId="533" xfId="3" applyNumberFormat="1" applyFont="1" applyBorder="1" applyAlignment="1" applyProtection="1">
      <alignment vertical="center"/>
      <protection locked="0"/>
    </xf>
    <xf numFmtId="165" fontId="16" fillId="0" borderId="534" xfId="3" applyNumberFormat="1" applyFont="1" applyBorder="1" applyAlignment="1" applyProtection="1">
      <alignment vertical="center"/>
      <protection locked="0"/>
    </xf>
    <xf numFmtId="165" fontId="16" fillId="0" borderId="528" xfId="3" applyNumberFormat="1" applyFont="1" applyBorder="1" applyAlignment="1">
      <alignment vertical="center"/>
    </xf>
    <xf numFmtId="0" fontId="16" fillId="0" borderId="527" xfId="3" applyFont="1" applyBorder="1" applyAlignment="1" applyProtection="1">
      <alignment horizontal="left" vertical="center" indent="1"/>
      <protection locked="0"/>
    </xf>
    <xf numFmtId="0" fontId="17" fillId="0" borderId="527" xfId="3" applyFont="1" applyBorder="1" applyAlignment="1" applyProtection="1">
      <alignment horizontal="left" vertical="center"/>
      <protection locked="0"/>
    </xf>
    <xf numFmtId="0" fontId="16" fillId="0" borderId="535" xfId="3" applyFont="1" applyBorder="1" applyAlignment="1" applyProtection="1">
      <alignment horizontal="left" vertical="center"/>
      <protection locked="0"/>
    </xf>
    <xf numFmtId="41" fontId="17" fillId="0" borderId="536" xfId="3" applyNumberFormat="1" applyFont="1" applyBorder="1" applyAlignment="1" applyProtection="1">
      <alignment horizontal="right" vertical="center"/>
      <protection locked="0"/>
    </xf>
    <xf numFmtId="41" fontId="16" fillId="0" borderId="536" xfId="3" applyNumberFormat="1" applyFont="1" applyBorder="1" applyAlignment="1" applyProtection="1">
      <alignment horizontal="right" vertical="center"/>
      <protection locked="0"/>
    </xf>
    <xf numFmtId="41" fontId="16" fillId="0" borderId="537" xfId="3" applyNumberFormat="1" applyFont="1" applyBorder="1" applyAlignment="1" applyProtection="1">
      <alignment horizontal="right" vertical="center"/>
      <protection locked="0"/>
    </xf>
    <xf numFmtId="41" fontId="16" fillId="0" borderId="538" xfId="3" applyNumberFormat="1" applyFont="1" applyBorder="1" applyAlignment="1">
      <alignment horizontal="right" vertical="center"/>
    </xf>
    <xf numFmtId="41" fontId="16" fillId="0" borderId="536" xfId="3" applyNumberFormat="1" applyFont="1" applyBorder="1" applyAlignment="1">
      <alignment horizontal="right" vertical="center"/>
    </xf>
    <xf numFmtId="41" fontId="16" fillId="0" borderId="539" xfId="3" applyNumberFormat="1" applyFont="1" applyBorder="1" applyAlignment="1">
      <alignment horizontal="right" vertical="center"/>
    </xf>
    <xf numFmtId="41" fontId="16" fillId="0" borderId="540" xfId="3" applyNumberFormat="1" applyFont="1" applyBorder="1" applyAlignment="1">
      <alignment horizontal="right" vertical="center"/>
    </xf>
    <xf numFmtId="41" fontId="16" fillId="0" borderId="541" xfId="3" applyNumberFormat="1" applyFont="1" applyBorder="1" applyAlignment="1" applyProtection="1">
      <alignment vertical="center"/>
      <protection locked="0"/>
    </xf>
    <xf numFmtId="41" fontId="16" fillId="0" borderId="542" xfId="3" applyNumberFormat="1" applyFont="1" applyBorder="1" applyAlignment="1" applyProtection="1">
      <alignment vertical="center"/>
      <protection locked="0"/>
    </xf>
    <xf numFmtId="41" fontId="16" fillId="0" borderId="536" xfId="3" applyNumberFormat="1" applyFont="1" applyBorder="1" applyAlignment="1">
      <alignment vertical="center"/>
    </xf>
    <xf numFmtId="0" fontId="17" fillId="0" borderId="511" xfId="3" applyFont="1" applyBorder="1" applyAlignment="1" applyProtection="1">
      <alignment horizontal="left" vertical="center"/>
      <protection locked="0"/>
    </xf>
    <xf numFmtId="165" fontId="17" fillId="0" borderId="512" xfId="3" applyNumberFormat="1" applyFont="1" applyBorder="1" applyAlignment="1" applyProtection="1">
      <alignment horizontal="right" vertical="center"/>
      <protection locked="0"/>
    </xf>
    <xf numFmtId="165" fontId="16" fillId="0" borderId="512" xfId="3" applyNumberFormat="1" applyFont="1" applyBorder="1" applyAlignment="1" applyProtection="1">
      <alignment horizontal="right" vertical="center"/>
      <protection locked="0"/>
    </xf>
    <xf numFmtId="165" fontId="16" fillId="0" borderId="513" xfId="3" applyNumberFormat="1" applyFont="1" applyBorder="1" applyAlignment="1" applyProtection="1">
      <alignment horizontal="right" vertical="center"/>
      <protection locked="0"/>
    </xf>
    <xf numFmtId="165" fontId="16" fillId="0" borderId="514" xfId="3" applyNumberFormat="1" applyFont="1" applyBorder="1" applyAlignment="1">
      <alignment horizontal="right" vertical="center"/>
    </xf>
    <xf numFmtId="165" fontId="16" fillId="0" borderId="512" xfId="3" applyNumberFormat="1" applyFont="1" applyBorder="1" applyAlignment="1">
      <alignment horizontal="right" vertical="center"/>
    </xf>
    <xf numFmtId="165" fontId="16" fillId="0" borderId="515" xfId="3" applyNumberFormat="1" applyFont="1" applyBorder="1" applyAlignment="1">
      <alignment horizontal="right" vertical="center"/>
    </xf>
    <xf numFmtId="165" fontId="16" fillId="0" borderId="518" xfId="3" applyNumberFormat="1" applyFont="1" applyBorder="1" applyAlignment="1">
      <alignment horizontal="right" vertical="center"/>
    </xf>
    <xf numFmtId="165" fontId="16" fillId="0" borderId="516" xfId="3" applyNumberFormat="1" applyFont="1" applyBorder="1" applyAlignment="1" applyProtection="1">
      <alignment vertical="center"/>
      <protection locked="0"/>
    </xf>
    <xf numFmtId="165" fontId="16" fillId="0" borderId="517" xfId="3" applyNumberFormat="1" applyFont="1" applyBorder="1" applyAlignment="1" applyProtection="1">
      <alignment vertical="center"/>
      <protection locked="0"/>
    </xf>
    <xf numFmtId="165" fontId="16" fillId="0" borderId="512" xfId="3" applyNumberFormat="1" applyFont="1" applyBorder="1" applyAlignment="1">
      <alignment vertical="center"/>
    </xf>
    <xf numFmtId="0" fontId="14" fillId="0" borderId="519" xfId="3" applyFont="1" applyBorder="1" applyAlignment="1" applyProtection="1">
      <alignment vertical="center"/>
      <protection locked="0"/>
    </xf>
    <xf numFmtId="41" fontId="14" fillId="0" borderId="520" xfId="3" applyNumberFormat="1" applyFont="1" applyBorder="1" applyAlignment="1" applyProtection="1">
      <alignment vertical="center"/>
      <protection locked="0"/>
    </xf>
    <xf numFmtId="41" fontId="43" fillId="0" borderId="520" xfId="3" applyNumberFormat="1" applyFont="1" applyBorder="1" applyAlignment="1" applyProtection="1">
      <alignment vertical="center"/>
      <protection locked="0"/>
    </xf>
    <xf numFmtId="41" fontId="43" fillId="0" borderId="521" xfId="3" applyNumberFormat="1" applyFont="1" applyBorder="1" applyAlignment="1" applyProtection="1">
      <alignment vertical="center"/>
      <protection locked="0"/>
    </xf>
    <xf numFmtId="41" fontId="43" fillId="0" borderId="522" xfId="3" applyNumberFormat="1" applyFont="1" applyBorder="1" applyAlignment="1">
      <alignment vertical="center"/>
    </xf>
    <xf numFmtId="41" fontId="43" fillId="0" borderId="520" xfId="3" applyNumberFormat="1" applyFont="1" applyBorder="1" applyAlignment="1">
      <alignment vertical="center"/>
    </xf>
    <xf numFmtId="41" fontId="43" fillId="0" borderId="523" xfId="3" applyNumberFormat="1" applyFont="1" applyBorder="1" applyAlignment="1">
      <alignment vertical="center"/>
    </xf>
    <xf numFmtId="41" fontId="43" fillId="0" borderId="524" xfId="3" applyNumberFormat="1" applyFont="1" applyBorder="1" applyAlignment="1">
      <alignment vertical="center"/>
    </xf>
    <xf numFmtId="41" fontId="43" fillId="0" borderId="525" xfId="3" applyNumberFormat="1" applyFont="1" applyBorder="1" applyAlignment="1" applyProtection="1">
      <alignment vertical="center"/>
      <protection locked="0"/>
    </xf>
    <xf numFmtId="41" fontId="43" fillId="0" borderId="526" xfId="3" applyNumberFormat="1" applyFont="1" applyBorder="1" applyAlignment="1" applyProtection="1">
      <alignment vertical="center"/>
      <protection locked="0"/>
    </xf>
    <xf numFmtId="41" fontId="46" fillId="0" borderId="528" xfId="3" applyNumberFormat="1" applyFont="1" applyBorder="1" applyAlignment="1" applyProtection="1">
      <alignment horizontal="right" vertical="center"/>
      <protection locked="0"/>
    </xf>
    <xf numFmtId="41" fontId="36" fillId="0" borderId="528" xfId="3" applyNumberFormat="1" applyFont="1" applyBorder="1" applyAlignment="1" applyProtection="1">
      <alignment horizontal="right" vertical="center"/>
      <protection locked="0"/>
    </xf>
    <xf numFmtId="41" fontId="36" fillId="0" borderId="529" xfId="3" applyNumberFormat="1" applyFont="1" applyBorder="1" applyAlignment="1" applyProtection="1">
      <alignment horizontal="right" vertical="center"/>
      <protection locked="0"/>
    </xf>
    <xf numFmtId="41" fontId="36" fillId="0" borderId="530" xfId="3" applyNumberFormat="1" applyFont="1" applyBorder="1" applyAlignment="1">
      <alignment horizontal="right" vertical="center"/>
    </xf>
    <xf numFmtId="41" fontId="36" fillId="0" borderId="528" xfId="3" applyNumberFormat="1" applyFont="1" applyBorder="1" applyAlignment="1">
      <alignment horizontal="right" vertical="center"/>
    </xf>
    <xf numFmtId="41" fontId="36" fillId="0" borderId="531" xfId="3" applyNumberFormat="1" applyFont="1" applyBorder="1" applyAlignment="1">
      <alignment horizontal="right" vertical="center"/>
    </xf>
    <xf numFmtId="41" fontId="36" fillId="0" borderId="532" xfId="3" applyNumberFormat="1" applyFont="1" applyBorder="1" applyAlignment="1">
      <alignment horizontal="right" vertical="center"/>
    </xf>
    <xf numFmtId="0" fontId="24" fillId="0" borderId="527" xfId="3" applyFont="1" applyBorder="1" applyAlignment="1" applyProtection="1">
      <alignment vertical="center"/>
      <protection locked="0"/>
    </xf>
    <xf numFmtId="41" fontId="14" fillId="0" borderId="528" xfId="3" applyNumberFormat="1" applyFont="1" applyBorder="1" applyAlignment="1" applyProtection="1">
      <alignment vertical="center"/>
      <protection locked="0"/>
    </xf>
    <xf numFmtId="41" fontId="43" fillId="0" borderId="528" xfId="3" applyNumberFormat="1" applyFont="1" applyBorder="1" applyAlignment="1" applyProtection="1">
      <alignment vertical="center"/>
      <protection locked="0"/>
    </xf>
    <xf numFmtId="41" fontId="43" fillId="0" borderId="529" xfId="3" applyNumberFormat="1" applyFont="1" applyBorder="1" applyAlignment="1" applyProtection="1">
      <alignment vertical="center"/>
      <protection locked="0"/>
    </xf>
    <xf numFmtId="41" fontId="43" fillId="0" borderId="530" xfId="3" applyNumberFormat="1" applyFont="1" applyBorder="1" applyAlignment="1">
      <alignment vertical="center"/>
    </xf>
    <xf numFmtId="41" fontId="43" fillId="0" borderId="528" xfId="3" applyNumberFormat="1" applyFont="1" applyBorder="1" applyAlignment="1">
      <alignment vertical="center"/>
    </xf>
    <xf numFmtId="41" fontId="43" fillId="0" borderId="531" xfId="3" applyNumberFormat="1" applyFont="1" applyBorder="1" applyAlignment="1">
      <alignment vertical="center"/>
    </xf>
    <xf numFmtId="41" fontId="43" fillId="0" borderId="532" xfId="3" applyNumberFormat="1" applyFont="1" applyBorder="1" applyAlignment="1">
      <alignment vertical="center"/>
    </xf>
    <xf numFmtId="41" fontId="43" fillId="0" borderId="533" xfId="3" applyNumberFormat="1" applyFont="1" applyBorder="1" applyAlignment="1" applyProtection="1">
      <alignment vertical="center"/>
      <protection locked="0"/>
    </xf>
    <xf numFmtId="41" fontId="43" fillId="0" borderId="534" xfId="3" applyNumberFormat="1" applyFont="1" applyBorder="1" applyAlignment="1" applyProtection="1">
      <alignment vertical="center"/>
      <protection locked="0"/>
    </xf>
    <xf numFmtId="0" fontId="24" fillId="0" borderId="527" xfId="3" quotePrefix="1" applyFont="1" applyBorder="1" applyAlignment="1" applyProtection="1">
      <alignment horizontal="left" vertical="center" indent="1"/>
      <protection locked="0"/>
    </xf>
    <xf numFmtId="0" fontId="16" fillId="0" borderId="527" xfId="3" applyFont="1" applyBorder="1" applyAlignment="1" applyProtection="1">
      <alignment horizontal="left" vertical="center" indent="2"/>
      <protection locked="0"/>
    </xf>
    <xf numFmtId="165" fontId="24" fillId="0" borderId="534" xfId="3" applyNumberFormat="1" applyFont="1" applyBorder="1" applyAlignment="1" applyProtection="1">
      <alignment vertical="center"/>
      <protection locked="0"/>
    </xf>
    <xf numFmtId="0" fontId="16" fillId="0" borderId="527" xfId="3" applyFont="1" applyBorder="1" applyProtection="1">
      <protection locked="0"/>
    </xf>
    <xf numFmtId="41" fontId="17" fillId="0" borderId="528" xfId="3" applyNumberFormat="1" applyFont="1" applyBorder="1" applyAlignment="1" applyProtection="1">
      <alignment horizontal="right"/>
      <protection locked="0"/>
    </xf>
    <xf numFmtId="41" fontId="16" fillId="0" borderId="528" xfId="3" applyNumberFormat="1" applyFont="1" applyBorder="1" applyAlignment="1" applyProtection="1">
      <alignment horizontal="right"/>
      <protection locked="0"/>
    </xf>
    <xf numFmtId="41" fontId="16" fillId="0" borderId="529" xfId="3" applyNumberFormat="1" applyFont="1" applyBorder="1" applyAlignment="1" applyProtection="1">
      <alignment horizontal="right"/>
      <protection locked="0"/>
    </xf>
    <xf numFmtId="41" fontId="16" fillId="0" borderId="530" xfId="3" applyNumberFormat="1" applyFont="1" applyBorder="1" applyAlignment="1">
      <alignment horizontal="right"/>
    </xf>
    <xf numFmtId="41" fontId="16" fillId="0" borderId="528" xfId="3" applyNumberFormat="1" applyFont="1" applyBorder="1" applyAlignment="1">
      <alignment horizontal="right"/>
    </xf>
    <xf numFmtId="41" fontId="16" fillId="0" borderId="531" xfId="3" applyNumberFormat="1" applyFont="1" applyBorder="1" applyAlignment="1">
      <alignment horizontal="right"/>
    </xf>
    <xf numFmtId="41" fontId="16" fillId="0" borderId="532" xfId="3" applyNumberFormat="1" applyFont="1" applyBorder="1" applyAlignment="1">
      <alignment horizontal="right"/>
    </xf>
    <xf numFmtId="41" fontId="16" fillId="0" borderId="533" xfId="3" applyNumberFormat="1" applyFont="1" applyBorder="1" applyProtection="1">
      <protection locked="0"/>
    </xf>
    <xf numFmtId="41" fontId="16" fillId="0" borderId="534" xfId="3" applyNumberFormat="1" applyFont="1" applyBorder="1" applyProtection="1">
      <protection locked="0"/>
    </xf>
    <xf numFmtId="41" fontId="16" fillId="0" borderId="528" xfId="3" applyNumberFormat="1" applyFont="1" applyBorder="1"/>
    <xf numFmtId="0" fontId="17" fillId="0" borderId="535" xfId="3" applyFont="1" applyBorder="1" applyAlignment="1" applyProtection="1">
      <alignment vertical="center"/>
      <protection locked="0"/>
    </xf>
    <xf numFmtId="165" fontId="17" fillId="0" borderId="536" xfId="3" applyNumberFormat="1" applyFont="1" applyBorder="1" applyAlignment="1" applyProtection="1">
      <alignment horizontal="right" vertical="center"/>
      <protection locked="0"/>
    </xf>
    <xf numFmtId="165" fontId="16" fillId="0" borderId="536" xfId="3" applyNumberFormat="1" applyFont="1" applyBorder="1" applyAlignment="1" applyProtection="1">
      <alignment horizontal="right" vertical="center"/>
      <protection locked="0"/>
    </xf>
    <xf numFmtId="165" fontId="16" fillId="0" borderId="537" xfId="3" applyNumberFormat="1" applyFont="1" applyBorder="1" applyAlignment="1" applyProtection="1">
      <alignment horizontal="right" vertical="center"/>
      <protection locked="0"/>
    </xf>
    <xf numFmtId="165" fontId="16" fillId="0" borderId="538" xfId="3" applyNumberFormat="1" applyFont="1" applyBorder="1" applyAlignment="1">
      <alignment horizontal="right" vertical="center"/>
    </xf>
    <xf numFmtId="165" fontId="16" fillId="0" borderId="536" xfId="3" applyNumberFormat="1" applyFont="1" applyBorder="1" applyAlignment="1">
      <alignment horizontal="right" vertical="center"/>
    </xf>
    <xf numFmtId="165" fontId="16" fillId="0" borderId="539" xfId="3" applyNumberFormat="1" applyFont="1" applyBorder="1" applyAlignment="1">
      <alignment horizontal="right" vertical="center"/>
    </xf>
    <xf numFmtId="165" fontId="16" fillId="0" borderId="540" xfId="3" applyNumberFormat="1" applyFont="1" applyBorder="1" applyAlignment="1">
      <alignment horizontal="right" vertical="center"/>
    </xf>
    <xf numFmtId="165" fontId="16" fillId="0" borderId="541" xfId="3" applyNumberFormat="1" applyFont="1" applyBorder="1" applyAlignment="1" applyProtection="1">
      <alignment vertical="center"/>
      <protection locked="0"/>
    </xf>
    <xf numFmtId="165" fontId="16" fillId="0" borderId="542" xfId="3" applyNumberFormat="1" applyFont="1" applyBorder="1" applyAlignment="1" applyProtection="1">
      <alignment vertical="center"/>
      <protection locked="0"/>
    </xf>
    <xf numFmtId="165" fontId="16" fillId="0" borderId="536" xfId="3" applyNumberFormat="1" applyFont="1" applyBorder="1" applyAlignment="1">
      <alignment vertical="center"/>
    </xf>
    <xf numFmtId="0" fontId="47" fillId="0" borderId="20" xfId="3" applyFont="1" applyBorder="1" applyAlignment="1" applyProtection="1">
      <alignment vertical="center"/>
      <protection locked="0"/>
    </xf>
    <xf numFmtId="41" fontId="38" fillId="0" borderId="20" xfId="3" applyNumberFormat="1" applyFont="1" applyBorder="1" applyAlignment="1" applyProtection="1">
      <alignment horizontal="right" vertical="center"/>
      <protection locked="0"/>
    </xf>
    <xf numFmtId="41" fontId="47" fillId="0" borderId="20" xfId="3" applyNumberFormat="1" applyFont="1" applyBorder="1" applyAlignment="1" applyProtection="1">
      <alignment horizontal="right" vertical="center"/>
      <protection locked="0"/>
    </xf>
    <xf numFmtId="41" fontId="38" fillId="0" borderId="20" xfId="3" applyNumberFormat="1" applyFont="1" applyBorder="1" applyAlignment="1" applyProtection="1">
      <alignment vertical="center"/>
      <protection locked="0"/>
    </xf>
    <xf numFmtId="0" fontId="44" fillId="0" borderId="0" xfId="3" quotePrefix="1" applyFont="1" applyAlignment="1" applyProtection="1">
      <alignment vertical="center"/>
      <protection locked="0"/>
    </xf>
    <xf numFmtId="41" fontId="38" fillId="0" borderId="0" xfId="3" applyNumberFormat="1" applyFont="1" applyAlignment="1" applyProtection="1">
      <alignment horizontal="right" vertical="center"/>
      <protection locked="0"/>
    </xf>
    <xf numFmtId="41" fontId="47" fillId="0" borderId="0" xfId="3" applyNumberFormat="1" applyFont="1" applyAlignment="1" applyProtection="1">
      <alignment horizontal="right" vertical="center"/>
      <protection locked="0"/>
    </xf>
    <xf numFmtId="41" fontId="38" fillId="0" borderId="0" xfId="3" applyNumberFormat="1" applyFont="1" applyAlignment="1" applyProtection="1">
      <alignment vertical="center"/>
      <protection locked="0"/>
    </xf>
    <xf numFmtId="0" fontId="35" fillId="12" borderId="543" xfId="3" applyFont="1" applyFill="1" applyBorder="1" applyAlignment="1">
      <alignment vertical="center"/>
    </xf>
    <xf numFmtId="0" fontId="35" fillId="0" borderId="543" xfId="3" applyFont="1" applyBorder="1" applyAlignment="1">
      <alignment vertical="center"/>
    </xf>
    <xf numFmtId="166" fontId="23" fillId="0" borderId="544" xfId="3" applyNumberFormat="1" applyFont="1" applyBorder="1" applyAlignment="1">
      <alignment horizontal="right" vertical="center"/>
    </xf>
    <xf numFmtId="166" fontId="24" fillId="0" borderId="544" xfId="3" applyNumberFormat="1" applyFont="1" applyBorder="1" applyAlignment="1">
      <alignment horizontal="right" vertical="center"/>
    </xf>
    <xf numFmtId="166" fontId="24" fillId="0" borderId="545" xfId="3" applyNumberFormat="1" applyFont="1" applyBorder="1" applyAlignment="1">
      <alignment horizontal="right" vertical="center"/>
    </xf>
    <xf numFmtId="166" fontId="24" fillId="0" borderId="546" xfId="3" applyNumberFormat="1" applyFont="1" applyBorder="1" applyAlignment="1">
      <alignment horizontal="right" vertical="center"/>
    </xf>
    <xf numFmtId="166" fontId="24" fillId="0" borderId="547" xfId="3" applyNumberFormat="1" applyFont="1" applyBorder="1" applyAlignment="1">
      <alignment horizontal="right" vertical="center"/>
    </xf>
    <xf numFmtId="166" fontId="24" fillId="0" borderId="548" xfId="4" applyNumberFormat="1" applyFont="1" applyBorder="1" applyAlignment="1">
      <alignment horizontal="right" vertical="center"/>
    </xf>
    <xf numFmtId="166" fontId="24" fillId="0" borderId="544" xfId="4" applyNumberFormat="1" applyFont="1" applyBorder="1" applyAlignment="1">
      <alignment horizontal="right" vertical="center"/>
    </xf>
    <xf numFmtId="166" fontId="24" fillId="0" borderId="549" xfId="4" applyNumberFormat="1" applyFont="1" applyBorder="1" applyAlignment="1">
      <alignment horizontal="right" vertical="center"/>
    </xf>
    <xf numFmtId="166" fontId="24" fillId="0" borderId="550" xfId="4" applyNumberFormat="1" applyFont="1" applyBorder="1" applyAlignment="1">
      <alignment horizontal="right" vertical="center"/>
    </xf>
    <xf numFmtId="0" fontId="23" fillId="0" borderId="551" xfId="3" applyFont="1" applyBorder="1" applyAlignment="1">
      <alignment vertical="center"/>
    </xf>
    <xf numFmtId="41" fontId="23" fillId="0" borderId="552" xfId="3" applyNumberFormat="1" applyFont="1" applyBorder="1" applyAlignment="1">
      <alignment vertical="center"/>
    </xf>
    <xf numFmtId="41" fontId="24" fillId="0" borderId="552" xfId="3" applyNumberFormat="1" applyFont="1" applyBorder="1" applyAlignment="1">
      <alignment vertical="center"/>
    </xf>
    <xf numFmtId="41" fontId="24" fillId="0" borderId="551" xfId="3" applyNumberFormat="1" applyFont="1" applyBorder="1" applyAlignment="1">
      <alignment vertical="center"/>
    </xf>
    <xf numFmtId="41" fontId="24" fillId="0" borderId="481" xfId="3" applyNumberFormat="1" applyFont="1" applyBorder="1" applyAlignment="1">
      <alignment vertical="center"/>
    </xf>
    <xf numFmtId="41" fontId="23" fillId="0" borderId="551" xfId="3" applyNumberFormat="1" applyFont="1" applyBorder="1" applyAlignment="1">
      <alignment vertical="center"/>
    </xf>
    <xf numFmtId="41" fontId="23" fillId="0" borderId="481" xfId="4" applyNumberFormat="1" applyFont="1" applyBorder="1" applyAlignment="1">
      <alignment vertical="center"/>
    </xf>
    <xf numFmtId="41" fontId="23" fillId="0" borderId="552" xfId="4" applyNumberFormat="1" applyFont="1" applyBorder="1" applyAlignment="1">
      <alignment vertical="center"/>
    </xf>
    <xf numFmtId="41" fontId="23" fillId="0" borderId="551" xfId="4" applyNumberFormat="1" applyFont="1" applyBorder="1" applyAlignment="1">
      <alignment vertical="center"/>
    </xf>
    <xf numFmtId="0" fontId="24" fillId="0" borderId="553" xfId="3" applyFont="1" applyBorder="1" applyAlignment="1">
      <alignment horizontal="left" vertical="center" indent="1"/>
    </xf>
    <xf numFmtId="165" fontId="23" fillId="0" borderId="554" xfId="3" applyNumberFormat="1" applyFont="1" applyBorder="1" applyAlignment="1">
      <alignment vertical="center"/>
    </xf>
    <xf numFmtId="165" fontId="24" fillId="0" borderId="554" xfId="3" applyNumberFormat="1" applyFont="1" applyBorder="1" applyAlignment="1">
      <alignment vertical="center"/>
    </xf>
    <xf numFmtId="165" fontId="24" fillId="0" borderId="555" xfId="3" applyNumberFormat="1" applyFont="1" applyBorder="1" applyAlignment="1">
      <alignment vertical="center"/>
    </xf>
    <xf numFmtId="165" fontId="24" fillId="0" borderId="556" xfId="3" applyNumberFormat="1" applyFont="1" applyBorder="1" applyAlignment="1">
      <alignment vertical="center"/>
    </xf>
    <xf numFmtId="165" fontId="24" fillId="0" borderId="557" xfId="3" applyNumberFormat="1" applyFont="1" applyBorder="1" applyAlignment="1">
      <alignment vertical="center"/>
    </xf>
    <xf numFmtId="165" fontId="24" fillId="0" borderId="558" xfId="4" applyNumberFormat="1" applyFont="1" applyBorder="1" applyAlignment="1">
      <alignment vertical="center"/>
    </xf>
    <xf numFmtId="165" fontId="24" fillId="0" borderId="554" xfId="4" applyNumberFormat="1" applyFont="1" applyBorder="1" applyAlignment="1">
      <alignment vertical="center"/>
    </xf>
    <xf numFmtId="165" fontId="24" fillId="0" borderId="559" xfId="4" applyNumberFormat="1" applyFont="1" applyFill="1" applyBorder="1" applyAlignment="1">
      <alignment vertical="center"/>
    </xf>
    <xf numFmtId="165" fontId="24" fillId="0" borderId="560" xfId="4" applyNumberFormat="1" applyFont="1" applyBorder="1" applyAlignment="1">
      <alignment vertical="center"/>
    </xf>
    <xf numFmtId="165" fontId="16" fillId="0" borderId="559" xfId="4" quotePrefix="1" applyNumberFormat="1" applyFont="1" applyFill="1" applyBorder="1" applyAlignment="1">
      <alignment vertical="center"/>
    </xf>
    <xf numFmtId="0" fontId="23" fillId="0" borderId="553" xfId="3" applyFont="1" applyBorder="1" applyAlignment="1">
      <alignment horizontal="left" vertical="center" indent="1"/>
    </xf>
    <xf numFmtId="165" fontId="24" fillId="0" borderId="555" xfId="4" applyNumberFormat="1" applyFont="1" applyBorder="1" applyAlignment="1">
      <alignment vertical="center"/>
    </xf>
    <xf numFmtId="165" fontId="24" fillId="0" borderId="557" xfId="4" applyNumberFormat="1" applyFont="1" applyBorder="1" applyAlignment="1">
      <alignment vertical="center"/>
    </xf>
    <xf numFmtId="165" fontId="24" fillId="0" borderId="559" xfId="3" applyNumberFormat="1" applyFont="1" applyBorder="1" applyAlignment="1">
      <alignment vertical="center"/>
    </xf>
    <xf numFmtId="165" fontId="24" fillId="0" borderId="560" xfId="3" applyNumberFormat="1" applyFont="1" applyBorder="1" applyAlignment="1">
      <alignment vertical="center"/>
    </xf>
    <xf numFmtId="41" fontId="24" fillId="0" borderId="556" xfId="3" applyNumberFormat="1" applyFont="1" applyBorder="1" applyAlignment="1">
      <alignment vertical="center"/>
    </xf>
    <xf numFmtId="0" fontId="23" fillId="0" borderId="553" xfId="3" applyFont="1" applyBorder="1" applyAlignment="1">
      <alignment vertical="center"/>
    </xf>
    <xf numFmtId="165" fontId="23" fillId="0" borderId="554" xfId="3" applyNumberFormat="1" applyFont="1" applyBorder="1" applyAlignment="1">
      <alignment horizontal="right" vertical="center"/>
    </xf>
    <xf numFmtId="165" fontId="16" fillId="0" borderId="559" xfId="4" applyNumberFormat="1" applyFont="1" applyFill="1" applyBorder="1" applyAlignment="1">
      <alignment vertical="center"/>
    </xf>
    <xf numFmtId="165" fontId="24" fillId="0" borderId="559" xfId="4" applyNumberFormat="1" applyFont="1" applyBorder="1" applyAlignment="1">
      <alignment vertical="center"/>
    </xf>
    <xf numFmtId="0" fontId="24" fillId="0" borderId="553" xfId="3" applyFont="1" applyBorder="1" applyAlignment="1">
      <alignment horizontal="left" vertical="center" indent="2"/>
    </xf>
    <xf numFmtId="0" fontId="23" fillId="0" borderId="553" xfId="3" applyFont="1" applyBorder="1" applyAlignment="1">
      <alignment horizontal="left" vertical="center" indent="2"/>
    </xf>
    <xf numFmtId="0" fontId="23" fillId="0" borderId="553" xfId="3" applyFont="1" applyBorder="1" applyAlignment="1">
      <alignment horizontal="left" vertical="center"/>
    </xf>
    <xf numFmtId="0" fontId="24" fillId="0" borderId="553" xfId="3" applyFont="1" applyBorder="1" applyAlignment="1">
      <alignment horizontal="left" vertical="center" indent="3"/>
    </xf>
    <xf numFmtId="165" fontId="24" fillId="10" borderId="559" xfId="4" applyNumberFormat="1" applyFont="1" applyFill="1" applyBorder="1" applyAlignment="1">
      <alignment vertical="center"/>
    </xf>
    <xf numFmtId="165" fontId="24" fillId="13" borderId="560" xfId="4" applyNumberFormat="1" applyFont="1" applyFill="1" applyBorder="1" applyAlignment="1">
      <alignment vertical="center"/>
    </xf>
    <xf numFmtId="165" fontId="24" fillId="10" borderId="554" xfId="4" applyNumberFormat="1" applyFont="1" applyFill="1" applyBorder="1" applyAlignment="1">
      <alignment vertical="center"/>
    </xf>
    <xf numFmtId="0" fontId="23" fillId="0" borderId="561" xfId="3" applyFont="1" applyBorder="1" applyAlignment="1">
      <alignment horizontal="left" vertical="center" indent="1"/>
    </xf>
    <xf numFmtId="165" fontId="23" fillId="0" borderId="562" xfId="3" applyNumberFormat="1" applyFont="1" applyBorder="1" applyAlignment="1">
      <alignment vertical="center"/>
    </xf>
    <xf numFmtId="165" fontId="24" fillId="0" borderId="562" xfId="3" applyNumberFormat="1" applyFont="1" applyBorder="1" applyAlignment="1">
      <alignment vertical="center"/>
    </xf>
    <xf numFmtId="165" fontId="24" fillId="0" borderId="563" xfId="4" applyNumberFormat="1" applyFont="1" applyBorder="1" applyAlignment="1">
      <alignment vertical="center"/>
    </xf>
    <xf numFmtId="165" fontId="24" fillId="0" borderId="564" xfId="3" applyNumberFormat="1" applyFont="1" applyBorder="1" applyAlignment="1">
      <alignment vertical="center"/>
    </xf>
    <xf numFmtId="165" fontId="24" fillId="0" borderId="565" xfId="4" applyNumberFormat="1" applyFont="1" applyBorder="1" applyAlignment="1">
      <alignment vertical="center"/>
    </xf>
    <xf numFmtId="165" fontId="24" fillId="0" borderId="566" xfId="4" applyNumberFormat="1" applyFont="1" applyBorder="1" applyAlignment="1">
      <alignment vertical="center"/>
    </xf>
    <xf numFmtId="165" fontId="24" fillId="0" borderId="562" xfId="4" applyNumberFormat="1" applyFont="1" applyBorder="1" applyAlignment="1">
      <alignment vertical="center"/>
    </xf>
    <xf numFmtId="165" fontId="24" fillId="10" borderId="567" xfId="3" applyNumberFormat="1" applyFont="1" applyFill="1" applyBorder="1" applyAlignment="1">
      <alignment horizontal="left" vertical="center" indent="1"/>
    </xf>
    <xf numFmtId="165" fontId="24" fillId="13" borderId="568" xfId="3" applyNumberFormat="1" applyFont="1" applyFill="1" applyBorder="1" applyAlignment="1">
      <alignment vertical="center"/>
    </xf>
    <xf numFmtId="165" fontId="24" fillId="10" borderId="562" xfId="3" applyNumberFormat="1" applyFont="1" applyFill="1" applyBorder="1" applyAlignment="1">
      <alignment vertical="center"/>
    </xf>
    <xf numFmtId="0" fontId="34" fillId="0" borderId="390" xfId="3" applyFont="1" applyBorder="1" applyAlignment="1">
      <alignment horizontal="left" vertical="center" indent="1"/>
    </xf>
    <xf numFmtId="165" fontId="34" fillId="0" borderId="390" xfId="3" applyNumberFormat="1" applyFont="1" applyBorder="1" applyAlignment="1">
      <alignment vertical="center"/>
    </xf>
    <xf numFmtId="165" fontId="31" fillId="0" borderId="390" xfId="3" applyNumberFormat="1" applyFont="1" applyBorder="1" applyAlignment="1">
      <alignment vertical="center"/>
    </xf>
    <xf numFmtId="165" fontId="31" fillId="0" borderId="390" xfId="4" applyNumberFormat="1" applyFont="1" applyBorder="1" applyAlignment="1">
      <alignment vertical="center"/>
    </xf>
    <xf numFmtId="166" fontId="24" fillId="0" borderId="547" xfId="4" applyNumberFormat="1" applyFont="1" applyBorder="1" applyAlignment="1">
      <alignment horizontal="right" vertical="center"/>
    </xf>
    <xf numFmtId="165" fontId="24" fillId="0" borderId="552" xfId="3" applyNumberFormat="1" applyFont="1" applyBorder="1" applyAlignment="1">
      <alignment vertical="center"/>
    </xf>
    <xf numFmtId="165" fontId="24" fillId="0" borderId="551" xfId="3" applyNumberFormat="1" applyFont="1" applyBorder="1" applyAlignment="1">
      <alignment vertical="center"/>
    </xf>
    <xf numFmtId="165" fontId="24" fillId="0" borderId="481" xfId="4" applyNumberFormat="1" applyFont="1" applyBorder="1" applyAlignment="1">
      <alignment vertical="center"/>
    </xf>
    <xf numFmtId="165" fontId="24" fillId="0" borderId="552" xfId="4" applyNumberFormat="1" applyFont="1" applyBorder="1" applyAlignment="1">
      <alignment vertical="center"/>
    </xf>
    <xf numFmtId="165" fontId="24" fillId="0" borderId="551" xfId="4" applyNumberFormat="1" applyFont="1" applyBorder="1" applyAlignment="1">
      <alignment vertical="center"/>
    </xf>
    <xf numFmtId="165" fontId="24" fillId="0" borderId="558" xfId="4" applyNumberFormat="1" applyFont="1" applyFill="1" applyBorder="1" applyAlignment="1">
      <alignment vertical="center"/>
    </xf>
    <xf numFmtId="165" fontId="24" fillId="0" borderId="558" xfId="3" applyNumberFormat="1" applyFont="1" applyBorder="1" applyAlignment="1">
      <alignment vertical="center"/>
    </xf>
    <xf numFmtId="182" fontId="23" fillId="0" borderId="570" xfId="3" applyNumberFormat="1" applyFont="1" applyBorder="1" applyAlignment="1">
      <alignment horizontal="left" vertical="center"/>
    </xf>
    <xf numFmtId="165" fontId="23" fillId="0" borderId="571" xfId="3" applyNumberFormat="1" applyFont="1" applyBorder="1" applyAlignment="1">
      <alignment vertical="center"/>
    </xf>
    <xf numFmtId="165" fontId="24" fillId="0" borderId="571" xfId="3" applyNumberFormat="1" applyFont="1" applyBorder="1" applyAlignment="1">
      <alignment vertical="center"/>
    </xf>
    <xf numFmtId="165" fontId="24" fillId="0" borderId="572" xfId="4" applyNumberFormat="1" applyFont="1" applyBorder="1" applyAlignment="1">
      <alignment vertical="center"/>
    </xf>
    <xf numFmtId="165" fontId="24" fillId="0" borderId="573" xfId="3" applyNumberFormat="1" applyFont="1" applyBorder="1" applyAlignment="1">
      <alignment vertical="center"/>
    </xf>
    <xf numFmtId="165" fontId="24" fillId="0" borderId="574" xfId="4" applyNumberFormat="1" applyFont="1" applyBorder="1" applyAlignment="1">
      <alignment vertical="center"/>
    </xf>
    <xf numFmtId="165" fontId="24" fillId="0" borderId="575" xfId="4" applyNumberFormat="1" applyFont="1" applyBorder="1" applyAlignment="1">
      <alignment vertical="center"/>
    </xf>
    <xf numFmtId="165" fontId="24" fillId="0" borderId="571" xfId="4" applyNumberFormat="1" applyFont="1" applyFill="1" applyBorder="1" applyAlignment="1">
      <alignment vertical="center"/>
    </xf>
    <xf numFmtId="165" fontId="24" fillId="0" borderId="575" xfId="3" applyNumberFormat="1" applyFont="1" applyBorder="1" applyAlignment="1">
      <alignment vertical="center"/>
    </xf>
    <xf numFmtId="165" fontId="24" fillId="0" borderId="574" xfId="3" applyNumberFormat="1" applyFont="1" applyBorder="1" applyAlignment="1">
      <alignment vertical="center"/>
    </xf>
    <xf numFmtId="182" fontId="34" fillId="0" borderId="390" xfId="3" applyNumberFormat="1" applyFont="1" applyBorder="1" applyAlignment="1">
      <alignment horizontal="left" vertical="center"/>
    </xf>
    <xf numFmtId="41" fontId="31" fillId="0" borderId="390" xfId="3" applyNumberFormat="1" applyFont="1" applyBorder="1" applyAlignment="1">
      <alignment vertical="center"/>
    </xf>
    <xf numFmtId="165" fontId="31" fillId="0" borderId="390" xfId="4" applyNumberFormat="1" applyFont="1" applyFill="1" applyBorder="1" applyAlignment="1">
      <alignment vertical="center"/>
    </xf>
    <xf numFmtId="0" fontId="35" fillId="0" borderId="576" xfId="3" applyFont="1" applyBorder="1" applyAlignment="1">
      <alignment vertical="center"/>
    </xf>
    <xf numFmtId="0" fontId="23" fillId="0" borderId="576" xfId="3" applyFont="1" applyBorder="1" applyAlignment="1">
      <alignment vertical="center"/>
    </xf>
    <xf numFmtId="41" fontId="23" fillId="0" borderId="29" xfId="3" applyNumberFormat="1" applyFont="1" applyBorder="1" applyAlignment="1">
      <alignment horizontal="center" vertical="center"/>
    </xf>
    <xf numFmtId="41" fontId="23" fillId="0" borderId="579" xfId="3" applyNumberFormat="1" applyFont="1" applyBorder="1" applyAlignment="1">
      <alignment horizontal="center" vertical="center"/>
    </xf>
    <xf numFmtId="41" fontId="24" fillId="0" borderId="29" xfId="3" applyNumberFormat="1" applyFont="1" applyBorder="1" applyAlignment="1">
      <alignment horizontal="center" vertical="center"/>
    </xf>
    <xf numFmtId="41" fontId="24" fillId="0" borderId="30" xfId="3" applyNumberFormat="1" applyFont="1" applyBorder="1" applyAlignment="1">
      <alignment horizontal="center" vertical="center"/>
    </xf>
    <xf numFmtId="41" fontId="24" fillId="0" borderId="580" xfId="3" applyNumberFormat="1" applyFont="1" applyBorder="1" applyAlignment="1">
      <alignment horizontal="center" vertical="center"/>
    </xf>
    <xf numFmtId="0" fontId="24" fillId="0" borderId="581" xfId="3" applyFont="1" applyBorder="1" applyAlignment="1">
      <alignment horizontal="left" vertical="center" indent="1"/>
    </xf>
    <xf numFmtId="168" fontId="23" fillId="0" borderId="35" xfId="4" applyNumberFormat="1" applyFont="1" applyBorder="1" applyAlignment="1">
      <alignment vertical="center"/>
    </xf>
    <xf numFmtId="184" fontId="23" fillId="0" borderId="36" xfId="1" applyNumberFormat="1" applyFont="1" applyBorder="1" applyAlignment="1">
      <alignment vertical="center"/>
    </xf>
    <xf numFmtId="168" fontId="24" fillId="0" borderId="35" xfId="4" applyNumberFormat="1" applyFont="1" applyBorder="1" applyAlignment="1">
      <alignment vertical="center"/>
    </xf>
    <xf numFmtId="184" fontId="24" fillId="0" borderId="36" xfId="1" applyNumberFormat="1" applyFont="1" applyBorder="1" applyAlignment="1">
      <alignment vertical="center"/>
    </xf>
    <xf numFmtId="184" fontId="24" fillId="0" borderId="582" xfId="1" applyNumberFormat="1" applyFont="1" applyBorder="1" applyAlignment="1">
      <alignment vertical="center"/>
    </xf>
    <xf numFmtId="0" fontId="24" fillId="0" borderId="583" xfId="3" applyFont="1" applyBorder="1" applyAlignment="1">
      <alignment horizontal="left" vertical="center" indent="1"/>
    </xf>
    <xf numFmtId="168" fontId="23" fillId="0" borderId="40" xfId="4" applyNumberFormat="1" applyFont="1" applyBorder="1" applyAlignment="1">
      <alignment vertical="center"/>
    </xf>
    <xf numFmtId="184" fontId="23" fillId="0" borderId="41" xfId="1" applyNumberFormat="1" applyFont="1" applyBorder="1" applyAlignment="1">
      <alignment vertical="center"/>
    </xf>
    <xf numFmtId="168" fontId="24" fillId="0" borderId="40" xfId="4" applyNumberFormat="1" applyFont="1" applyBorder="1" applyAlignment="1">
      <alignment vertical="center"/>
    </xf>
    <xf numFmtId="184" fontId="24" fillId="0" borderId="41" xfId="1" applyNumberFormat="1" applyFont="1" applyBorder="1" applyAlignment="1">
      <alignment vertical="center"/>
    </xf>
    <xf numFmtId="184" fontId="24" fillId="0" borderId="584" xfId="1" applyNumberFormat="1" applyFont="1" applyBorder="1" applyAlignment="1">
      <alignment vertical="center"/>
    </xf>
    <xf numFmtId="0" fontId="24" fillId="0" borderId="585" xfId="3" applyFont="1" applyBorder="1" applyAlignment="1">
      <alignment horizontal="left" vertical="center" indent="1"/>
    </xf>
    <xf numFmtId="168" fontId="23" fillId="0" borderId="45" xfId="4" applyNumberFormat="1" applyFont="1" applyBorder="1" applyAlignment="1">
      <alignment vertical="center"/>
    </xf>
    <xf numFmtId="184" fontId="23" fillId="0" borderId="46" xfId="1" applyNumberFormat="1" applyFont="1" applyBorder="1" applyAlignment="1">
      <alignment vertical="center"/>
    </xf>
    <xf numFmtId="168" fontId="24" fillId="0" borderId="45" xfId="4" applyNumberFormat="1" applyFont="1" applyBorder="1" applyAlignment="1">
      <alignment vertical="center"/>
    </xf>
    <xf numFmtId="184" fontId="24" fillId="0" borderId="46" xfId="1" applyNumberFormat="1" applyFont="1" applyBorder="1" applyAlignment="1">
      <alignment vertical="center"/>
    </xf>
    <xf numFmtId="184" fontId="24" fillId="0" borderId="586" xfId="1" applyNumberFormat="1" applyFont="1" applyBorder="1" applyAlignment="1">
      <alignment vertical="center"/>
    </xf>
    <xf numFmtId="0" fontId="23" fillId="0" borderId="576" xfId="3" applyFont="1" applyBorder="1" applyAlignment="1">
      <alignment horizontal="left" vertical="center"/>
    </xf>
    <xf numFmtId="168" fontId="23" fillId="0" borderId="29" xfId="4" applyNumberFormat="1" applyFont="1" applyBorder="1" applyAlignment="1">
      <alignment vertical="center"/>
    </xf>
    <xf numFmtId="184" fontId="23" fillId="0" borderId="30" xfId="1" applyNumberFormat="1" applyFont="1" applyBorder="1" applyAlignment="1">
      <alignment vertical="center"/>
    </xf>
    <xf numFmtId="168" fontId="24" fillId="0" borderId="29" xfId="4" applyNumberFormat="1" applyFont="1" applyBorder="1" applyAlignment="1">
      <alignment vertical="center"/>
    </xf>
    <xf numFmtId="184" fontId="24" fillId="0" borderId="30" xfId="1" applyNumberFormat="1" applyFont="1" applyBorder="1" applyAlignment="1">
      <alignment vertical="center"/>
    </xf>
    <xf numFmtId="184" fontId="24" fillId="0" borderId="580" xfId="1" applyNumberFormat="1" applyFont="1" applyBorder="1" applyAlignment="1">
      <alignment vertical="center"/>
    </xf>
    <xf numFmtId="0" fontId="24" fillId="0" borderId="581" xfId="3" applyFont="1" applyBorder="1" applyAlignment="1">
      <alignment horizontal="left" vertical="center" indent="3"/>
    </xf>
    <xf numFmtId="169" fontId="23" fillId="0" borderId="35" xfId="4" applyNumberFormat="1" applyFont="1" applyBorder="1" applyAlignment="1">
      <alignment vertical="center"/>
    </xf>
    <xf numFmtId="169" fontId="23" fillId="0" borderId="36" xfId="4" applyNumberFormat="1" applyFont="1" applyBorder="1" applyAlignment="1">
      <alignment vertical="center"/>
    </xf>
    <xf numFmtId="169" fontId="24" fillId="0" borderId="35" xfId="4" applyNumberFormat="1" applyFont="1" applyBorder="1" applyAlignment="1">
      <alignment vertical="center"/>
    </xf>
    <xf numFmtId="169" fontId="24" fillId="0" borderId="36" xfId="4" applyNumberFormat="1" applyFont="1" applyBorder="1" applyAlignment="1">
      <alignment vertical="center"/>
    </xf>
    <xf numFmtId="169" fontId="24" fillId="0" borderId="582" xfId="4" applyNumberFormat="1" applyFont="1" applyBorder="1" applyAlignment="1">
      <alignment vertical="center"/>
    </xf>
    <xf numFmtId="169" fontId="23" fillId="0" borderId="40" xfId="3" applyNumberFormat="1" applyFont="1" applyBorder="1" applyAlignment="1">
      <alignment vertical="center"/>
    </xf>
    <xf numFmtId="169" fontId="23" fillId="0" borderId="41" xfId="3" applyNumberFormat="1" applyFont="1" applyBorder="1" applyAlignment="1">
      <alignment vertical="center"/>
    </xf>
    <xf numFmtId="169" fontId="24" fillId="0" borderId="40" xfId="3" applyNumberFormat="1" applyFont="1" applyBorder="1" applyAlignment="1">
      <alignment vertical="center"/>
    </xf>
    <xf numFmtId="169" fontId="24" fillId="0" borderId="41" xfId="3" applyNumberFormat="1" applyFont="1" applyBorder="1" applyAlignment="1">
      <alignment vertical="center"/>
    </xf>
    <xf numFmtId="0" fontId="24" fillId="0" borderId="587" xfId="3" applyFont="1" applyBorder="1" applyAlignment="1">
      <alignment vertical="center"/>
    </xf>
    <xf numFmtId="169" fontId="24" fillId="0" borderId="41" xfId="4" applyNumberFormat="1" applyFont="1" applyBorder="1" applyAlignment="1">
      <alignment vertical="center"/>
    </xf>
    <xf numFmtId="169" fontId="24" fillId="0" borderId="40" xfId="4" applyNumberFormat="1" applyFont="1" applyBorder="1" applyAlignment="1">
      <alignment vertical="center"/>
    </xf>
    <xf numFmtId="169" fontId="24" fillId="0" borderId="584" xfId="4" applyNumberFormat="1" applyFont="1" applyBorder="1" applyAlignment="1">
      <alignment vertical="center"/>
    </xf>
    <xf numFmtId="0" fontId="24" fillId="0" borderId="583" xfId="3" applyFont="1" applyBorder="1" applyAlignment="1">
      <alignment horizontal="left" vertical="center" indent="2"/>
    </xf>
    <xf numFmtId="168" fontId="23" fillId="0" borderId="40" xfId="3" applyNumberFormat="1" applyFont="1" applyBorder="1" applyAlignment="1">
      <alignment vertical="center"/>
    </xf>
    <xf numFmtId="168" fontId="24" fillId="0" borderId="40" xfId="3" applyNumberFormat="1" applyFont="1" applyBorder="1" applyAlignment="1">
      <alignment vertical="center"/>
    </xf>
    <xf numFmtId="168" fontId="24" fillId="0" borderId="587" xfId="3" applyNumberFormat="1" applyFont="1" applyBorder="1" applyAlignment="1">
      <alignment vertical="center"/>
    </xf>
    <xf numFmtId="168" fontId="23" fillId="0" borderId="45" xfId="3" applyNumberFormat="1" applyFont="1" applyBorder="1" applyAlignment="1">
      <alignment vertical="center"/>
    </xf>
    <xf numFmtId="168" fontId="24" fillId="0" borderId="45" xfId="3" applyNumberFormat="1" applyFont="1" applyBorder="1" applyAlignment="1">
      <alignment vertical="center"/>
    </xf>
    <xf numFmtId="168" fontId="23" fillId="0" borderId="29" xfId="3" applyNumberFormat="1" applyFont="1" applyBorder="1" applyAlignment="1">
      <alignment vertical="center"/>
    </xf>
    <xf numFmtId="168" fontId="24" fillId="0" borderId="29" xfId="3" applyNumberFormat="1" applyFont="1" applyBorder="1" applyAlignment="1">
      <alignment vertical="center"/>
    </xf>
    <xf numFmtId="168" fontId="24" fillId="0" borderId="588" xfId="4" applyNumberFormat="1" applyFont="1" applyBorder="1" applyAlignment="1">
      <alignment vertical="center"/>
    </xf>
    <xf numFmtId="0" fontId="23" fillId="0" borderId="581" xfId="3" applyFont="1" applyBorder="1" applyAlignment="1">
      <alignment horizontal="left" vertical="center" indent="1"/>
    </xf>
    <xf numFmtId="169" fontId="23" fillId="0" borderId="35" xfId="3" applyNumberFormat="1" applyFont="1" applyBorder="1" applyAlignment="1">
      <alignment vertical="center"/>
    </xf>
    <xf numFmtId="169" fontId="24" fillId="0" borderId="35" xfId="3" applyNumberFormat="1" applyFont="1" applyBorder="1" applyAlignment="1">
      <alignment vertical="center"/>
    </xf>
    <xf numFmtId="0" fontId="24" fillId="0" borderId="583" xfId="3" applyFont="1" applyBorder="1" applyAlignment="1">
      <alignment horizontal="left" vertical="center"/>
    </xf>
    <xf numFmtId="9" fontId="23" fillId="0" borderId="41" xfId="1" applyFont="1" applyBorder="1" applyAlignment="1">
      <alignment vertical="center"/>
    </xf>
    <xf numFmtId="9" fontId="24" fillId="0" borderId="41" xfId="1" applyFont="1" applyBorder="1" applyAlignment="1">
      <alignment vertical="center"/>
    </xf>
    <xf numFmtId="9" fontId="24" fillId="0" borderId="584" xfId="1" applyFont="1" applyBorder="1" applyAlignment="1">
      <alignment vertical="center"/>
    </xf>
    <xf numFmtId="169" fontId="23" fillId="12" borderId="41" xfId="3" applyNumberFormat="1" applyFont="1" applyFill="1" applyBorder="1" applyAlignment="1">
      <alignment vertical="center"/>
    </xf>
    <xf numFmtId="169" fontId="24" fillId="12" borderId="41" xfId="3" applyNumberFormat="1" applyFont="1" applyFill="1" applyBorder="1" applyAlignment="1">
      <alignment vertical="center"/>
    </xf>
    <xf numFmtId="169" fontId="24" fillId="12" borderId="41" xfId="4" applyNumberFormat="1" applyFont="1" applyFill="1" applyBorder="1" applyAlignment="1">
      <alignment vertical="center"/>
    </xf>
    <xf numFmtId="169" fontId="24" fillId="12" borderId="584" xfId="4" applyNumberFormat="1" applyFont="1" applyFill="1" applyBorder="1" applyAlignment="1">
      <alignment vertical="center"/>
    </xf>
    <xf numFmtId="0" fontId="23" fillId="0" borderId="589" xfId="3" applyFont="1" applyBorder="1" applyAlignment="1">
      <alignment horizontal="left" vertical="center"/>
    </xf>
    <xf numFmtId="169" fontId="23" fillId="12" borderId="46" xfId="3" applyNumberFormat="1" applyFont="1" applyFill="1" applyBorder="1" applyAlignment="1">
      <alignment vertical="center"/>
    </xf>
    <xf numFmtId="169" fontId="24" fillId="12" borderId="46" xfId="3" applyNumberFormat="1" applyFont="1" applyFill="1" applyBorder="1" applyAlignment="1">
      <alignment vertical="center"/>
    </xf>
    <xf numFmtId="169" fontId="24" fillId="12" borderId="46" xfId="4" applyNumberFormat="1" applyFont="1" applyFill="1" applyBorder="1" applyAlignment="1">
      <alignment vertical="center"/>
    </xf>
    <xf numFmtId="169" fontId="24" fillId="12" borderId="590" xfId="4" applyNumberFormat="1" applyFont="1" applyFill="1" applyBorder="1" applyAlignment="1">
      <alignment vertical="center"/>
    </xf>
    <xf numFmtId="0" fontId="29" fillId="0" borderId="50" xfId="3" applyFont="1" applyBorder="1" applyAlignment="1">
      <alignment horizontal="left" vertical="center" indent="1"/>
    </xf>
    <xf numFmtId="169" fontId="29" fillId="0" borderId="50" xfId="3" applyNumberFormat="1" applyFont="1" applyBorder="1" applyAlignment="1">
      <alignment vertical="center"/>
    </xf>
    <xf numFmtId="169" fontId="29" fillId="0" borderId="50" xfId="4" applyNumberFormat="1" applyFont="1" applyBorder="1" applyAlignment="1">
      <alignment vertical="center"/>
    </xf>
    <xf numFmtId="0" fontId="31" fillId="0" borderId="0" xfId="3" applyFont="1" applyAlignment="1">
      <alignment vertical="center"/>
    </xf>
    <xf numFmtId="0" fontId="35" fillId="12" borderId="591" xfId="3" applyFont="1" applyFill="1" applyBorder="1" applyAlignment="1">
      <alignment vertical="center"/>
    </xf>
    <xf numFmtId="0" fontId="35" fillId="0" borderId="591" xfId="3" applyFont="1" applyBorder="1" applyAlignment="1">
      <alignment vertical="center"/>
    </xf>
    <xf numFmtId="166" fontId="23" fillId="0" borderId="592" xfId="4" applyNumberFormat="1" applyFont="1" applyBorder="1" applyAlignment="1">
      <alignment horizontal="right" vertical="center"/>
    </xf>
    <xf numFmtId="166" fontId="24" fillId="0" borderId="592" xfId="4" applyNumberFormat="1" applyFont="1" applyBorder="1" applyAlignment="1">
      <alignment horizontal="right" vertical="center"/>
    </xf>
    <xf numFmtId="166" fontId="24" fillId="0" borderId="591" xfId="4" applyNumberFormat="1" applyFont="1" applyBorder="1" applyAlignment="1">
      <alignment horizontal="right" vertical="center"/>
    </xf>
    <xf numFmtId="166" fontId="24" fillId="0" borderId="593" xfId="4" applyNumberFormat="1" applyFont="1" applyBorder="1" applyAlignment="1">
      <alignment horizontal="right" vertical="center"/>
    </xf>
    <xf numFmtId="166" fontId="24" fillId="0" borderId="475" xfId="4" applyNumberFormat="1" applyFont="1" applyBorder="1" applyAlignment="1">
      <alignment horizontal="right" vertical="center"/>
    </xf>
    <xf numFmtId="41" fontId="24" fillId="0" borderId="552" xfId="4" applyNumberFormat="1" applyFont="1" applyBorder="1" applyAlignment="1">
      <alignment vertical="center"/>
    </xf>
    <xf numFmtId="41" fontId="24" fillId="0" borderId="551" xfId="4" applyNumberFormat="1" applyFont="1" applyBorder="1" applyAlignment="1">
      <alignment vertical="center"/>
    </xf>
    <xf numFmtId="41" fontId="24" fillId="0" borderId="481" xfId="4" applyNumberFormat="1" applyFont="1" applyBorder="1" applyAlignment="1">
      <alignment vertical="center"/>
    </xf>
    <xf numFmtId="0" fontId="24" fillId="0" borderId="594" xfId="3" applyFont="1" applyBorder="1" applyAlignment="1">
      <alignment horizontal="left" vertical="center" indent="2"/>
    </xf>
    <xf numFmtId="165" fontId="23" fillId="0" borderId="595" xfId="19" applyNumberFormat="1" applyFont="1" applyFill="1" applyBorder="1" applyAlignment="1">
      <alignment vertical="center"/>
    </xf>
    <xf numFmtId="165" fontId="24" fillId="0" borderId="595" xfId="19" applyNumberFormat="1" applyFont="1" applyFill="1" applyBorder="1" applyAlignment="1">
      <alignment vertical="center"/>
    </xf>
    <xf numFmtId="165" fontId="24" fillId="0" borderId="258" xfId="4" applyNumberFormat="1" applyFont="1" applyBorder="1" applyAlignment="1">
      <alignment vertical="center"/>
    </xf>
    <xf numFmtId="165" fontId="24" fillId="0" borderId="596" xfId="4" applyNumberFormat="1" applyFont="1" applyBorder="1" applyAlignment="1">
      <alignment vertical="center"/>
    </xf>
    <xf numFmtId="165" fontId="24" fillId="0" borderId="595" xfId="4" applyNumberFormat="1" applyFont="1" applyBorder="1" applyAlignment="1">
      <alignment vertical="center"/>
    </xf>
    <xf numFmtId="165" fontId="24" fillId="0" borderId="594" xfId="4" applyNumberFormat="1" applyFont="1" applyBorder="1" applyAlignment="1">
      <alignment vertical="center"/>
    </xf>
    <xf numFmtId="165" fontId="24" fillId="0" borderId="487" xfId="4" applyNumberFormat="1" applyFont="1" applyBorder="1" applyAlignment="1">
      <alignment vertical="center"/>
    </xf>
    <xf numFmtId="0" fontId="23" fillId="0" borderId="594" xfId="3" applyFont="1" applyBorder="1" applyAlignment="1">
      <alignment horizontal="left" vertical="center" indent="1"/>
    </xf>
    <xf numFmtId="165" fontId="23" fillId="0" borderId="595" xfId="20" applyNumberFormat="1" applyFont="1" applyFill="1" applyBorder="1" applyAlignment="1">
      <alignment vertical="center"/>
    </xf>
    <xf numFmtId="165" fontId="24" fillId="0" borderId="595" xfId="20" applyNumberFormat="1" applyFont="1" applyFill="1" applyBorder="1" applyAlignment="1">
      <alignment vertical="center"/>
    </xf>
    <xf numFmtId="0" fontId="24" fillId="0" borderId="594" xfId="3" applyFont="1" applyBorder="1" applyAlignment="1">
      <alignment horizontal="left" vertical="center" indent="3"/>
    </xf>
    <xf numFmtId="0" fontId="23" fillId="0" borderId="594" xfId="3" applyFont="1" applyBorder="1" applyAlignment="1">
      <alignment horizontal="left" vertical="center"/>
    </xf>
    <xf numFmtId="0" fontId="24" fillId="0" borderId="597" xfId="3" applyFont="1" applyBorder="1" applyAlignment="1">
      <alignment horizontal="left" vertical="center" indent="2"/>
    </xf>
    <xf numFmtId="41" fontId="23" fillId="0" borderId="598" xfId="19" applyNumberFormat="1" applyFont="1" applyFill="1" applyBorder="1" applyAlignment="1">
      <alignment vertical="center"/>
    </xf>
    <xf numFmtId="41" fontId="24" fillId="0" borderId="598" xfId="19" applyNumberFormat="1" applyFont="1" applyFill="1" applyBorder="1" applyAlignment="1">
      <alignment vertical="center"/>
    </xf>
    <xf numFmtId="41" fontId="24" fillId="0" borderId="597" xfId="4" applyNumberFormat="1" applyFont="1" applyBorder="1" applyAlignment="1">
      <alignment vertical="center"/>
    </xf>
    <xf numFmtId="41" fontId="24" fillId="0" borderId="494" xfId="4" applyNumberFormat="1" applyFont="1" applyBorder="1" applyAlignment="1">
      <alignment vertical="center"/>
    </xf>
    <xf numFmtId="41" fontId="24" fillId="0" borderId="598" xfId="4" applyNumberFormat="1" applyFont="1" applyBorder="1" applyAlignment="1">
      <alignment vertical="center"/>
    </xf>
    <xf numFmtId="0" fontId="17" fillId="0" borderId="591" xfId="3" quotePrefix="1" applyFont="1" applyBorder="1" applyAlignment="1">
      <alignment vertical="center"/>
    </xf>
    <xf numFmtId="41" fontId="23" fillId="0" borderId="592" xfId="19" applyNumberFormat="1" applyFont="1" applyFill="1" applyBorder="1" applyAlignment="1">
      <alignment vertical="center"/>
    </xf>
    <xf numFmtId="41" fontId="24" fillId="0" borderId="592" xfId="19" applyNumberFormat="1" applyFont="1" applyFill="1" applyBorder="1" applyAlignment="1">
      <alignment vertical="center"/>
    </xf>
    <xf numFmtId="41" fontId="24" fillId="0" borderId="591" xfId="4" applyNumberFormat="1" applyFont="1" applyBorder="1" applyAlignment="1">
      <alignment vertical="center"/>
    </xf>
    <xf numFmtId="41" fontId="24" fillId="0" borderId="593" xfId="4" applyNumberFormat="1" applyFont="1" applyBorder="1" applyAlignment="1">
      <alignment vertical="center"/>
    </xf>
    <xf numFmtId="41" fontId="24" fillId="0" borderId="592" xfId="4" applyNumberFormat="1" applyFont="1" applyBorder="1" applyAlignment="1">
      <alignment vertical="center"/>
    </xf>
    <xf numFmtId="41" fontId="24" fillId="0" borderId="475" xfId="4" applyNumberFormat="1" applyFont="1" applyBorder="1" applyAlignment="1">
      <alignment vertical="center"/>
    </xf>
    <xf numFmtId="0" fontId="24" fillId="0" borderId="551" xfId="3" applyFont="1" applyBorder="1" applyAlignment="1">
      <alignment horizontal="left" vertical="center" indent="2"/>
    </xf>
    <xf numFmtId="165" fontId="23" fillId="0" borderId="552" xfId="19" applyNumberFormat="1" applyFont="1" applyFill="1" applyBorder="1" applyAlignment="1">
      <alignment vertical="center"/>
    </xf>
    <xf numFmtId="165" fontId="24" fillId="0" borderId="552" xfId="19" applyNumberFormat="1" applyFont="1" applyFill="1" applyBorder="1" applyAlignment="1">
      <alignment vertical="center"/>
    </xf>
    <xf numFmtId="165" fontId="24" fillId="0" borderId="258" xfId="4" applyNumberFormat="1" applyFont="1" applyFill="1" applyBorder="1" applyAlignment="1">
      <alignment vertical="center"/>
    </xf>
    <xf numFmtId="165" fontId="24" fillId="0" borderId="596" xfId="4" applyNumberFormat="1" applyFont="1" applyFill="1" applyBorder="1" applyAlignment="1">
      <alignment vertical="center"/>
    </xf>
    <xf numFmtId="0" fontId="24" fillId="0" borderId="599" xfId="3" applyFont="1" applyBorder="1" applyAlignment="1">
      <alignment horizontal="left" vertical="center" indent="2"/>
    </xf>
    <xf numFmtId="165" fontId="23" fillId="0" borderId="600" xfId="19" applyNumberFormat="1" applyFont="1" applyFill="1" applyBorder="1" applyAlignment="1">
      <alignment vertical="center"/>
    </xf>
    <xf numFmtId="165" fontId="24" fillId="0" borderId="600" xfId="19" applyNumberFormat="1" applyFont="1" applyFill="1" applyBorder="1" applyAlignment="1">
      <alignment vertical="center"/>
    </xf>
    <xf numFmtId="165" fontId="24" fillId="0" borderId="601" xfId="4" applyNumberFormat="1" applyFont="1" applyFill="1" applyBorder="1" applyAlignment="1">
      <alignment vertical="center"/>
    </xf>
    <xf numFmtId="165" fontId="24" fillId="0" borderId="602" xfId="4" applyNumberFormat="1" applyFont="1" applyFill="1" applyBorder="1" applyAlignment="1">
      <alignment vertical="center"/>
    </xf>
    <xf numFmtId="165" fontId="24" fillId="0" borderId="600" xfId="4" applyNumberFormat="1" applyFont="1" applyBorder="1" applyAlignment="1">
      <alignment vertical="center"/>
    </xf>
    <xf numFmtId="165" fontId="24" fillId="0" borderId="599" xfId="4" applyNumberFormat="1" applyFont="1" applyBorder="1" applyAlignment="1">
      <alignment vertical="center"/>
    </xf>
    <xf numFmtId="165" fontId="24" fillId="0" borderId="603" xfId="4" applyNumberFormat="1" applyFont="1" applyBorder="1" applyAlignment="1">
      <alignment vertical="center"/>
    </xf>
    <xf numFmtId="0" fontId="24" fillId="0" borderId="604" xfId="3" applyFont="1" applyBorder="1" applyAlignment="1">
      <alignment horizontal="left" vertical="center" indent="2"/>
    </xf>
    <xf numFmtId="165" fontId="23" fillId="0" borderId="605" xfId="19" applyNumberFormat="1" applyFont="1" applyFill="1" applyBorder="1" applyAlignment="1">
      <alignment vertical="center"/>
    </xf>
    <xf numFmtId="165" fontId="24" fillId="0" borderId="605" xfId="19" applyNumberFormat="1" applyFont="1" applyFill="1" applyBorder="1" applyAlignment="1">
      <alignment vertical="center"/>
    </xf>
    <xf numFmtId="165" fontId="24" fillId="0" borderId="604" xfId="4" applyNumberFormat="1" applyFont="1" applyFill="1" applyBorder="1" applyAlignment="1">
      <alignment vertical="center"/>
    </xf>
    <xf numFmtId="165" fontId="24" fillId="0" borderId="606" xfId="4" applyNumberFormat="1" applyFont="1" applyFill="1" applyBorder="1" applyAlignment="1">
      <alignment vertical="center"/>
    </xf>
    <xf numFmtId="165" fontId="24" fillId="0" borderId="605" xfId="4" applyNumberFormat="1" applyFont="1" applyBorder="1" applyAlignment="1">
      <alignment vertical="center"/>
    </xf>
    <xf numFmtId="165" fontId="24" fillId="0" borderId="604" xfId="4" applyNumberFormat="1" applyFont="1" applyBorder="1" applyAlignment="1">
      <alignment vertical="center"/>
    </xf>
    <xf numFmtId="165" fontId="24" fillId="0" borderId="606" xfId="4" applyNumberFormat="1" applyFont="1" applyBorder="1" applyAlignment="1">
      <alignment vertical="center"/>
    </xf>
    <xf numFmtId="0" fontId="23" fillId="0" borderId="591" xfId="3" applyFont="1" applyBorder="1" applyAlignment="1">
      <alignment horizontal="left" vertical="center"/>
    </xf>
    <xf numFmtId="165" fontId="23" fillId="0" borderId="592" xfId="19" applyNumberFormat="1" applyFont="1" applyFill="1" applyBorder="1" applyAlignment="1">
      <alignment vertical="center"/>
    </xf>
    <xf numFmtId="165" fontId="24" fillId="0" borderId="592" xfId="19" applyNumberFormat="1" applyFont="1" applyFill="1" applyBorder="1" applyAlignment="1">
      <alignment vertical="center"/>
    </xf>
    <xf numFmtId="165" fontId="24" fillId="0" borderId="394" xfId="4" applyNumberFormat="1" applyFont="1" applyBorder="1" applyAlignment="1">
      <alignment vertical="center"/>
    </xf>
    <xf numFmtId="165" fontId="24" fillId="0" borderId="593" xfId="4" applyNumberFormat="1" applyFont="1" applyBorder="1" applyAlignment="1">
      <alignment vertical="center"/>
    </xf>
    <xf numFmtId="165" fontId="24" fillId="0" borderId="592" xfId="4" applyNumberFormat="1" applyFont="1" applyBorder="1" applyAlignment="1">
      <alignment vertical="center"/>
    </xf>
    <xf numFmtId="165" fontId="24" fillId="0" borderId="591" xfId="4" applyNumberFormat="1" applyFont="1" applyBorder="1" applyAlignment="1">
      <alignment vertical="center"/>
    </xf>
    <xf numFmtId="165" fontId="24" fillId="0" borderId="475" xfId="4" applyNumberFormat="1" applyFont="1" applyBorder="1" applyAlignment="1">
      <alignment vertical="center"/>
    </xf>
    <xf numFmtId="0" fontId="30" fillId="0" borderId="390" xfId="3" applyFont="1" applyBorder="1" applyAlignment="1">
      <alignment horizontal="left" vertical="center" indent="2"/>
    </xf>
    <xf numFmtId="41" fontId="30" fillId="0" borderId="390" xfId="3" applyNumberFormat="1" applyFont="1" applyBorder="1" applyAlignment="1">
      <alignment vertical="center"/>
    </xf>
    <xf numFmtId="41" fontId="29" fillId="0" borderId="390" xfId="3" applyNumberFormat="1" applyFont="1" applyBorder="1" applyAlignment="1">
      <alignment vertical="center"/>
    </xf>
    <xf numFmtId="41" fontId="30" fillId="0" borderId="390" xfId="4" applyNumberFormat="1" applyFont="1" applyBorder="1" applyAlignment="1">
      <alignment vertical="center"/>
    </xf>
    <xf numFmtId="0" fontId="33" fillId="0" borderId="0" xfId="3" quotePrefix="1" applyFont="1" applyAlignment="1">
      <alignment horizontal="left" vertical="center" wrapText="1"/>
    </xf>
    <xf numFmtId="0" fontId="31" fillId="0" borderId="0" xfId="3" applyFont="1" applyAlignment="1">
      <alignment vertical="center" wrapText="1"/>
    </xf>
    <xf numFmtId="0" fontId="34" fillId="0" borderId="0" xfId="3" applyFont="1" applyAlignment="1">
      <alignment vertical="center" wrapText="1"/>
    </xf>
    <xf numFmtId="0" fontId="31" fillId="0" borderId="0" xfId="3" applyFont="1" applyAlignment="1">
      <alignment horizontal="left" vertical="center" wrapText="1"/>
    </xf>
    <xf numFmtId="0" fontId="34" fillId="0" borderId="0" xfId="3" applyFont="1" applyAlignment="1">
      <alignment horizontal="left" vertical="center" wrapText="1"/>
    </xf>
    <xf numFmtId="0" fontId="31" fillId="0" borderId="0" xfId="3" quotePrefix="1" applyFont="1" applyAlignment="1">
      <alignment horizontal="left" vertical="center" wrapText="1"/>
    </xf>
    <xf numFmtId="0" fontId="35" fillId="12" borderId="607" xfId="3" applyFont="1" applyFill="1" applyBorder="1" applyAlignment="1">
      <alignment vertical="center"/>
    </xf>
    <xf numFmtId="0" fontId="35" fillId="0" borderId="607" xfId="3" applyFont="1" applyBorder="1" applyAlignment="1">
      <alignment vertical="center"/>
    </xf>
    <xf numFmtId="166" fontId="23" fillId="0" borderId="608" xfId="3" applyNumberFormat="1" applyFont="1" applyBorder="1" applyAlignment="1">
      <alignment horizontal="right" vertical="center"/>
    </xf>
    <xf numFmtId="166" fontId="24" fillId="0" borderId="608" xfId="3" applyNumberFormat="1" applyFont="1" applyBorder="1" applyAlignment="1">
      <alignment horizontal="right" vertical="center"/>
    </xf>
    <xf numFmtId="166" fontId="24" fillId="0" borderId="611" xfId="21" applyNumberFormat="1" applyFont="1" applyBorder="1" applyAlignment="1">
      <alignment horizontal="right" vertical="center"/>
    </xf>
    <xf numFmtId="166" fontId="24" fillId="0" borderId="609" xfId="3" applyNumberFormat="1" applyFont="1" applyBorder="1" applyAlignment="1">
      <alignment horizontal="right" vertical="center"/>
    </xf>
    <xf numFmtId="166" fontId="24" fillId="0" borderId="608" xfId="4" applyNumberFormat="1" applyFont="1" applyBorder="1" applyAlignment="1">
      <alignment horizontal="right" vertical="center"/>
    </xf>
    <xf numFmtId="166" fontId="24" fillId="0" borderId="607" xfId="4" applyNumberFormat="1" applyFont="1" applyBorder="1" applyAlignment="1">
      <alignment horizontal="right" vertical="center"/>
    </xf>
    <xf numFmtId="166" fontId="24" fillId="0" borderId="610" xfId="3" applyNumberFormat="1" applyFont="1" applyBorder="1" applyAlignment="1">
      <alignment horizontal="right" vertical="center"/>
    </xf>
    <xf numFmtId="165" fontId="23" fillId="0" borderId="552" xfId="22" applyNumberFormat="1" applyFont="1" applyBorder="1" applyAlignment="1">
      <alignment vertical="center"/>
    </xf>
    <xf numFmtId="165" fontId="24" fillId="0" borderId="552" xfId="23" applyNumberFormat="1" applyFont="1" applyFill="1" applyBorder="1" applyAlignment="1">
      <alignment vertical="center"/>
    </xf>
    <xf numFmtId="165" fontId="24" fillId="0" borderId="551" xfId="21" applyNumberFormat="1" applyFont="1" applyBorder="1" applyAlignment="1">
      <alignment vertical="center"/>
    </xf>
    <xf numFmtId="165" fontId="24" fillId="0" borderId="552" xfId="24" applyNumberFormat="1" applyFont="1" applyBorder="1" applyAlignment="1">
      <alignment vertical="center"/>
    </xf>
    <xf numFmtId="0" fontId="23" fillId="0" borderId="597" xfId="3" applyFont="1" applyBorder="1" applyAlignment="1">
      <alignment vertical="center"/>
    </xf>
    <xf numFmtId="41" fontId="23" fillId="0" borderId="598" xfId="22" applyNumberFormat="1" applyFont="1" applyBorder="1" applyAlignment="1">
      <alignment vertical="center"/>
    </xf>
    <xf numFmtId="41" fontId="24" fillId="0" borderId="598" xfId="23" applyNumberFormat="1" applyFont="1" applyFill="1" applyBorder="1" applyAlignment="1">
      <alignment vertical="center"/>
    </xf>
    <xf numFmtId="41" fontId="24" fillId="0" borderId="597" xfId="21" applyNumberFormat="1" applyFont="1" applyBorder="1" applyAlignment="1">
      <alignment vertical="center"/>
    </xf>
    <xf numFmtId="41" fontId="24" fillId="0" borderId="598" xfId="24" applyNumberFormat="1" applyFont="1" applyBorder="1" applyAlignment="1">
      <alignment vertical="center"/>
    </xf>
    <xf numFmtId="0" fontId="23" fillId="0" borderId="607" xfId="3" applyFont="1" applyBorder="1" applyAlignment="1">
      <alignment vertical="center"/>
    </xf>
    <xf numFmtId="41" fontId="23" fillId="0" borderId="612" xfId="22" applyNumberFormat="1" applyFont="1" applyBorder="1" applyAlignment="1">
      <alignment vertical="center"/>
    </xf>
    <xf numFmtId="41" fontId="24" fillId="0" borderId="608" xfId="23" applyNumberFormat="1" applyFont="1" applyFill="1" applyBorder="1" applyAlignment="1">
      <alignment vertical="center"/>
    </xf>
    <xf numFmtId="41" fontId="24" fillId="0" borderId="611" xfId="21" applyNumberFormat="1" applyFont="1" applyBorder="1" applyAlignment="1">
      <alignment vertical="center"/>
    </xf>
    <xf numFmtId="41" fontId="24" fillId="0" borderId="609" xfId="4" applyNumberFormat="1" applyFont="1" applyBorder="1" applyAlignment="1">
      <alignment vertical="center"/>
    </xf>
    <xf numFmtId="41" fontId="24" fillId="0" borderId="608" xfId="4" applyNumberFormat="1" applyFont="1" applyBorder="1" applyAlignment="1">
      <alignment vertical="center"/>
    </xf>
    <xf numFmtId="41" fontId="24" fillId="0" borderId="607" xfId="4" applyNumberFormat="1" applyFont="1" applyBorder="1" applyAlignment="1">
      <alignment vertical="center"/>
    </xf>
    <xf numFmtId="41" fontId="24" fillId="0" borderId="610" xfId="4" applyNumberFormat="1" applyFont="1" applyBorder="1" applyAlignment="1">
      <alignment vertical="center"/>
    </xf>
    <xf numFmtId="41" fontId="24" fillId="0" borderId="613" xfId="24" applyNumberFormat="1" applyFont="1" applyBorder="1" applyAlignment="1">
      <alignment vertical="center"/>
    </xf>
    <xf numFmtId="0" fontId="24" fillId="0" borderId="551" xfId="3" applyFont="1" applyBorder="1" applyAlignment="1">
      <alignment horizontal="left" vertical="center" indent="1"/>
    </xf>
    <xf numFmtId="0" fontId="24" fillId="0" borderId="614" xfId="3" applyFont="1" applyBorder="1" applyAlignment="1">
      <alignment horizontal="left" vertical="center" indent="1"/>
    </xf>
    <xf numFmtId="165" fontId="23" fillId="0" borderId="615" xfId="22" applyNumberFormat="1" applyFont="1" applyBorder="1" applyAlignment="1">
      <alignment vertical="center"/>
    </xf>
    <xf numFmtId="165" fontId="24" fillId="0" borderId="616" xfId="23" applyNumberFormat="1" applyFont="1" applyFill="1" applyBorder="1" applyAlignment="1">
      <alignment vertical="center"/>
    </xf>
    <xf numFmtId="165" fontId="24" fillId="0" borderId="617" xfId="21" applyNumberFormat="1" applyFont="1" applyBorder="1" applyAlignment="1">
      <alignment vertical="center"/>
    </xf>
    <xf numFmtId="165" fontId="24" fillId="0" borderId="618" xfId="4" applyNumberFormat="1" applyFont="1" applyBorder="1" applyAlignment="1">
      <alignment vertical="center"/>
    </xf>
    <xf numFmtId="165" fontId="24" fillId="0" borderId="616" xfId="4" applyNumberFormat="1" applyFont="1" applyBorder="1" applyAlignment="1">
      <alignment vertical="center"/>
    </xf>
    <xf numFmtId="165" fontId="24" fillId="0" borderId="614" xfId="4" applyNumberFormat="1" applyFont="1" applyBorder="1" applyAlignment="1">
      <alignment vertical="center"/>
    </xf>
    <xf numFmtId="165" fontId="24" fillId="0" borderId="619" xfId="4" applyNumberFormat="1" applyFont="1" applyBorder="1" applyAlignment="1">
      <alignment vertical="center"/>
    </xf>
    <xf numFmtId="165" fontId="24" fillId="0" borderId="620" xfId="24" applyNumberFormat="1" applyFont="1" applyBorder="1" applyAlignment="1">
      <alignment vertical="center"/>
    </xf>
    <xf numFmtId="0" fontId="24" fillId="0" borderId="597" xfId="3" applyFont="1" applyBorder="1" applyAlignment="1">
      <alignment horizontal="left" vertical="center" indent="1"/>
    </xf>
    <xf numFmtId="165" fontId="23" fillId="0" borderId="598" xfId="22" applyNumberFormat="1" applyFont="1" applyBorder="1" applyAlignment="1">
      <alignment vertical="center"/>
    </xf>
    <xf numFmtId="165" fontId="24" fillId="0" borderId="598" xfId="23" applyNumberFormat="1" applyFont="1" applyFill="1" applyBorder="1" applyAlignment="1">
      <alignment vertical="center"/>
    </xf>
    <xf numFmtId="165" fontId="24" fillId="0" borderId="597" xfId="21" applyNumberFormat="1" applyFont="1" applyBorder="1" applyAlignment="1">
      <alignment vertical="center"/>
    </xf>
    <xf numFmtId="165" fontId="24" fillId="0" borderId="494" xfId="4" applyNumberFormat="1" applyFont="1" applyBorder="1" applyAlignment="1">
      <alignment vertical="center"/>
    </xf>
    <xf numFmtId="165" fontId="24" fillId="0" borderId="598" xfId="4" applyNumberFormat="1" applyFont="1" applyBorder="1" applyAlignment="1">
      <alignment vertical="center"/>
    </xf>
    <xf numFmtId="165" fontId="24" fillId="0" borderId="597" xfId="4" applyNumberFormat="1" applyFont="1" applyBorder="1" applyAlignment="1">
      <alignment vertical="center"/>
    </xf>
    <xf numFmtId="165" fontId="24" fillId="0" borderId="598" xfId="24" applyNumberFormat="1" applyFont="1" applyBorder="1" applyAlignment="1">
      <alignment vertical="center"/>
    </xf>
    <xf numFmtId="0" fontId="23" fillId="0" borderId="614" xfId="3" applyFont="1" applyBorder="1" applyAlignment="1">
      <alignment horizontal="left" vertical="center"/>
    </xf>
    <xf numFmtId="165" fontId="23" fillId="0" borderId="488" xfId="22" applyNumberFormat="1" applyFont="1" applyBorder="1" applyAlignment="1">
      <alignment vertical="center"/>
    </xf>
    <xf numFmtId="0" fontId="23" fillId="0" borderId="597" xfId="3" applyFont="1" applyBorder="1" applyAlignment="1">
      <alignment horizontal="left" vertical="center"/>
    </xf>
    <xf numFmtId="165" fontId="24" fillId="0" borderId="551" xfId="25" applyNumberFormat="1" applyFont="1" applyBorder="1" applyAlignment="1">
      <alignment vertical="center"/>
    </xf>
    <xf numFmtId="165" fontId="24" fillId="0" borderId="617" xfId="25" applyNumberFormat="1" applyFont="1" applyBorder="1" applyAlignment="1">
      <alignment vertical="center"/>
    </xf>
    <xf numFmtId="41" fontId="24" fillId="0" borderId="597" xfId="25" applyNumberFormat="1" applyFont="1" applyBorder="1" applyAlignment="1">
      <alignment vertical="center"/>
    </xf>
    <xf numFmtId="41" fontId="24" fillId="0" borderId="611" xfId="25" applyNumberFormat="1" applyFont="1" applyBorder="1" applyAlignment="1">
      <alignment vertical="center"/>
    </xf>
    <xf numFmtId="0" fontId="23" fillId="0" borderId="621" xfId="3" applyFont="1" applyBorder="1" applyAlignment="1">
      <alignment horizontal="left" vertical="center"/>
    </xf>
    <xf numFmtId="165" fontId="23" fillId="0" borderId="622" xfId="22" applyNumberFormat="1" applyFont="1" applyFill="1" applyBorder="1" applyAlignment="1">
      <alignment vertical="center"/>
    </xf>
    <xf numFmtId="165" fontId="24" fillId="0" borderId="623" xfId="23" applyNumberFormat="1" applyFont="1" applyFill="1" applyBorder="1" applyAlignment="1">
      <alignment vertical="center"/>
    </xf>
    <xf numFmtId="165" fontId="24" fillId="0" borderId="624" xfId="25" applyNumberFormat="1" applyFont="1" applyBorder="1" applyAlignment="1">
      <alignment vertical="center"/>
    </xf>
    <xf numFmtId="165" fontId="24" fillId="0" borderId="625" xfId="4" applyNumberFormat="1" applyFont="1" applyBorder="1" applyAlignment="1">
      <alignment vertical="center"/>
    </xf>
    <xf numFmtId="165" fontId="24" fillId="0" borderId="623" xfId="4" applyNumberFormat="1" applyFont="1" applyBorder="1" applyAlignment="1">
      <alignment vertical="center"/>
    </xf>
    <xf numFmtId="165" fontId="24" fillId="0" borderId="621" xfId="4" applyNumberFormat="1" applyFont="1" applyBorder="1" applyAlignment="1">
      <alignment vertical="center"/>
    </xf>
    <xf numFmtId="165" fontId="24" fillId="0" borderId="626" xfId="4" applyNumberFormat="1" applyFont="1" applyBorder="1" applyAlignment="1">
      <alignment vertical="center"/>
    </xf>
    <xf numFmtId="165" fontId="24" fillId="0" borderId="627" xfId="24" applyNumberFormat="1" applyFont="1" applyBorder="1" applyAlignment="1">
      <alignment vertical="center"/>
    </xf>
    <xf numFmtId="41" fontId="34" fillId="0" borderId="390" xfId="3" applyNumberFormat="1" applyFont="1" applyBorder="1" applyAlignment="1">
      <alignment vertical="center"/>
    </xf>
    <xf numFmtId="171" fontId="34" fillId="0" borderId="390" xfId="4" applyNumberFormat="1" applyFont="1" applyBorder="1" applyAlignment="1">
      <alignment vertical="center"/>
    </xf>
    <xf numFmtId="0" fontId="35" fillId="12" borderId="629" xfId="3" applyFont="1" applyFill="1" applyBorder="1" applyAlignment="1">
      <alignment vertical="center"/>
    </xf>
    <xf numFmtId="0" fontId="35" fillId="0" borderId="633" xfId="3" applyFont="1" applyBorder="1" applyAlignment="1">
      <alignment vertical="center"/>
    </xf>
    <xf numFmtId="41" fontId="23" fillId="0" borderId="634" xfId="3" applyNumberFormat="1" applyFont="1" applyBorder="1" applyAlignment="1">
      <alignment horizontal="right" vertical="center"/>
    </xf>
    <xf numFmtId="41" fontId="24" fillId="0" borderId="634" xfId="3" applyNumberFormat="1" applyFont="1" applyBorder="1" applyAlignment="1">
      <alignment horizontal="right" vertical="center"/>
    </xf>
    <xf numFmtId="41" fontId="24" fillId="0" borderId="394" xfId="4" applyNumberFormat="1" applyFont="1" applyBorder="1" applyAlignment="1">
      <alignment horizontal="right" vertical="center"/>
    </xf>
    <xf numFmtId="41" fontId="24" fillId="0" borderId="635" xfId="3" applyNumberFormat="1" applyFont="1" applyBorder="1" applyAlignment="1">
      <alignment horizontal="right" vertical="center"/>
    </xf>
    <xf numFmtId="41" fontId="24" fillId="0" borderId="634" xfId="4" applyNumberFormat="1" applyFont="1" applyBorder="1" applyAlignment="1">
      <alignment horizontal="right" vertical="center"/>
    </xf>
    <xf numFmtId="41" fontId="24" fillId="0" borderId="636" xfId="4" applyNumberFormat="1" applyFont="1" applyBorder="1" applyAlignment="1">
      <alignment horizontal="right" vertical="center"/>
    </xf>
    <xf numFmtId="41" fontId="24" fillId="0" borderId="636" xfId="3" applyNumberFormat="1" applyFont="1" applyBorder="1" applyAlignment="1">
      <alignment horizontal="right" vertical="center"/>
    </xf>
    <xf numFmtId="0" fontId="23" fillId="0" borderId="551" xfId="3" applyFont="1" applyBorder="1" applyAlignment="1">
      <alignment horizontal="left" vertical="center"/>
    </xf>
    <xf numFmtId="41" fontId="24" fillId="0" borderId="552" xfId="26" applyNumberFormat="1" applyFont="1" applyFill="1" applyBorder="1" applyAlignment="1">
      <alignment vertical="center"/>
    </xf>
    <xf numFmtId="0" fontId="24" fillId="0" borderId="555" xfId="3" applyFont="1" applyBorder="1" applyAlignment="1">
      <alignment horizontal="left" vertical="center" indent="1"/>
    </xf>
    <xf numFmtId="165" fontId="23" fillId="0" borderId="637" xfId="16" applyNumberFormat="1" applyFont="1" applyBorder="1" applyAlignment="1">
      <alignment vertical="center"/>
    </xf>
    <xf numFmtId="165" fontId="24" fillId="0" borderId="554" xfId="26" applyNumberFormat="1" applyFont="1" applyFill="1" applyBorder="1" applyAlignment="1">
      <alignment vertical="center"/>
    </xf>
    <xf numFmtId="165" fontId="24" fillId="0" borderId="258" xfId="24" applyNumberFormat="1" applyFont="1" applyBorder="1" applyAlignment="1">
      <alignment vertical="center"/>
    </xf>
    <xf numFmtId="165" fontId="24" fillId="0" borderId="554" xfId="4" applyNumberFormat="1" applyFont="1" applyFill="1" applyBorder="1" applyAlignment="1">
      <alignment vertical="center"/>
    </xf>
    <xf numFmtId="165" fontId="24" fillId="0" borderId="638" xfId="27" applyNumberFormat="1" applyFont="1" applyBorder="1" applyAlignment="1">
      <alignment vertical="center"/>
    </xf>
    <xf numFmtId="0" fontId="24" fillId="0" borderId="639" xfId="3" applyFont="1" applyBorder="1" applyAlignment="1">
      <alignment horizontal="left" vertical="center" indent="1"/>
    </xf>
    <xf numFmtId="165" fontId="16" fillId="0" borderId="258" xfId="24" applyNumberFormat="1" applyFont="1" applyFill="1" applyBorder="1" applyAlignment="1">
      <alignment vertical="center"/>
    </xf>
    <xf numFmtId="0" fontId="23" fillId="0" borderId="555" xfId="3" applyFont="1" applyBorder="1" applyAlignment="1">
      <alignment horizontal="left" vertical="center"/>
    </xf>
    <xf numFmtId="0" fontId="24" fillId="0" borderId="555" xfId="3" applyFont="1" applyBorder="1" applyAlignment="1">
      <alignment horizontal="left" vertical="center"/>
    </xf>
    <xf numFmtId="165" fontId="23" fillId="0" borderId="638" xfId="3" applyNumberFormat="1" applyFont="1" applyBorder="1" applyAlignment="1">
      <alignment vertical="center"/>
    </xf>
    <xf numFmtId="0" fontId="23" fillId="0" borderId="555" xfId="3" applyFont="1" applyBorder="1" applyAlignment="1">
      <alignment vertical="center"/>
    </xf>
    <xf numFmtId="0" fontId="24" fillId="0" borderId="597" xfId="3" applyFont="1" applyBorder="1" applyAlignment="1">
      <alignment horizontal="left" vertical="center"/>
    </xf>
    <xf numFmtId="41" fontId="23" fillId="0" borderId="598" xfId="3" applyNumberFormat="1" applyFont="1" applyBorder="1" applyAlignment="1">
      <alignment vertical="center"/>
    </xf>
    <xf numFmtId="41" fontId="24" fillId="0" borderId="598" xfId="26" applyNumberFormat="1" applyFont="1" applyFill="1" applyBorder="1" applyAlignment="1">
      <alignment vertical="center"/>
    </xf>
    <xf numFmtId="41" fontId="24" fillId="0" borderId="597" xfId="3" applyNumberFormat="1" applyFont="1" applyBorder="1" applyAlignment="1">
      <alignment vertical="center"/>
    </xf>
    <xf numFmtId="41" fontId="24" fillId="0" borderId="598" xfId="27" applyNumberFormat="1" applyFont="1" applyBorder="1" applyAlignment="1">
      <alignment vertical="center"/>
    </xf>
    <xf numFmtId="0" fontId="23" fillId="0" borderId="629" xfId="3" applyFont="1" applyBorder="1" applyAlignment="1">
      <alignment horizontal="left" vertical="center"/>
    </xf>
    <xf numFmtId="41" fontId="23" fillId="0" borderId="544" xfId="3" applyNumberFormat="1" applyFont="1" applyBorder="1" applyAlignment="1">
      <alignment vertical="center"/>
    </xf>
    <xf numFmtId="41" fontId="24" fillId="0" borderId="630" xfId="26" applyNumberFormat="1" applyFont="1" applyFill="1" applyBorder="1" applyAlignment="1">
      <alignment vertical="center"/>
    </xf>
    <xf numFmtId="41" fontId="24" fillId="0" borderId="394" xfId="4" applyNumberFormat="1" applyFont="1" applyBorder="1" applyAlignment="1">
      <alignment vertical="center"/>
    </xf>
    <xf numFmtId="41" fontId="24" fillId="0" borderId="631" xfId="4" applyNumberFormat="1" applyFont="1" applyBorder="1" applyAlignment="1">
      <alignment vertical="center"/>
    </xf>
    <xf numFmtId="41" fontId="24" fillId="0" borderId="630" xfId="4" applyNumberFormat="1" applyFont="1" applyBorder="1" applyAlignment="1">
      <alignment vertical="center"/>
    </xf>
    <xf numFmtId="41" fontId="24" fillId="0" borderId="632" xfId="4" applyNumberFormat="1" applyFont="1" applyBorder="1" applyAlignment="1">
      <alignment vertical="center"/>
    </xf>
    <xf numFmtId="41" fontId="24" fillId="0" borderId="544" xfId="27" applyNumberFormat="1" applyFont="1" applyBorder="1" applyAlignment="1">
      <alignment vertical="center"/>
    </xf>
    <xf numFmtId="165" fontId="23" fillId="0" borderId="552" xfId="3" applyNumberFormat="1" applyFont="1" applyBorder="1" applyAlignment="1">
      <alignment vertical="center"/>
    </xf>
    <xf numFmtId="165" fontId="24" fillId="0" borderId="552" xfId="26" applyNumberFormat="1" applyFont="1" applyFill="1" applyBorder="1" applyAlignment="1">
      <alignment vertical="center"/>
    </xf>
    <xf numFmtId="165" fontId="24" fillId="0" borderId="552" xfId="27" applyNumberFormat="1" applyFont="1" applyBorder="1" applyAlignment="1">
      <alignment vertical="center"/>
    </xf>
    <xf numFmtId="165" fontId="24" fillId="0" borderId="258" xfId="21" applyNumberFormat="1" applyFont="1" applyBorder="1" applyAlignment="1">
      <alignment vertical="center"/>
    </xf>
    <xf numFmtId="165" fontId="24" fillId="0" borderId="638" xfId="3" applyNumberFormat="1" applyFont="1" applyBorder="1" applyAlignment="1">
      <alignment vertical="center"/>
    </xf>
    <xf numFmtId="0" fontId="23" fillId="0" borderId="555" xfId="3" applyFont="1" applyBorder="1" applyAlignment="1">
      <alignment horizontal="left" vertical="center" indent="1"/>
    </xf>
    <xf numFmtId="0" fontId="24" fillId="0" borderId="555" xfId="3" applyFont="1" applyBorder="1" applyAlignment="1">
      <alignment horizontal="left" vertical="center" indent="2"/>
    </xf>
    <xf numFmtId="165" fontId="16" fillId="0" borderId="258" xfId="21" applyNumberFormat="1" applyFont="1" applyFill="1" applyBorder="1" applyAlignment="1">
      <alignment vertical="center"/>
    </xf>
    <xf numFmtId="41" fontId="24" fillId="0" borderId="544" xfId="3" applyNumberFormat="1" applyFont="1" applyBorder="1" applyAlignment="1">
      <alignment vertical="center"/>
    </xf>
    <xf numFmtId="165" fontId="24" fillId="0" borderId="551" xfId="4" applyNumberFormat="1" applyFont="1" applyFill="1" applyBorder="1" applyAlignment="1">
      <alignment vertical="center"/>
    </xf>
    <xf numFmtId="165" fontId="16" fillId="0" borderId="258" xfId="25" applyNumberFormat="1" applyFont="1" applyFill="1" applyBorder="1" applyAlignment="1">
      <alignment vertical="center"/>
    </xf>
    <xf numFmtId="165" fontId="24" fillId="0" borderId="258" xfId="25" applyNumberFormat="1" applyFont="1" applyBorder="1" applyAlignment="1">
      <alignment vertical="center"/>
    </xf>
    <xf numFmtId="165" fontId="23" fillId="0" borderId="488" xfId="3" applyNumberFormat="1" applyFont="1" applyBorder="1" applyAlignment="1">
      <alignment vertical="center"/>
    </xf>
    <xf numFmtId="0" fontId="23" fillId="0" borderId="640" xfId="3" applyFont="1" applyBorder="1" applyAlignment="1">
      <alignment vertical="center"/>
    </xf>
    <xf numFmtId="165" fontId="23" fillId="0" borderId="641" xfId="3" applyNumberFormat="1" applyFont="1" applyBorder="1" applyAlignment="1">
      <alignment vertical="center"/>
    </xf>
    <xf numFmtId="165" fontId="24" fillId="0" borderId="642" xfId="26" applyNumberFormat="1" applyFont="1" applyFill="1" applyBorder="1" applyAlignment="1">
      <alignment vertical="center"/>
    </xf>
    <xf numFmtId="165" fontId="24" fillId="0" borderId="597" xfId="25" applyNumberFormat="1" applyFont="1" applyBorder="1" applyAlignment="1">
      <alignment vertical="center"/>
    </xf>
    <xf numFmtId="165" fontId="24" fillId="0" borderId="643" xfId="4" applyNumberFormat="1" applyFont="1" applyBorder="1" applyAlignment="1">
      <alignment vertical="center"/>
    </xf>
    <xf numFmtId="165" fontId="24" fillId="0" borderId="642" xfId="4" applyNumberFormat="1" applyFont="1" applyBorder="1" applyAlignment="1">
      <alignment vertical="center"/>
    </xf>
    <xf numFmtId="165" fontId="24" fillId="0" borderId="644" xfId="4" applyNumberFormat="1" applyFont="1" applyBorder="1" applyAlignment="1">
      <alignment vertical="center"/>
    </xf>
    <xf numFmtId="165" fontId="24" fillId="0" borderId="641" xfId="27" applyNumberFormat="1" applyFont="1" applyBorder="1" applyAlignment="1">
      <alignment vertical="center"/>
    </xf>
    <xf numFmtId="0" fontId="29" fillId="0" borderId="390" xfId="3" applyFont="1" applyBorder="1" applyAlignment="1">
      <alignment vertical="center"/>
    </xf>
    <xf numFmtId="41" fontId="29" fillId="0" borderId="390" xfId="4" applyNumberFormat="1" applyFont="1" applyBorder="1" applyAlignment="1">
      <alignment vertical="center"/>
    </xf>
    <xf numFmtId="0" fontId="14" fillId="0" borderId="646" xfId="3" applyFont="1" applyBorder="1" applyAlignment="1">
      <alignment vertical="center"/>
    </xf>
    <xf numFmtId="0" fontId="28" fillId="0" borderId="646" xfId="3" applyFont="1" applyBorder="1"/>
    <xf numFmtId="41" fontId="26" fillId="0" borderId="649" xfId="3" applyNumberFormat="1" applyFont="1" applyBorder="1" applyAlignment="1">
      <alignment vertical="center" wrapText="1"/>
    </xf>
    <xf numFmtId="41" fontId="26" fillId="0" borderId="650" xfId="3" applyNumberFormat="1" applyFont="1" applyBorder="1" applyAlignment="1">
      <alignment horizontal="center" vertical="center" wrapText="1"/>
    </xf>
    <xf numFmtId="41" fontId="26" fillId="0" borderId="651" xfId="3" applyNumberFormat="1" applyFont="1" applyBorder="1" applyAlignment="1">
      <alignment vertical="center" wrapText="1"/>
    </xf>
    <xf numFmtId="41" fontId="25" fillId="0" borderId="649" xfId="3" applyNumberFormat="1" applyFont="1" applyBorder="1" applyAlignment="1">
      <alignment vertical="center" wrapText="1"/>
    </xf>
    <xf numFmtId="41" fontId="25" fillId="0" borderId="650" xfId="3" applyNumberFormat="1" applyFont="1" applyBorder="1" applyAlignment="1">
      <alignment horizontal="center" vertical="center" wrapText="1"/>
    </xf>
    <xf numFmtId="41" fontId="25" fillId="0" borderId="651" xfId="3" applyNumberFormat="1" applyFont="1" applyBorder="1" applyAlignment="1">
      <alignment vertical="center" wrapText="1"/>
    </xf>
    <xf numFmtId="41" fontId="25" fillId="0" borderId="652" xfId="3" applyNumberFormat="1" applyFont="1" applyBorder="1" applyAlignment="1">
      <alignment horizontal="center" vertical="center" wrapText="1"/>
    </xf>
    <xf numFmtId="41" fontId="25" fillId="0" borderId="653" xfId="3" applyNumberFormat="1" applyFont="1" applyBorder="1" applyAlignment="1">
      <alignment vertical="center" wrapText="1"/>
    </xf>
    <xf numFmtId="0" fontId="35" fillId="0" borderId="646" xfId="3" applyFont="1" applyBorder="1" applyAlignment="1">
      <alignment vertical="center"/>
    </xf>
    <xf numFmtId="41" fontId="23" fillId="0" borderId="649" xfId="3" applyNumberFormat="1" applyFont="1" applyBorder="1" applyAlignment="1">
      <alignment horizontal="center" vertical="center"/>
    </xf>
    <xf numFmtId="41" fontId="23" fillId="0" borderId="650" xfId="3" applyNumberFormat="1" applyFont="1" applyBorder="1" applyAlignment="1">
      <alignment horizontal="center" vertical="center"/>
    </xf>
    <xf numFmtId="41" fontId="23" fillId="0" borderId="651" xfId="3" applyNumberFormat="1" applyFont="1" applyBorder="1" applyAlignment="1">
      <alignment horizontal="center" vertical="center"/>
    </xf>
    <xf numFmtId="41" fontId="24" fillId="0" borderId="649" xfId="3" applyNumberFormat="1" applyFont="1" applyBorder="1" applyAlignment="1">
      <alignment horizontal="center" vertical="center"/>
    </xf>
    <xf numFmtId="41" fontId="24" fillId="0" borderId="650" xfId="3" applyNumberFormat="1" applyFont="1" applyBorder="1" applyAlignment="1">
      <alignment horizontal="center" vertical="center"/>
    </xf>
    <xf numFmtId="41" fontId="24" fillId="0" borderId="651" xfId="3" applyNumberFormat="1" applyFont="1" applyBorder="1" applyAlignment="1">
      <alignment horizontal="center" vertical="center"/>
    </xf>
    <xf numFmtId="41" fontId="24" fillId="0" borderId="652" xfId="3" applyNumberFormat="1" applyFont="1" applyBorder="1" applyAlignment="1">
      <alignment horizontal="center" vertical="center"/>
    </xf>
    <xf numFmtId="41" fontId="24" fillId="0" borderId="653" xfId="3" applyNumberFormat="1" applyFont="1" applyBorder="1" applyAlignment="1">
      <alignment horizontal="center" vertical="center"/>
    </xf>
    <xf numFmtId="165" fontId="23" fillId="0" borderId="654" xfId="28" applyNumberFormat="1" applyFont="1" applyFill="1" applyBorder="1" applyAlignment="1">
      <alignment vertical="center"/>
    </xf>
    <xf numFmtId="165" fontId="23" fillId="0" borderId="655" xfId="28" applyNumberFormat="1" applyFont="1" applyFill="1" applyBorder="1" applyAlignment="1">
      <alignment vertical="center"/>
    </xf>
    <xf numFmtId="165" fontId="23" fillId="0" borderId="656" xfId="28" applyNumberFormat="1" applyFont="1" applyFill="1" applyBorder="1" applyAlignment="1">
      <alignment vertical="center"/>
    </xf>
    <xf numFmtId="165" fontId="24" fillId="0" borderId="654" xfId="4" applyNumberFormat="1" applyFont="1" applyBorder="1" applyAlignment="1">
      <alignment vertical="center"/>
    </xf>
    <xf numFmtId="165" fontId="24" fillId="0" borderId="655" xfId="4" applyNumberFormat="1" applyFont="1" applyBorder="1" applyAlignment="1">
      <alignment vertical="center"/>
    </xf>
    <xf numFmtId="165" fontId="24" fillId="0" borderId="656" xfId="4" applyNumberFormat="1" applyFont="1" applyBorder="1" applyAlignment="1">
      <alignment vertical="center"/>
    </xf>
    <xf numFmtId="165" fontId="24" fillId="0" borderId="35" xfId="29" applyNumberFormat="1" applyFont="1" applyBorder="1" applyAlignment="1">
      <alignment vertical="center"/>
    </xf>
    <xf numFmtId="165" fontId="24" fillId="0" borderId="657" xfId="29" applyNumberFormat="1" applyFont="1" applyBorder="1" applyAlignment="1">
      <alignment vertical="center"/>
    </xf>
    <xf numFmtId="165" fontId="24" fillId="0" borderId="36" xfId="29" applyNumberFormat="1" applyFont="1" applyBorder="1" applyAlignment="1">
      <alignment vertical="center"/>
    </xf>
    <xf numFmtId="165" fontId="24" fillId="0" borderId="658" xfId="4" applyNumberFormat="1" applyFont="1" applyFill="1" applyBorder="1" applyAlignment="1">
      <alignment vertical="center"/>
    </xf>
    <xf numFmtId="165" fontId="24" fillId="0" borderId="655" xfId="4" applyNumberFormat="1" applyFont="1" applyFill="1" applyBorder="1" applyAlignment="1">
      <alignment vertical="center"/>
    </xf>
    <xf numFmtId="165" fontId="24" fillId="0" borderId="659" xfId="4" applyNumberFormat="1" applyFont="1" applyFill="1" applyBorder="1" applyAlignment="1">
      <alignment vertical="center"/>
    </xf>
    <xf numFmtId="0" fontId="24" fillId="0" borderId="660" xfId="3" applyFont="1" applyBorder="1" applyAlignment="1">
      <alignment horizontal="left" vertical="center" indent="2"/>
    </xf>
    <xf numFmtId="165" fontId="23" fillId="0" borderId="661" xfId="28" applyNumberFormat="1" applyFont="1" applyFill="1" applyBorder="1" applyAlignment="1">
      <alignment vertical="center"/>
    </xf>
    <xf numFmtId="165" fontId="23" fillId="0" borderId="662" xfId="28" applyNumberFormat="1" applyFont="1" applyFill="1" applyBorder="1" applyAlignment="1">
      <alignment vertical="center"/>
    </xf>
    <xf numFmtId="165" fontId="23" fillId="0" borderId="663" xfId="28" applyNumberFormat="1" applyFont="1" applyFill="1" applyBorder="1" applyAlignment="1">
      <alignment vertical="center"/>
    </xf>
    <xf numFmtId="165" fontId="24" fillId="0" borderId="661" xfId="4" applyNumberFormat="1" applyFont="1" applyBorder="1" applyAlignment="1">
      <alignment vertical="center"/>
    </xf>
    <xf numFmtId="165" fontId="24" fillId="0" borderId="662" xfId="4" applyNumberFormat="1" applyFont="1" applyBorder="1" applyAlignment="1">
      <alignment vertical="center"/>
    </xf>
    <xf numFmtId="165" fontId="24" fillId="0" borderId="663" xfId="4" applyNumberFormat="1" applyFont="1" applyBorder="1" applyAlignment="1">
      <alignment vertical="center"/>
    </xf>
    <xf numFmtId="165" fontId="24" fillId="0" borderId="40" xfId="29" applyNumberFormat="1" applyFont="1" applyBorder="1" applyAlignment="1">
      <alignment vertical="center"/>
    </xf>
    <xf numFmtId="165" fontId="24" fillId="0" borderId="664" xfId="29" applyNumberFormat="1" applyFont="1" applyBorder="1" applyAlignment="1">
      <alignment vertical="center"/>
    </xf>
    <xf numFmtId="165" fontId="24" fillId="0" borderId="41" xfId="29" applyNumberFormat="1" applyFont="1" applyBorder="1" applyAlignment="1">
      <alignment vertical="center"/>
    </xf>
    <xf numFmtId="165" fontId="24" fillId="0" borderId="40" xfId="4" applyNumberFormat="1" applyFont="1" applyFill="1" applyBorder="1" applyAlignment="1">
      <alignment vertical="center"/>
    </xf>
    <xf numFmtId="165" fontId="24" fillId="0" borderId="662" xfId="4" applyNumberFormat="1" applyFont="1" applyFill="1" applyBorder="1" applyAlignment="1">
      <alignment vertical="center"/>
    </xf>
    <xf numFmtId="165" fontId="24" fillId="0" borderId="665" xfId="4" applyNumberFormat="1" applyFont="1" applyFill="1" applyBorder="1" applyAlignment="1">
      <alignment vertical="center"/>
    </xf>
    <xf numFmtId="0" fontId="23" fillId="0" borderId="660" xfId="3" applyFont="1" applyBorder="1" applyAlignment="1">
      <alignment horizontal="left" vertical="center" indent="1"/>
    </xf>
    <xf numFmtId="41" fontId="23" fillId="0" borderId="661" xfId="28" applyNumberFormat="1" applyFont="1" applyFill="1" applyBorder="1" applyAlignment="1">
      <alignment vertical="center"/>
    </xf>
    <xf numFmtId="41" fontId="23" fillId="0" borderId="662" xfId="28" applyNumberFormat="1" applyFont="1" applyFill="1" applyBorder="1" applyAlignment="1">
      <alignment vertical="center"/>
    </xf>
    <xf numFmtId="41" fontId="23" fillId="0" borderId="663" xfId="28" applyNumberFormat="1" applyFont="1" applyFill="1" applyBorder="1" applyAlignment="1">
      <alignment vertical="center"/>
    </xf>
    <xf numFmtId="41" fontId="24" fillId="0" borderId="661" xfId="4" applyNumberFormat="1" applyFont="1" applyBorder="1" applyAlignment="1">
      <alignment vertical="center"/>
    </xf>
    <xf numFmtId="41" fontId="24" fillId="0" borderId="662" xfId="4" applyNumberFormat="1" applyFont="1" applyBorder="1" applyAlignment="1">
      <alignment vertical="center"/>
    </xf>
    <xf numFmtId="41" fontId="24" fillId="0" borderId="663" xfId="4" applyNumberFormat="1" applyFont="1" applyBorder="1" applyAlignment="1">
      <alignment vertical="center"/>
    </xf>
    <xf numFmtId="41" fontId="24" fillId="0" borderId="40" xfId="29" applyNumberFormat="1" applyFont="1" applyBorder="1" applyAlignment="1">
      <alignment vertical="center"/>
    </xf>
    <xf numFmtId="41" fontId="24" fillId="0" borderId="664" xfId="29" applyNumberFormat="1" applyFont="1" applyBorder="1" applyAlignment="1">
      <alignment vertical="center"/>
    </xf>
    <xf numFmtId="41" fontId="24" fillId="0" borderId="41" xfId="29" applyNumberFormat="1" applyFont="1" applyBorder="1" applyAlignment="1">
      <alignment vertical="center"/>
    </xf>
    <xf numFmtId="41" fontId="24" fillId="0" borderId="40" xfId="4" applyNumberFormat="1" applyFont="1" applyFill="1" applyBorder="1" applyAlignment="1">
      <alignment vertical="center"/>
    </xf>
    <xf numFmtId="41" fontId="24" fillId="0" borderId="662" xfId="4" applyNumberFormat="1" applyFont="1" applyFill="1" applyBorder="1" applyAlignment="1">
      <alignment vertical="center"/>
    </xf>
    <xf numFmtId="41" fontId="24" fillId="0" borderId="665" xfId="4" applyNumberFormat="1" applyFont="1" applyFill="1" applyBorder="1" applyAlignment="1">
      <alignment vertical="center"/>
    </xf>
    <xf numFmtId="0" fontId="24" fillId="0" borderId="660" xfId="3" applyFont="1" applyBorder="1" applyAlignment="1">
      <alignment horizontal="left" vertical="center" indent="3"/>
    </xf>
    <xf numFmtId="165" fontId="23" fillId="0" borderId="661" xfId="4" applyNumberFormat="1" applyFont="1" applyBorder="1" applyAlignment="1">
      <alignment vertical="center"/>
    </xf>
    <xf numFmtId="165" fontId="23" fillId="0" borderId="662" xfId="4" applyNumberFormat="1" applyFont="1" applyBorder="1" applyAlignment="1">
      <alignment vertical="center"/>
    </xf>
    <xf numFmtId="165" fontId="23" fillId="0" borderId="663" xfId="4" applyNumberFormat="1" applyFont="1" applyBorder="1" applyAlignment="1">
      <alignment vertical="center"/>
    </xf>
    <xf numFmtId="0" fontId="23" fillId="0" borderId="597" xfId="3" applyFont="1" applyBorder="1" applyAlignment="1">
      <alignment horizontal="left" vertical="center" indent="1"/>
    </xf>
    <xf numFmtId="41" fontId="23" fillId="0" borderId="666" xfId="28" applyNumberFormat="1" applyFont="1" applyFill="1" applyBorder="1" applyAlignment="1">
      <alignment vertical="center"/>
    </xf>
    <xf numFmtId="41" fontId="23" fillId="0" borderId="667" xfId="28" applyNumberFormat="1" applyFont="1" applyFill="1" applyBorder="1" applyAlignment="1">
      <alignment vertical="center"/>
    </xf>
    <xf numFmtId="41" fontId="23" fillId="0" borderId="668" xfId="28" applyNumberFormat="1" applyFont="1" applyFill="1" applyBorder="1" applyAlignment="1">
      <alignment vertical="center"/>
    </xf>
    <xf numFmtId="41" fontId="24" fillId="0" borderId="666" xfId="4" applyNumberFormat="1" applyFont="1" applyBorder="1" applyAlignment="1">
      <alignment vertical="center"/>
    </xf>
    <xf numFmtId="41" fontId="24" fillId="0" borderId="667" xfId="4" applyNumberFormat="1" applyFont="1" applyBorder="1" applyAlignment="1">
      <alignment vertical="center"/>
    </xf>
    <xf numFmtId="41" fontId="24" fillId="0" borderId="668" xfId="4" applyNumberFormat="1" applyFont="1" applyBorder="1" applyAlignment="1">
      <alignment vertical="center"/>
    </xf>
    <xf numFmtId="41" fontId="24" fillId="0" borderId="45" xfId="29" applyNumberFormat="1" applyFont="1" applyBorder="1" applyAlignment="1">
      <alignment vertical="center"/>
    </xf>
    <xf numFmtId="41" fontId="24" fillId="0" borderId="669" xfId="29" applyNumberFormat="1" applyFont="1" applyBorder="1" applyAlignment="1">
      <alignment vertical="center"/>
    </xf>
    <xf numFmtId="41" fontId="24" fillId="0" borderId="46" xfId="29" applyNumberFormat="1" applyFont="1" applyBorder="1" applyAlignment="1">
      <alignment vertical="center"/>
    </xf>
    <xf numFmtId="41" fontId="24" fillId="0" borderId="670" xfId="4" applyNumberFormat="1" applyFont="1" applyFill="1" applyBorder="1" applyAlignment="1">
      <alignment vertical="center"/>
    </xf>
    <xf numFmtId="41" fontId="24" fillId="0" borderId="667" xfId="4" applyNumberFormat="1" applyFont="1" applyFill="1" applyBorder="1" applyAlignment="1">
      <alignment vertical="center"/>
    </xf>
    <xf numFmtId="41" fontId="24" fillId="0" borderId="671" xfId="4" applyNumberFormat="1" applyFont="1" applyFill="1" applyBorder="1" applyAlignment="1">
      <alignment vertical="center"/>
    </xf>
    <xf numFmtId="0" fontId="23" fillId="0" borderId="672" xfId="3" applyFont="1" applyBorder="1" applyAlignment="1">
      <alignment horizontal="left" vertical="center" wrapText="1"/>
    </xf>
    <xf numFmtId="165" fontId="23" fillId="0" borderId="649" xfId="28" applyNumberFormat="1" applyFont="1" applyFill="1" applyBorder="1" applyAlignment="1">
      <alignment vertical="center"/>
    </xf>
    <xf numFmtId="165" fontId="23" fillId="0" borderId="673" xfId="28" applyNumberFormat="1" applyFont="1" applyFill="1" applyBorder="1" applyAlignment="1">
      <alignment vertical="center"/>
    </xf>
    <xf numFmtId="165" fontId="23" fillId="0" borderId="651" xfId="28" applyNumberFormat="1" applyFont="1" applyFill="1" applyBorder="1" applyAlignment="1">
      <alignment vertical="center"/>
    </xf>
    <xf numFmtId="165" fontId="24" fillId="0" borderId="649" xfId="4" applyNumberFormat="1" applyFont="1" applyBorder="1" applyAlignment="1">
      <alignment vertical="center"/>
    </xf>
    <xf numFmtId="165" fontId="24" fillId="0" borderId="673" xfId="4" applyNumberFormat="1" applyFont="1" applyBorder="1" applyAlignment="1">
      <alignment vertical="center"/>
    </xf>
    <xf numFmtId="165" fontId="24" fillId="0" borderId="651" xfId="4" applyNumberFormat="1" applyFont="1" applyBorder="1" applyAlignment="1">
      <alignment vertical="center"/>
    </xf>
    <xf numFmtId="165" fontId="24" fillId="0" borderId="29" xfId="29" applyNumberFormat="1" applyFont="1" applyBorder="1" applyAlignment="1">
      <alignment vertical="center"/>
    </xf>
    <xf numFmtId="165" fontId="24" fillId="0" borderId="674" xfId="29" applyNumberFormat="1" applyFont="1" applyBorder="1" applyAlignment="1">
      <alignment vertical="center"/>
    </xf>
    <xf numFmtId="165" fontId="24" fillId="0" borderId="30" xfId="29" applyNumberFormat="1" applyFont="1" applyBorder="1" applyAlignment="1">
      <alignment vertical="center"/>
    </xf>
    <xf numFmtId="165" fontId="24" fillId="0" borderId="675" xfId="4" applyNumberFormat="1" applyFont="1" applyFill="1" applyBorder="1" applyAlignment="1">
      <alignment vertical="center"/>
    </xf>
    <xf numFmtId="165" fontId="24" fillId="0" borderId="673" xfId="4" applyNumberFormat="1" applyFont="1" applyFill="1" applyBorder="1" applyAlignment="1">
      <alignment vertical="center"/>
    </xf>
    <xf numFmtId="165" fontId="24" fillId="0" borderId="653" xfId="4" applyNumberFormat="1" applyFont="1" applyFill="1" applyBorder="1" applyAlignment="1">
      <alignment vertical="center"/>
    </xf>
    <xf numFmtId="41" fontId="34" fillId="0" borderId="390" xfId="4" applyNumberFormat="1" applyFont="1" applyBorder="1" applyAlignment="1">
      <alignment vertical="center"/>
    </xf>
    <xf numFmtId="41" fontId="34" fillId="0" borderId="50" xfId="4" applyNumberFormat="1" applyFont="1" applyBorder="1" applyAlignment="1">
      <alignment vertical="center"/>
    </xf>
    <xf numFmtId="0" fontId="30" fillId="0" borderId="0" xfId="3" quotePrefix="1" applyFont="1" applyAlignment="1">
      <alignment horizontal="left" vertical="center"/>
    </xf>
    <xf numFmtId="0" fontId="30" fillId="0" borderId="0" xfId="3" applyFont="1" applyAlignment="1">
      <alignment horizontal="left" vertical="center" wrapText="1"/>
    </xf>
    <xf numFmtId="0" fontId="23" fillId="0" borderId="394" xfId="3" quotePrefix="1" applyFont="1" applyBorder="1" applyAlignment="1">
      <alignment vertical="center"/>
    </xf>
    <xf numFmtId="0" fontId="23" fillId="0" borderId="677" xfId="3" applyFont="1" applyBorder="1" applyAlignment="1">
      <alignment horizontal="centerContinuous" vertical="center"/>
    </xf>
    <xf numFmtId="0" fontId="23" fillId="0" borderId="678" xfId="3" applyFont="1" applyBorder="1" applyAlignment="1">
      <alignment horizontal="centerContinuous" vertical="center"/>
    </xf>
    <xf numFmtId="0" fontId="23" fillId="0" borderId="679" xfId="3" applyFont="1" applyBorder="1" applyAlignment="1">
      <alignment horizontal="centerContinuous" vertical="center"/>
    </xf>
    <xf numFmtId="0" fontId="24" fillId="0" borderId="677" xfId="3" applyFont="1" applyBorder="1" applyAlignment="1">
      <alignment horizontal="centerContinuous" vertical="center"/>
    </xf>
    <xf numFmtId="0" fontId="24" fillId="0" borderId="678" xfId="3" applyFont="1" applyBorder="1" applyAlignment="1">
      <alignment horizontal="centerContinuous" vertical="center"/>
    </xf>
    <xf numFmtId="0" fontId="24" fillId="0" borderId="679" xfId="3" applyFont="1" applyBorder="1" applyAlignment="1">
      <alignment horizontal="centerContinuous" vertical="center"/>
    </xf>
    <xf numFmtId="0" fontId="51" fillId="0" borderId="680" xfId="3" quotePrefix="1" applyFont="1" applyBorder="1" applyAlignment="1">
      <alignment vertical="center"/>
    </xf>
    <xf numFmtId="0" fontId="23" fillId="0" borderId="681" xfId="3" applyFont="1" applyBorder="1" applyAlignment="1">
      <alignment horizontal="center" vertical="center"/>
    </xf>
    <xf numFmtId="0" fontId="23" fillId="0" borderId="682" xfId="3" applyFont="1" applyBorder="1" applyAlignment="1">
      <alignment horizontal="center" vertical="center"/>
    </xf>
    <xf numFmtId="0" fontId="23" fillId="0" borderId="683" xfId="4" applyNumberFormat="1" applyFont="1" applyFill="1" applyBorder="1" applyAlignment="1">
      <alignment horizontal="center" vertical="center"/>
    </xf>
    <xf numFmtId="0" fontId="24" fillId="0" borderId="681" xfId="3" applyFont="1" applyBorder="1" applyAlignment="1">
      <alignment horizontal="center" vertical="center"/>
    </xf>
    <xf numFmtId="0" fontId="24" fillId="0" borderId="682" xfId="3" applyFont="1" applyBorder="1" applyAlignment="1">
      <alignment horizontal="center" vertical="center"/>
    </xf>
    <xf numFmtId="0" fontId="24" fillId="0" borderId="683" xfId="4" applyNumberFormat="1" applyFont="1" applyBorder="1" applyAlignment="1">
      <alignment horizontal="center" vertical="center"/>
    </xf>
    <xf numFmtId="0" fontId="24" fillId="0" borderId="684" xfId="4" applyNumberFormat="1" applyFont="1" applyFill="1" applyBorder="1" applyAlignment="1">
      <alignment horizontal="center" vertical="center"/>
    </xf>
    <xf numFmtId="0" fontId="51" fillId="0" borderId="685" xfId="3" quotePrefix="1" applyFont="1" applyBorder="1" applyAlignment="1">
      <alignment vertical="center"/>
    </xf>
    <xf numFmtId="0" fontId="23" fillId="0" borderId="686" xfId="3" applyFont="1" applyBorder="1" applyAlignment="1">
      <alignment horizontal="center" vertical="center"/>
    </xf>
    <xf numFmtId="0" fontId="23" fillId="0" borderId="687" xfId="3" applyFont="1" applyBorder="1" applyAlignment="1">
      <alignment horizontal="center" vertical="center"/>
    </xf>
    <xf numFmtId="0" fontId="23" fillId="0" borderId="688" xfId="4" applyNumberFormat="1" applyFont="1" applyFill="1" applyBorder="1" applyAlignment="1">
      <alignment horizontal="center" vertical="center"/>
    </xf>
    <xf numFmtId="0" fontId="24" fillId="0" borderId="686" xfId="3" applyFont="1" applyBorder="1" applyAlignment="1">
      <alignment horizontal="center" vertical="center"/>
    </xf>
    <xf numFmtId="0" fontId="24" fillId="0" borderId="687" xfId="3" applyFont="1" applyBorder="1" applyAlignment="1">
      <alignment horizontal="center" vertical="center"/>
    </xf>
    <xf numFmtId="0" fontId="24" fillId="0" borderId="688" xfId="4" applyNumberFormat="1" applyFont="1" applyBorder="1" applyAlignment="1">
      <alignment horizontal="center" vertical="center"/>
    </xf>
    <xf numFmtId="0" fontId="24" fillId="0" borderId="689" xfId="4" applyNumberFormat="1" applyFont="1" applyFill="1" applyBorder="1" applyAlignment="1">
      <alignment horizontal="center" vertical="center"/>
    </xf>
    <xf numFmtId="0" fontId="23" fillId="0" borderId="400" xfId="3" applyFont="1" applyBorder="1" applyAlignment="1">
      <alignment vertical="center"/>
    </xf>
    <xf numFmtId="0" fontId="23" fillId="0" borderId="690" xfId="3" applyFont="1" applyBorder="1" applyAlignment="1">
      <alignment horizontal="center" vertical="center"/>
    </xf>
    <xf numFmtId="0" fontId="23" fillId="0" borderId="691" xfId="3" applyFont="1" applyBorder="1" applyAlignment="1">
      <alignment horizontal="center" vertical="center"/>
    </xf>
    <xf numFmtId="0" fontId="23" fillId="0" borderId="692" xfId="4" applyNumberFormat="1" applyFont="1" applyFill="1" applyBorder="1" applyAlignment="1">
      <alignment horizontal="center" vertical="center"/>
    </xf>
    <xf numFmtId="0" fontId="24" fillId="0" borderId="690" xfId="3" applyFont="1" applyBorder="1" applyAlignment="1">
      <alignment horizontal="center" vertical="center"/>
    </xf>
    <xf numFmtId="0" fontId="24" fillId="0" borderId="691" xfId="3" applyFont="1" applyBorder="1" applyAlignment="1">
      <alignment horizontal="center" vertical="center"/>
    </xf>
    <xf numFmtId="0" fontId="24" fillId="0" borderId="692" xfId="4" applyNumberFormat="1" applyFont="1" applyBorder="1" applyAlignment="1">
      <alignment horizontal="center" vertical="center"/>
    </xf>
    <xf numFmtId="0" fontId="24" fillId="0" borderId="693" xfId="4" applyNumberFormat="1" applyFont="1" applyFill="1" applyBorder="1" applyAlignment="1">
      <alignment horizontal="center" vertical="center"/>
    </xf>
    <xf numFmtId="0" fontId="24" fillId="0" borderId="380" xfId="3" applyFont="1" applyBorder="1" applyAlignment="1">
      <alignment horizontal="left" vertical="center" indent="2"/>
    </xf>
    <xf numFmtId="165" fontId="23" fillId="0" borderId="694" xfId="3" applyNumberFormat="1" applyFont="1" applyBorder="1" applyAlignment="1">
      <alignment vertical="center"/>
    </xf>
    <xf numFmtId="165" fontId="23" fillId="0" borderId="695" xfId="3" applyNumberFormat="1" applyFont="1" applyBorder="1" applyAlignment="1">
      <alignment vertical="center"/>
    </xf>
    <xf numFmtId="165" fontId="23" fillId="0" borderId="696" xfId="30" applyNumberFormat="1" applyFont="1" applyFill="1" applyBorder="1" applyAlignment="1">
      <alignment vertical="center"/>
    </xf>
    <xf numFmtId="165" fontId="24" fillId="0" borderId="697" xfId="3" applyNumberFormat="1" applyFont="1" applyBorder="1" applyAlignment="1">
      <alignment vertical="center"/>
    </xf>
    <xf numFmtId="165" fontId="24" fillId="0" borderId="698" xfId="3" applyNumberFormat="1" applyFont="1" applyBorder="1" applyAlignment="1">
      <alignment vertical="center"/>
    </xf>
    <xf numFmtId="165" fontId="24" fillId="0" borderId="699" xfId="4" applyNumberFormat="1" applyFont="1" applyFill="1" applyBorder="1" applyAlignment="1">
      <alignment vertical="center"/>
    </xf>
    <xf numFmtId="165" fontId="24" fillId="0" borderId="700" xfId="4" applyNumberFormat="1" applyFont="1" applyFill="1" applyBorder="1" applyAlignment="1">
      <alignment vertical="center"/>
    </xf>
    <xf numFmtId="0" fontId="23" fillId="0" borderId="380" xfId="3" applyFont="1" applyBorder="1" applyAlignment="1">
      <alignment horizontal="left" vertical="center" indent="1"/>
    </xf>
    <xf numFmtId="165" fontId="24" fillId="0" borderId="701" xfId="3" applyNumberFormat="1" applyFont="1" applyBorder="1" applyAlignment="1">
      <alignment vertical="center"/>
    </xf>
    <xf numFmtId="165" fontId="24" fillId="0" borderId="702" xfId="3" applyNumberFormat="1" applyFont="1" applyBorder="1" applyAlignment="1">
      <alignment vertical="center"/>
    </xf>
    <xf numFmtId="165" fontId="24" fillId="0" borderId="703" xfId="4" applyNumberFormat="1" applyFont="1" applyFill="1" applyBorder="1" applyAlignment="1">
      <alignment vertical="center"/>
    </xf>
    <xf numFmtId="165" fontId="24" fillId="0" borderId="704" xfId="4" applyNumberFormat="1" applyFont="1" applyFill="1" applyBorder="1" applyAlignment="1">
      <alignment vertical="center"/>
    </xf>
    <xf numFmtId="165" fontId="24" fillId="0" borderId="699" xfId="3" applyNumberFormat="1" applyFont="1" applyBorder="1" applyAlignment="1">
      <alignment vertical="center"/>
    </xf>
    <xf numFmtId="165" fontId="24" fillId="0" borderId="700" xfId="3" applyNumberFormat="1" applyFont="1" applyBorder="1" applyAlignment="1">
      <alignment vertical="center"/>
    </xf>
    <xf numFmtId="165" fontId="23" fillId="0" borderId="697" xfId="3" applyNumberFormat="1" applyFont="1" applyBorder="1" applyAlignment="1">
      <alignment vertical="center"/>
    </xf>
    <xf numFmtId="165" fontId="23" fillId="0" borderId="698" xfId="3" applyNumberFormat="1" applyFont="1" applyBorder="1" applyAlignment="1">
      <alignment vertical="center"/>
    </xf>
    <xf numFmtId="165" fontId="23" fillId="0" borderId="701" xfId="3" applyNumberFormat="1" applyFont="1" applyBorder="1" applyAlignment="1">
      <alignment vertical="center"/>
    </xf>
    <xf numFmtId="165" fontId="23" fillId="0" borderId="703" xfId="31" applyNumberFormat="1" applyFont="1" applyFill="1" applyBorder="1" applyAlignment="1">
      <alignment vertical="center"/>
    </xf>
    <xf numFmtId="0" fontId="23" fillId="0" borderId="173" xfId="3" applyFont="1" applyBorder="1" applyAlignment="1">
      <alignment horizontal="left" vertical="center" indent="1"/>
    </xf>
    <xf numFmtId="165" fontId="23" fillId="0" borderId="705" xfId="3" applyNumberFormat="1" applyFont="1" applyBorder="1" applyAlignment="1">
      <alignment vertical="center"/>
    </xf>
    <xf numFmtId="165" fontId="23" fillId="0" borderId="706" xfId="3" applyNumberFormat="1" applyFont="1" applyBorder="1" applyAlignment="1">
      <alignment vertical="center"/>
    </xf>
    <xf numFmtId="165" fontId="23" fillId="0" borderId="707" xfId="31" applyNumberFormat="1" applyFont="1" applyFill="1" applyBorder="1" applyAlignment="1">
      <alignment vertical="center"/>
    </xf>
    <xf numFmtId="165" fontId="24" fillId="0" borderId="705" xfId="3" applyNumberFormat="1" applyFont="1" applyBorder="1" applyAlignment="1">
      <alignment vertical="center"/>
    </xf>
    <xf numFmtId="165" fontId="24" fillId="0" borderId="706" xfId="3" applyNumberFormat="1" applyFont="1" applyBorder="1" applyAlignment="1">
      <alignment vertical="center"/>
    </xf>
    <xf numFmtId="165" fontId="24" fillId="0" borderId="707" xfId="4" applyNumberFormat="1" applyFont="1" applyFill="1" applyBorder="1" applyAlignment="1">
      <alignment vertical="center"/>
    </xf>
    <xf numFmtId="165" fontId="24" fillId="0" borderId="708" xfId="4" applyNumberFormat="1" applyFont="1" applyFill="1" applyBorder="1" applyAlignment="1">
      <alignment vertical="center"/>
    </xf>
    <xf numFmtId="0" fontId="23" fillId="0" borderId="394" xfId="3" applyFont="1" applyBorder="1" applyAlignment="1">
      <alignment vertical="center"/>
    </xf>
    <xf numFmtId="165" fontId="23" fillId="0" borderId="709" xfId="3" applyNumberFormat="1" applyFont="1" applyBorder="1" applyAlignment="1">
      <alignment vertical="center"/>
    </xf>
    <xf numFmtId="165" fontId="23" fillId="0" borderId="710" xfId="3" applyNumberFormat="1" applyFont="1" applyBorder="1" applyAlignment="1">
      <alignment vertical="center"/>
    </xf>
    <xf numFmtId="165" fontId="23" fillId="0" borderId="711" xfId="31" applyNumberFormat="1" applyFont="1" applyFill="1" applyBorder="1" applyAlignment="1">
      <alignment vertical="center"/>
    </xf>
    <xf numFmtId="165" fontId="24" fillId="0" borderId="709" xfId="3" applyNumberFormat="1" applyFont="1" applyBorder="1" applyAlignment="1">
      <alignment vertical="center"/>
    </xf>
    <xf numFmtId="165" fontId="24" fillId="0" borderId="710" xfId="3" applyNumberFormat="1" applyFont="1" applyBorder="1" applyAlignment="1">
      <alignment vertical="center"/>
    </xf>
    <xf numFmtId="165" fontId="24" fillId="0" borderId="711" xfId="4" applyNumberFormat="1" applyFont="1" applyFill="1" applyBorder="1" applyAlignment="1">
      <alignment vertical="center"/>
    </xf>
    <xf numFmtId="165" fontId="24" fillId="0" borderId="712" xfId="4" applyNumberFormat="1" applyFont="1" applyFill="1" applyBorder="1" applyAlignment="1">
      <alignment vertical="center"/>
    </xf>
    <xf numFmtId="165" fontId="23" fillId="0" borderId="690" xfId="3" applyNumberFormat="1" applyFont="1" applyBorder="1" applyAlignment="1">
      <alignment horizontal="center" vertical="center"/>
    </xf>
    <xf numFmtId="165" fontId="23" fillId="0" borderId="691" xfId="3" applyNumberFormat="1" applyFont="1" applyBorder="1" applyAlignment="1">
      <alignment horizontal="center" vertical="center"/>
    </xf>
    <xf numFmtId="165" fontId="23" fillId="0" borderId="692" xfId="30" applyNumberFormat="1" applyFont="1" applyBorder="1" applyAlignment="1">
      <alignment horizontal="center" vertical="center"/>
    </xf>
    <xf numFmtId="165" fontId="24" fillId="0" borderId="690" xfId="3" applyNumberFormat="1" applyFont="1" applyBorder="1" applyAlignment="1">
      <alignment horizontal="center" vertical="center"/>
    </xf>
    <xf numFmtId="165" fontId="24" fillId="0" borderId="691" xfId="3" applyNumberFormat="1" applyFont="1" applyBorder="1" applyAlignment="1">
      <alignment horizontal="center" vertical="center"/>
    </xf>
    <xf numFmtId="165" fontId="24" fillId="0" borderId="692" xfId="30" applyNumberFormat="1" applyFont="1" applyBorder="1" applyAlignment="1">
      <alignment horizontal="center" vertical="center"/>
    </xf>
    <xf numFmtId="0" fontId="23" fillId="0" borderId="380" xfId="3" quotePrefix="1" applyFont="1" applyBorder="1" applyAlignment="1">
      <alignment vertical="center"/>
    </xf>
    <xf numFmtId="165" fontId="23" fillId="0" borderId="701" xfId="3" applyNumberFormat="1" applyFont="1" applyBorder="1" applyAlignment="1">
      <alignment horizontal="center" vertical="center"/>
    </xf>
    <xf numFmtId="0" fontId="31" fillId="0" borderId="713" xfId="3" applyFont="1" applyBorder="1" applyAlignment="1">
      <alignment vertical="center"/>
    </xf>
    <xf numFmtId="165" fontId="23" fillId="0" borderId="703" xfId="30" applyNumberFormat="1" applyFont="1" applyBorder="1" applyAlignment="1">
      <alignment horizontal="center" vertical="center"/>
    </xf>
    <xf numFmtId="165" fontId="24" fillId="0" borderId="701" xfId="3" applyNumberFormat="1" applyFont="1" applyBorder="1" applyAlignment="1">
      <alignment horizontal="center" vertical="center"/>
    </xf>
    <xf numFmtId="165" fontId="24" fillId="0" borderId="702" xfId="3" applyNumberFormat="1" applyFont="1" applyBorder="1" applyAlignment="1">
      <alignment horizontal="center" vertical="center"/>
    </xf>
    <xf numFmtId="165" fontId="24" fillId="0" borderId="703" xfId="30" applyNumberFormat="1" applyFont="1" applyBorder="1" applyAlignment="1">
      <alignment horizontal="center" vertical="center"/>
    </xf>
    <xf numFmtId="0" fontId="24" fillId="0" borderId="701" xfId="3" applyFont="1" applyBorder="1" applyAlignment="1">
      <alignment horizontal="center" vertical="center"/>
    </xf>
    <xf numFmtId="0" fontId="24" fillId="0" borderId="702" xfId="3" applyFont="1" applyBorder="1" applyAlignment="1">
      <alignment horizontal="center" vertical="center"/>
    </xf>
    <xf numFmtId="0" fontId="24" fillId="0" borderId="703" xfId="4" applyNumberFormat="1" applyFont="1" applyBorder="1" applyAlignment="1">
      <alignment horizontal="center" vertical="center"/>
    </xf>
    <xf numFmtId="0" fontId="24" fillId="0" borderId="704" xfId="4" applyNumberFormat="1" applyFont="1" applyFill="1" applyBorder="1" applyAlignment="1">
      <alignment horizontal="center" vertical="center"/>
    </xf>
    <xf numFmtId="165" fontId="23" fillId="0" borderId="714" xfId="3" applyNumberFormat="1" applyFont="1" applyBorder="1" applyAlignment="1">
      <alignment horizontal="center" vertical="center"/>
    </xf>
    <xf numFmtId="165" fontId="23" fillId="0" borderId="696" xfId="32" applyNumberFormat="1" applyFont="1" applyFill="1" applyBorder="1" applyAlignment="1">
      <alignment vertical="center"/>
    </xf>
    <xf numFmtId="165" fontId="24" fillId="0" borderId="694" xfId="3" applyNumberFormat="1" applyFont="1" applyBorder="1" applyAlignment="1">
      <alignment vertical="center"/>
    </xf>
    <xf numFmtId="165" fontId="24" fillId="0" borderId="695" xfId="3" applyNumberFormat="1" applyFont="1" applyBorder="1" applyAlignment="1">
      <alignment vertical="center"/>
    </xf>
    <xf numFmtId="165" fontId="24" fillId="0" borderId="696" xfId="30" applyNumberFormat="1" applyFont="1" applyFill="1" applyBorder="1" applyAlignment="1">
      <alignment vertical="center"/>
    </xf>
    <xf numFmtId="165" fontId="23" fillId="0" borderId="696" xfId="3" applyNumberFormat="1" applyFont="1" applyBorder="1" applyAlignment="1">
      <alignment vertical="center"/>
    </xf>
    <xf numFmtId="165" fontId="24" fillId="0" borderId="696" xfId="3" applyNumberFormat="1" applyFont="1" applyBorder="1" applyAlignment="1">
      <alignment vertical="center"/>
    </xf>
    <xf numFmtId="165" fontId="23" fillId="0" borderId="707" xfId="3" applyNumberFormat="1" applyFont="1" applyBorder="1" applyAlignment="1">
      <alignment vertical="center"/>
    </xf>
    <xf numFmtId="165" fontId="24" fillId="0" borderId="707" xfId="3" applyNumberFormat="1" applyFont="1" applyBorder="1" applyAlignment="1">
      <alignment vertical="center"/>
    </xf>
    <xf numFmtId="165" fontId="24" fillId="0" borderId="708" xfId="3" applyNumberFormat="1" applyFont="1" applyBorder="1" applyAlignment="1">
      <alignment vertical="center"/>
    </xf>
    <xf numFmtId="0" fontId="23" fillId="0" borderId="394" xfId="3" applyFont="1" applyBorder="1" applyAlignment="1">
      <alignment horizontal="left" vertical="center"/>
    </xf>
    <xf numFmtId="165" fontId="23" fillId="0" borderId="715" xfId="3" applyNumberFormat="1" applyFont="1" applyBorder="1" applyAlignment="1">
      <alignment vertical="center"/>
    </xf>
    <xf numFmtId="165" fontId="23" fillId="0" borderId="716" xfId="3" applyNumberFormat="1" applyFont="1" applyBorder="1" applyAlignment="1">
      <alignment vertical="center"/>
    </xf>
    <xf numFmtId="165" fontId="23" fillId="0" borderId="717" xfId="3" applyNumberFormat="1" applyFont="1" applyBorder="1" applyAlignment="1">
      <alignment vertical="center"/>
    </xf>
    <xf numFmtId="165" fontId="24" fillId="0" borderId="715" xfId="3" applyNumberFormat="1" applyFont="1" applyBorder="1" applyAlignment="1">
      <alignment vertical="center"/>
    </xf>
    <xf numFmtId="165" fontId="24" fillId="0" borderId="716" xfId="3" applyNumberFormat="1" applyFont="1" applyBorder="1" applyAlignment="1">
      <alignment vertical="center"/>
    </xf>
    <xf numFmtId="165" fontId="24" fillId="0" borderId="717" xfId="3" applyNumberFormat="1" applyFont="1" applyBorder="1" applyAlignment="1">
      <alignment vertical="center"/>
    </xf>
    <xf numFmtId="165" fontId="24" fillId="0" borderId="711" xfId="3" applyNumberFormat="1" applyFont="1" applyBorder="1" applyAlignment="1">
      <alignment vertical="center"/>
    </xf>
    <xf numFmtId="165" fontId="24" fillId="0" borderId="712" xfId="3" applyNumberFormat="1" applyFont="1" applyBorder="1" applyAlignment="1">
      <alignment vertical="center"/>
    </xf>
    <xf numFmtId="0" fontId="23" fillId="0" borderId="692" xfId="30" applyNumberFormat="1" applyFont="1" applyBorder="1" applyAlignment="1">
      <alignment horizontal="center" vertical="center"/>
    </xf>
    <xf numFmtId="0" fontId="24" fillId="0" borderId="692" xfId="30" applyNumberFormat="1" applyFont="1" applyBorder="1" applyAlignment="1">
      <alignment horizontal="center" vertical="center"/>
    </xf>
    <xf numFmtId="0" fontId="23" fillId="0" borderId="701" xfId="3" applyFont="1" applyBorder="1" applyAlignment="1">
      <alignment horizontal="center" vertical="center"/>
    </xf>
    <xf numFmtId="0" fontId="23" fillId="0" borderId="702" xfId="3" applyFont="1" applyBorder="1" applyAlignment="1">
      <alignment horizontal="center" vertical="center"/>
    </xf>
    <xf numFmtId="0" fontId="23" fillId="0" borderId="703" xfId="30" applyNumberFormat="1" applyFont="1" applyBorder="1" applyAlignment="1">
      <alignment horizontal="center" vertical="center"/>
    </xf>
    <xf numFmtId="0" fontId="24" fillId="0" borderId="703" xfId="30" applyNumberFormat="1" applyFont="1" applyBorder="1" applyAlignment="1">
      <alignment horizontal="center" vertical="center"/>
    </xf>
    <xf numFmtId="165" fontId="23" fillId="10" borderId="694" xfId="3" applyNumberFormat="1" applyFont="1" applyFill="1" applyBorder="1" applyAlignment="1">
      <alignment vertical="center"/>
    </xf>
    <xf numFmtId="165" fontId="23" fillId="10" borderId="695" xfId="3" applyNumberFormat="1" applyFont="1" applyFill="1" applyBorder="1" applyAlignment="1">
      <alignment vertical="center"/>
    </xf>
    <xf numFmtId="165" fontId="24" fillId="10" borderId="694" xfId="3" applyNumberFormat="1" applyFont="1" applyFill="1" applyBorder="1" applyAlignment="1">
      <alignment vertical="center"/>
    </xf>
    <xf numFmtId="165" fontId="24" fillId="10" borderId="695" xfId="3" applyNumberFormat="1" applyFont="1" applyFill="1" applyBorder="1" applyAlignment="1">
      <alignment vertical="center"/>
    </xf>
    <xf numFmtId="165" fontId="24" fillId="10" borderId="697" xfId="3" applyNumberFormat="1" applyFont="1" applyFill="1" applyBorder="1" applyAlignment="1">
      <alignment vertical="center"/>
    </xf>
    <xf numFmtId="165" fontId="24" fillId="10" borderId="698" xfId="3" applyNumberFormat="1" applyFont="1" applyFill="1" applyBorder="1" applyAlignment="1">
      <alignment vertical="center"/>
    </xf>
    <xf numFmtId="165" fontId="23" fillId="10" borderId="701" xfId="3" applyNumberFormat="1" applyFont="1" applyFill="1" applyBorder="1" applyAlignment="1">
      <alignment vertical="center"/>
    </xf>
    <xf numFmtId="165" fontId="23" fillId="10" borderId="702" xfId="3" applyNumberFormat="1" applyFont="1" applyFill="1" applyBorder="1" applyAlignment="1">
      <alignment vertical="center"/>
    </xf>
    <xf numFmtId="165" fontId="23" fillId="0" borderId="703" xfId="32" applyNumberFormat="1" applyFont="1" applyFill="1" applyBorder="1" applyAlignment="1">
      <alignment vertical="center"/>
    </xf>
    <xf numFmtId="165" fontId="24" fillId="10" borderId="701" xfId="3" applyNumberFormat="1" applyFont="1" applyFill="1" applyBorder="1" applyAlignment="1">
      <alignment vertical="center"/>
    </xf>
    <xf numFmtId="165" fontId="24" fillId="10" borderId="702" xfId="3" applyNumberFormat="1" applyFont="1" applyFill="1" applyBorder="1" applyAlignment="1">
      <alignment vertical="center"/>
    </xf>
    <xf numFmtId="165" fontId="24" fillId="0" borderId="703" xfId="30" applyNumberFormat="1" applyFont="1" applyFill="1" applyBorder="1" applyAlignment="1">
      <alignment vertical="center"/>
    </xf>
    <xf numFmtId="165" fontId="23" fillId="10" borderId="705" xfId="3" applyNumberFormat="1" applyFont="1" applyFill="1" applyBorder="1" applyAlignment="1">
      <alignment vertical="center"/>
    </xf>
    <xf numFmtId="165" fontId="23" fillId="10" borderId="706" xfId="3" applyNumberFormat="1" applyFont="1" applyFill="1" applyBorder="1" applyAlignment="1">
      <alignment vertical="center"/>
    </xf>
    <xf numFmtId="165" fontId="24" fillId="10" borderId="705" xfId="3" applyNumberFormat="1" applyFont="1" applyFill="1" applyBorder="1" applyAlignment="1">
      <alignment vertical="center"/>
    </xf>
    <xf numFmtId="165" fontId="24" fillId="10" borderId="706" xfId="3" applyNumberFormat="1" applyFont="1" applyFill="1" applyBorder="1" applyAlignment="1">
      <alignment vertical="center"/>
    </xf>
    <xf numFmtId="165" fontId="23" fillId="10" borderId="715" xfId="3" applyNumberFormat="1" applyFont="1" applyFill="1" applyBorder="1" applyAlignment="1">
      <alignment vertical="center"/>
    </xf>
    <xf numFmtId="165" fontId="23" fillId="10" borderId="716" xfId="3" applyNumberFormat="1" applyFont="1" applyFill="1" applyBorder="1" applyAlignment="1">
      <alignment vertical="center"/>
    </xf>
    <xf numFmtId="165" fontId="24" fillId="10" borderId="715" xfId="3" applyNumberFormat="1" applyFont="1" applyFill="1" applyBorder="1" applyAlignment="1">
      <alignment vertical="center"/>
    </xf>
    <xf numFmtId="165" fontId="24" fillId="10" borderId="716" xfId="3" applyNumberFormat="1" applyFont="1" applyFill="1" applyBorder="1" applyAlignment="1">
      <alignment vertical="center"/>
    </xf>
    <xf numFmtId="165" fontId="24" fillId="10" borderId="709" xfId="3" applyNumberFormat="1" applyFont="1" applyFill="1" applyBorder="1" applyAlignment="1">
      <alignment vertical="center"/>
    </xf>
    <xf numFmtId="165" fontId="24" fillId="10" borderId="710" xfId="3" applyNumberFormat="1" applyFont="1" applyFill="1" applyBorder="1" applyAlignment="1">
      <alignment vertical="center"/>
    </xf>
    <xf numFmtId="0" fontId="30" fillId="0" borderId="390" xfId="3" applyFont="1" applyBorder="1"/>
    <xf numFmtId="0" fontId="29" fillId="0" borderId="390" xfId="3" applyFont="1" applyBorder="1" applyAlignment="1">
      <alignment horizontal="center" vertical="center"/>
    </xf>
    <xf numFmtId="0" fontId="52" fillId="0" borderId="0" xfId="3" quotePrefix="1" applyFont="1" applyAlignment="1">
      <alignment horizontal="left"/>
    </xf>
    <xf numFmtId="0" fontId="52" fillId="0" borderId="0" xfId="3" applyFont="1" applyAlignment="1">
      <alignment horizontal="left"/>
    </xf>
    <xf numFmtId="0" fontId="35" fillId="0" borderId="719" xfId="3" applyFont="1" applyBorder="1" applyAlignment="1">
      <alignment vertical="center"/>
    </xf>
    <xf numFmtId="0" fontId="23" fillId="0" borderId="719" xfId="3" applyFont="1" applyBorder="1" applyAlignment="1">
      <alignment vertical="center"/>
    </xf>
    <xf numFmtId="166" fontId="23" fillId="0" borderId="720" xfId="3" applyNumberFormat="1" applyFont="1" applyBorder="1" applyAlignment="1">
      <alignment horizontal="right" vertical="center"/>
    </xf>
    <xf numFmtId="166" fontId="24" fillId="0" borderId="720" xfId="3" applyNumberFormat="1" applyFont="1" applyBorder="1" applyAlignment="1">
      <alignment horizontal="right" vertical="center"/>
    </xf>
    <xf numFmtId="166" fontId="24" fillId="0" borderId="721" xfId="3" applyNumberFormat="1" applyFont="1" applyBorder="1" applyAlignment="1">
      <alignment horizontal="right" vertical="center"/>
    </xf>
    <xf numFmtId="166" fontId="24" fillId="0" borderId="722" xfId="3" applyNumberFormat="1" applyFont="1" applyBorder="1" applyAlignment="1">
      <alignment horizontal="right" vertical="center"/>
    </xf>
    <xf numFmtId="166" fontId="24" fillId="0" borderId="720" xfId="4" applyNumberFormat="1" applyFont="1" applyBorder="1" applyAlignment="1">
      <alignment horizontal="right" vertical="center"/>
    </xf>
    <xf numFmtId="166" fontId="24" fillId="0" borderId="719" xfId="3" applyNumberFormat="1" applyFont="1" applyBorder="1" applyAlignment="1">
      <alignment horizontal="right" vertical="center"/>
    </xf>
    <xf numFmtId="166" fontId="24" fillId="0" borderId="723" xfId="3" applyNumberFormat="1" applyFont="1" applyBorder="1" applyAlignment="1">
      <alignment horizontal="right" vertical="center"/>
    </xf>
    <xf numFmtId="166" fontId="24" fillId="0" borderId="719" xfId="4" applyNumberFormat="1" applyFont="1" applyBorder="1" applyAlignment="1">
      <alignment horizontal="right" vertical="center"/>
    </xf>
    <xf numFmtId="0" fontId="23" fillId="0" borderId="719" xfId="3" applyFont="1" applyBorder="1" applyAlignment="1">
      <alignment horizontal="left" vertical="center" indent="1"/>
    </xf>
    <xf numFmtId="41" fontId="23" fillId="0" borderId="720" xfId="3" applyNumberFormat="1" applyFont="1" applyBorder="1" applyAlignment="1">
      <alignment vertical="center"/>
    </xf>
    <xf numFmtId="41" fontId="24" fillId="0" borderId="720" xfId="3" applyNumberFormat="1" applyFont="1" applyBorder="1" applyAlignment="1">
      <alignment vertical="center"/>
    </xf>
    <xf numFmtId="41" fontId="23" fillId="0" borderId="721" xfId="3" applyNumberFormat="1" applyFont="1" applyBorder="1" applyAlignment="1">
      <alignment vertical="center"/>
    </xf>
    <xf numFmtId="41" fontId="24" fillId="0" borderId="722" xfId="3" applyNumberFormat="1" applyFont="1" applyBorder="1" applyAlignment="1">
      <alignment vertical="center"/>
    </xf>
    <xf numFmtId="41" fontId="24" fillId="0" borderId="720" xfId="4" applyNumberFormat="1" applyFont="1" applyBorder="1" applyAlignment="1">
      <alignment vertical="center"/>
    </xf>
    <xf numFmtId="41" fontId="24" fillId="0" borderId="719" xfId="4" applyNumberFormat="1" applyFont="1" applyBorder="1" applyAlignment="1">
      <alignment vertical="center"/>
    </xf>
    <xf numFmtId="41" fontId="24" fillId="0" borderId="723" xfId="4" applyNumberFormat="1" applyFont="1" applyBorder="1" applyAlignment="1">
      <alignment vertical="center"/>
    </xf>
    <xf numFmtId="0" fontId="23" fillId="0" borderId="724" xfId="3" applyFont="1" applyBorder="1" applyAlignment="1">
      <alignment horizontal="left" vertical="center" indent="2"/>
    </xf>
    <xf numFmtId="41" fontId="23" fillId="0" borderId="725" xfId="3" applyNumberFormat="1" applyFont="1" applyBorder="1" applyAlignment="1">
      <alignment vertical="center"/>
    </xf>
    <xf numFmtId="41" fontId="24" fillId="0" borderId="725" xfId="3" applyNumberFormat="1" applyFont="1" applyBorder="1" applyAlignment="1">
      <alignment vertical="center"/>
    </xf>
    <xf numFmtId="41" fontId="23" fillId="0" borderId="726" xfId="3" applyNumberFormat="1" applyFont="1" applyBorder="1" applyAlignment="1">
      <alignment vertical="center"/>
    </xf>
    <xf numFmtId="41" fontId="24" fillId="0" borderId="727" xfId="3" applyNumberFormat="1" applyFont="1" applyBorder="1" applyAlignment="1">
      <alignment vertical="center"/>
    </xf>
    <xf numFmtId="41" fontId="24" fillId="0" borderId="725" xfId="4" applyNumberFormat="1" applyFont="1" applyBorder="1" applyAlignment="1">
      <alignment vertical="center"/>
    </xf>
    <xf numFmtId="41" fontId="24" fillId="0" borderId="724" xfId="4" applyNumberFormat="1" applyFont="1" applyBorder="1" applyAlignment="1">
      <alignment vertical="center"/>
    </xf>
    <xf numFmtId="41" fontId="24" fillId="0" borderId="728" xfId="4" applyNumberFormat="1" applyFont="1" applyBorder="1" applyAlignment="1">
      <alignment vertical="center"/>
    </xf>
    <xf numFmtId="0" fontId="24" fillId="0" borderId="729" xfId="3" applyFont="1" applyBorder="1" applyAlignment="1">
      <alignment horizontal="left" vertical="center" indent="4"/>
    </xf>
    <xf numFmtId="165" fontId="23" fillId="0" borderId="730" xfId="3" applyNumberFormat="1" applyFont="1" applyBorder="1" applyAlignment="1">
      <alignment vertical="center"/>
    </xf>
    <xf numFmtId="165" fontId="24" fillId="0" borderId="731" xfId="3" applyNumberFormat="1" applyFont="1" applyBorder="1" applyAlignment="1">
      <alignment vertical="center"/>
    </xf>
    <xf numFmtId="165" fontId="24" fillId="0" borderId="732" xfId="3" applyNumberFormat="1" applyFont="1" applyBorder="1" applyAlignment="1">
      <alignment vertical="center"/>
    </xf>
    <xf numFmtId="165" fontId="24" fillId="0" borderId="729" xfId="3" applyNumberFormat="1" applyFont="1" applyBorder="1" applyAlignment="1">
      <alignment vertical="center"/>
    </xf>
    <xf numFmtId="165" fontId="24" fillId="0" borderId="733" xfId="3" applyNumberFormat="1" applyFont="1" applyBorder="1" applyAlignment="1">
      <alignment vertical="center"/>
    </xf>
    <xf numFmtId="0" fontId="23" fillId="0" borderId="729" xfId="3" applyFont="1" applyBorder="1" applyAlignment="1">
      <alignment horizontal="left" vertical="center" indent="3"/>
    </xf>
    <xf numFmtId="165" fontId="23" fillId="0" borderId="731" xfId="3" applyNumberFormat="1" applyFont="1" applyBorder="1" applyAlignment="1">
      <alignment vertical="center"/>
    </xf>
    <xf numFmtId="0" fontId="23" fillId="0" borderId="729" xfId="3" applyFont="1" applyBorder="1" applyAlignment="1">
      <alignment horizontal="left" vertical="center" indent="2"/>
    </xf>
    <xf numFmtId="41" fontId="23" fillId="0" borderId="731" xfId="3" applyNumberFormat="1" applyFont="1" applyBorder="1" applyAlignment="1">
      <alignment vertical="center"/>
    </xf>
    <xf numFmtId="41" fontId="24" fillId="0" borderId="731" xfId="3" applyNumberFormat="1" applyFont="1" applyBorder="1" applyAlignment="1">
      <alignment vertical="center"/>
    </xf>
    <xf numFmtId="41" fontId="24" fillId="0" borderId="732" xfId="3" applyNumberFormat="1" applyFont="1" applyBorder="1" applyAlignment="1">
      <alignment vertical="center"/>
    </xf>
    <xf numFmtId="41" fontId="24" fillId="0" borderId="729" xfId="3" applyNumberFormat="1" applyFont="1" applyBorder="1" applyAlignment="1">
      <alignment vertical="center"/>
    </xf>
    <xf numFmtId="41" fontId="24" fillId="0" borderId="733" xfId="3" applyNumberFormat="1" applyFont="1" applyBorder="1" applyAlignment="1">
      <alignment vertical="center"/>
    </xf>
    <xf numFmtId="0" fontId="24" fillId="0" borderId="729" xfId="3" applyFont="1" applyBorder="1" applyAlignment="1">
      <alignment horizontal="left" vertical="center" indent="3"/>
    </xf>
    <xf numFmtId="0" fontId="23" fillId="0" borderId="734" xfId="3" applyFont="1" applyBorder="1" applyAlignment="1">
      <alignment horizontal="left" vertical="center" indent="2"/>
    </xf>
    <xf numFmtId="165" fontId="23" fillId="0" borderId="735" xfId="3" applyNumberFormat="1" applyFont="1" applyBorder="1" applyAlignment="1">
      <alignment vertical="center"/>
    </xf>
    <xf numFmtId="165" fontId="24" fillId="0" borderId="735" xfId="3" applyNumberFormat="1" applyFont="1" applyBorder="1" applyAlignment="1">
      <alignment vertical="center"/>
    </xf>
    <xf numFmtId="165" fontId="24" fillId="0" borderId="736" xfId="3" applyNumberFormat="1" applyFont="1" applyBorder="1" applyAlignment="1">
      <alignment vertical="center"/>
    </xf>
    <xf numFmtId="165" fontId="24" fillId="0" borderId="735" xfId="4" applyNumberFormat="1" applyFont="1" applyBorder="1" applyAlignment="1">
      <alignment vertical="center"/>
    </xf>
    <xf numFmtId="165" fontId="24" fillId="0" borderId="734" xfId="4" applyNumberFormat="1" applyFont="1" applyBorder="1" applyAlignment="1">
      <alignment vertical="center"/>
    </xf>
    <xf numFmtId="165" fontId="24" fillId="0" borderId="737" xfId="4" applyNumberFormat="1" applyFont="1" applyBorder="1" applyAlignment="1">
      <alignment vertical="center"/>
    </xf>
    <xf numFmtId="0" fontId="23" fillId="0" borderId="738" xfId="3" applyFont="1" applyBorder="1" applyAlignment="1">
      <alignment horizontal="left" vertical="center" indent="1"/>
    </xf>
    <xf numFmtId="165" fontId="23" fillId="0" borderId="739" xfId="3" applyNumberFormat="1" applyFont="1" applyBorder="1" applyAlignment="1">
      <alignment vertical="center"/>
    </xf>
    <xf numFmtId="165" fontId="24" fillId="0" borderId="739" xfId="3" applyNumberFormat="1" applyFont="1" applyBorder="1" applyAlignment="1">
      <alignment vertical="center"/>
    </xf>
    <xf numFmtId="165" fontId="24" fillId="0" borderId="394" xfId="3" applyNumberFormat="1" applyFont="1" applyBorder="1" applyAlignment="1">
      <alignment vertical="center"/>
    </xf>
    <xf numFmtId="165" fontId="24" fillId="0" borderId="740" xfId="3" applyNumberFormat="1" applyFont="1" applyBorder="1" applyAlignment="1">
      <alignment vertical="center"/>
    </xf>
    <xf numFmtId="165" fontId="24" fillId="0" borderId="738" xfId="3" applyNumberFormat="1" applyFont="1" applyBorder="1" applyAlignment="1">
      <alignment vertical="center"/>
    </xf>
    <xf numFmtId="165" fontId="24" fillId="0" borderId="741" xfId="3" applyNumberFormat="1" applyFont="1" applyBorder="1" applyAlignment="1">
      <alignment vertical="center"/>
    </xf>
    <xf numFmtId="0" fontId="23" fillId="0" borderId="394" xfId="3" applyFont="1" applyBorder="1" applyAlignment="1">
      <alignment horizontal="left" vertical="center" indent="1"/>
    </xf>
    <xf numFmtId="41" fontId="23" fillId="0" borderId="742" xfId="3" applyNumberFormat="1" applyFont="1" applyBorder="1" applyAlignment="1">
      <alignment vertical="center"/>
    </xf>
    <xf numFmtId="41" fontId="24" fillId="0" borderId="742" xfId="3" applyNumberFormat="1" applyFont="1" applyBorder="1" applyAlignment="1">
      <alignment vertical="center"/>
    </xf>
    <xf numFmtId="41" fontId="24" fillId="0" borderId="394" xfId="3" applyNumberFormat="1" applyFont="1" applyBorder="1" applyAlignment="1">
      <alignment vertical="center"/>
    </xf>
    <xf numFmtId="41" fontId="24" fillId="0" borderId="475" xfId="3" applyNumberFormat="1" applyFont="1" applyBorder="1" applyAlignment="1">
      <alignment vertical="center"/>
    </xf>
    <xf numFmtId="41" fontId="24" fillId="0" borderId="719" xfId="3" applyNumberFormat="1" applyFont="1" applyBorder="1" applyAlignment="1">
      <alignment vertical="center"/>
    </xf>
    <xf numFmtId="41" fontId="24" fillId="0" borderId="723" xfId="3" applyNumberFormat="1" applyFont="1" applyBorder="1" applyAlignment="1">
      <alignment vertical="center"/>
    </xf>
    <xf numFmtId="0" fontId="24" fillId="0" borderId="729" xfId="3" applyFont="1" applyBorder="1" applyAlignment="1">
      <alignment horizontal="left" vertical="center" indent="2"/>
    </xf>
    <xf numFmtId="0" fontId="23" fillId="0" borderId="729" xfId="3" applyFont="1" applyBorder="1" applyAlignment="1">
      <alignment horizontal="left" vertical="center" indent="1"/>
    </xf>
    <xf numFmtId="0" fontId="23" fillId="0" borderId="734" xfId="3" applyFont="1" applyBorder="1" applyAlignment="1">
      <alignment horizontal="left" vertical="center" indent="1"/>
    </xf>
    <xf numFmtId="41" fontId="23" fillId="0" borderId="735" xfId="3" applyNumberFormat="1" applyFont="1" applyBorder="1" applyAlignment="1">
      <alignment vertical="center"/>
    </xf>
    <xf numFmtId="41" fontId="24" fillId="0" borderId="735" xfId="3" applyNumberFormat="1" applyFont="1" applyBorder="1" applyAlignment="1">
      <alignment vertical="center"/>
    </xf>
    <xf numFmtId="41" fontId="24" fillId="0" borderId="736" xfId="3" applyNumberFormat="1" applyFont="1" applyBorder="1" applyAlignment="1">
      <alignment vertical="center"/>
    </xf>
    <xf numFmtId="41" fontId="24" fillId="0" borderId="734" xfId="3" applyNumberFormat="1" applyFont="1" applyBorder="1" applyAlignment="1">
      <alignment vertical="center"/>
    </xf>
    <xf numFmtId="41" fontId="24" fillId="0" borderId="737" xfId="3" applyNumberFormat="1" applyFont="1" applyBorder="1" applyAlignment="1">
      <alignment vertical="center"/>
    </xf>
    <xf numFmtId="0" fontId="23" fillId="0" borderId="719" xfId="3" applyFont="1" applyBorder="1" applyAlignment="1">
      <alignment horizontal="left" vertical="center"/>
    </xf>
    <xf numFmtId="165" fontId="23" fillId="0" borderId="720" xfId="3" applyNumberFormat="1" applyFont="1" applyBorder="1" applyAlignment="1">
      <alignment vertical="center"/>
    </xf>
    <xf numFmtId="165" fontId="24" fillId="0" borderId="720" xfId="3" applyNumberFormat="1" applyFont="1" applyBorder="1" applyAlignment="1">
      <alignment vertical="center"/>
    </xf>
    <xf numFmtId="165" fontId="24" fillId="0" borderId="722" xfId="3" applyNumberFormat="1" applyFont="1" applyBorder="1" applyAlignment="1">
      <alignment vertical="center"/>
    </xf>
    <xf numFmtId="165" fontId="24" fillId="0" borderId="719" xfId="4" applyNumberFormat="1" applyFont="1" applyBorder="1" applyAlignment="1">
      <alignment vertical="center"/>
    </xf>
    <xf numFmtId="165" fontId="24" fillId="0" borderId="723" xfId="3" applyNumberFormat="1" applyFont="1" applyBorder="1" applyAlignment="1">
      <alignment vertical="center"/>
    </xf>
    <xf numFmtId="165" fontId="24" fillId="0" borderId="719" xfId="3" applyNumberFormat="1" applyFont="1" applyBorder="1" applyAlignment="1">
      <alignment vertical="center"/>
    </xf>
    <xf numFmtId="0" fontId="29" fillId="0" borderId="390" xfId="3" applyFont="1" applyBorder="1" applyAlignment="1">
      <alignment horizontal="left" vertical="center" indent="2"/>
    </xf>
    <xf numFmtId="41" fontId="29" fillId="0" borderId="390" xfId="3" applyNumberFormat="1" applyFont="1" applyBorder="1" applyAlignment="1">
      <alignment horizontal="right" vertical="center" indent="3"/>
    </xf>
    <xf numFmtId="0" fontId="29" fillId="0" borderId="0" xfId="3" applyFont="1" applyAlignment="1">
      <alignment vertical="top"/>
    </xf>
    <xf numFmtId="0" fontId="30" fillId="0" borderId="0" xfId="3" quotePrefix="1" applyFont="1" applyAlignment="1">
      <alignment horizontal="left" vertical="top"/>
    </xf>
    <xf numFmtId="0" fontId="30" fillId="0" borderId="0" xfId="3" applyFont="1" applyAlignment="1">
      <alignment horizontal="left" vertical="top"/>
    </xf>
    <xf numFmtId="0" fontId="23" fillId="0" borderId="744" xfId="3" applyFont="1" applyBorder="1" applyAlignment="1">
      <alignment vertical="center"/>
    </xf>
    <xf numFmtId="0" fontId="35" fillId="0" borderId="744" xfId="3" applyFont="1" applyBorder="1" applyAlignment="1">
      <alignment horizontal="left" vertical="center"/>
    </xf>
    <xf numFmtId="166" fontId="23" fillId="0" borderId="745" xfId="3" applyNumberFormat="1" applyFont="1" applyBorder="1" applyAlignment="1">
      <alignment horizontal="right" vertical="center"/>
    </xf>
    <xf numFmtId="166" fontId="24" fillId="0" borderId="745" xfId="3" applyNumberFormat="1" applyFont="1" applyBorder="1" applyAlignment="1">
      <alignment horizontal="right" vertical="center"/>
    </xf>
    <xf numFmtId="166" fontId="24" fillId="0" borderId="744" xfId="3" applyNumberFormat="1" applyFont="1" applyBorder="1" applyAlignment="1">
      <alignment horizontal="right" vertical="center"/>
    </xf>
    <xf numFmtId="166" fontId="24" fillId="0" borderId="746" xfId="3" applyNumberFormat="1" applyFont="1" applyBorder="1" applyAlignment="1">
      <alignment horizontal="right" vertical="center"/>
    </xf>
    <xf numFmtId="166" fontId="24" fillId="0" borderId="745" xfId="4" applyNumberFormat="1" applyFont="1" applyBorder="1" applyAlignment="1">
      <alignment horizontal="right" vertical="center"/>
    </xf>
    <xf numFmtId="166" fontId="24" fillId="0" borderId="23" xfId="3" applyNumberFormat="1" applyFont="1" applyBorder="1" applyAlignment="1">
      <alignment horizontal="right" vertical="center"/>
    </xf>
    <xf numFmtId="166" fontId="24" fillId="0" borderId="748" xfId="3" applyNumberFormat="1" applyFont="1" applyBorder="1" applyAlignment="1">
      <alignment horizontal="right" vertical="center"/>
    </xf>
    <xf numFmtId="0" fontId="23" fillId="0" borderId="581" xfId="3" applyFont="1" applyBorder="1" applyAlignment="1">
      <alignment horizontal="left" vertical="center" wrapText="1"/>
    </xf>
    <xf numFmtId="41" fontId="23" fillId="0" borderId="749" xfId="3" applyNumberFormat="1" applyFont="1" applyBorder="1" applyAlignment="1">
      <alignment horizontal="right" vertical="center"/>
    </xf>
    <xf numFmtId="41" fontId="24" fillId="0" borderId="749" xfId="3" applyNumberFormat="1" applyFont="1" applyBorder="1" applyAlignment="1">
      <alignment horizontal="right" vertical="center"/>
    </xf>
    <xf numFmtId="41" fontId="24" fillId="0" borderId="581" xfId="3" applyNumberFormat="1" applyFont="1" applyBorder="1" applyAlignment="1">
      <alignment horizontal="right" vertical="center"/>
    </xf>
    <xf numFmtId="41" fontId="24" fillId="0" borderId="750" xfId="3" applyNumberFormat="1" applyFont="1" applyBorder="1" applyAlignment="1">
      <alignment horizontal="right" vertical="center"/>
    </xf>
    <xf numFmtId="41" fontId="24" fillId="0" borderId="749" xfId="4" applyNumberFormat="1" applyFont="1" applyBorder="1" applyAlignment="1">
      <alignment horizontal="right" vertical="center"/>
    </xf>
    <xf numFmtId="0" fontId="24" fillId="0" borderId="751" xfId="3" applyFont="1" applyBorder="1" applyAlignment="1">
      <alignment horizontal="left" vertical="center" indent="1"/>
    </xf>
    <xf numFmtId="165" fontId="23" fillId="0" borderId="752" xfId="3" applyNumberFormat="1" applyFont="1" applyBorder="1" applyAlignment="1">
      <alignment vertical="center"/>
    </xf>
    <xf numFmtId="165" fontId="24" fillId="0" borderId="752" xfId="3" applyNumberFormat="1" applyFont="1" applyBorder="1" applyAlignment="1">
      <alignment vertical="center"/>
    </xf>
    <xf numFmtId="165" fontId="24" fillId="0" borderId="751" xfId="3" applyNumberFormat="1" applyFont="1" applyBorder="1" applyAlignment="1">
      <alignment vertical="center"/>
    </xf>
    <xf numFmtId="165" fontId="24" fillId="0" borderId="753" xfId="3" applyNumberFormat="1" applyFont="1" applyBorder="1" applyAlignment="1">
      <alignment vertical="center"/>
    </xf>
    <xf numFmtId="165" fontId="24" fillId="0" borderId="752" xfId="4" applyNumberFormat="1" applyFont="1" applyBorder="1" applyAlignment="1">
      <alignment vertical="center"/>
    </xf>
    <xf numFmtId="165" fontId="24" fillId="0" borderId="754" xfId="4" applyNumberFormat="1" applyFont="1" applyBorder="1" applyAlignment="1">
      <alignment vertical="center"/>
    </xf>
    <xf numFmtId="165" fontId="24" fillId="0" borderId="755" xfId="4" applyNumberFormat="1" applyFont="1" applyBorder="1" applyAlignment="1">
      <alignment vertical="center"/>
    </xf>
    <xf numFmtId="0" fontId="24" fillId="0" borderId="754" xfId="3" applyFont="1" applyBorder="1" applyAlignment="1">
      <alignment horizontal="left" vertical="center" indent="1"/>
    </xf>
    <xf numFmtId="165" fontId="24" fillId="0" borderId="488" xfId="3" applyNumberFormat="1" applyFont="1" applyBorder="1" applyAlignment="1">
      <alignment vertical="center"/>
    </xf>
    <xf numFmtId="165" fontId="24" fillId="0" borderId="754" xfId="3" applyNumberFormat="1" applyFont="1" applyBorder="1" applyAlignment="1">
      <alignment vertical="center"/>
    </xf>
    <xf numFmtId="165" fontId="24" fillId="0" borderId="756" xfId="3" applyNumberFormat="1" applyFont="1" applyBorder="1" applyAlignment="1">
      <alignment vertical="center"/>
    </xf>
    <xf numFmtId="165" fontId="24" fillId="0" borderId="488" xfId="4" applyNumberFormat="1" applyFont="1" applyBorder="1" applyAlignment="1">
      <alignment vertical="center"/>
    </xf>
    <xf numFmtId="165" fontId="24" fillId="0" borderId="756" xfId="4" applyNumberFormat="1" applyFont="1" applyBorder="1" applyAlignment="1">
      <alignment vertical="center"/>
    </xf>
    <xf numFmtId="0" fontId="23" fillId="0" borderId="757" xfId="3" applyFont="1" applyBorder="1" applyAlignment="1">
      <alignment horizontal="left" vertical="center" wrapText="1"/>
    </xf>
    <xf numFmtId="165" fontId="23" fillId="0" borderId="758" xfId="3" applyNumberFormat="1" applyFont="1" applyBorder="1" applyAlignment="1">
      <alignment horizontal="right" vertical="center"/>
    </xf>
    <xf numFmtId="165" fontId="24" fillId="0" borderId="758" xfId="3" applyNumberFormat="1" applyFont="1" applyBorder="1" applyAlignment="1">
      <alignment horizontal="right" vertical="center"/>
    </xf>
    <xf numFmtId="165" fontId="24" fillId="0" borderId="757" xfId="3" applyNumberFormat="1" applyFont="1" applyBorder="1" applyAlignment="1">
      <alignment horizontal="right" vertical="center"/>
    </xf>
    <xf numFmtId="165" fontId="24" fillId="0" borderId="759" xfId="3" applyNumberFormat="1" applyFont="1" applyBorder="1" applyAlignment="1">
      <alignment horizontal="right" vertical="center"/>
    </xf>
    <xf numFmtId="165" fontId="24" fillId="0" borderId="758" xfId="4" applyNumberFormat="1" applyFont="1" applyBorder="1" applyAlignment="1">
      <alignment horizontal="right" vertical="center"/>
    </xf>
    <xf numFmtId="165" fontId="24" fillId="0" borderId="754" xfId="3" applyNumberFormat="1" applyFont="1" applyBorder="1" applyAlignment="1">
      <alignment horizontal="right" vertical="center"/>
    </xf>
    <xf numFmtId="165" fontId="24" fillId="0" borderId="760" xfId="3" applyNumberFormat="1" applyFont="1" applyBorder="1" applyAlignment="1">
      <alignment horizontal="right" vertical="center"/>
    </xf>
    <xf numFmtId="0" fontId="23" fillId="0" borderId="761" xfId="3" applyFont="1" applyBorder="1" applyAlignment="1">
      <alignment horizontal="left" vertical="center"/>
    </xf>
    <xf numFmtId="165" fontId="23" fillId="0" borderId="762" xfId="3" applyNumberFormat="1" applyFont="1" applyBorder="1" applyAlignment="1">
      <alignment vertical="center"/>
    </xf>
    <xf numFmtId="165" fontId="24" fillId="0" borderId="762" xfId="3" applyNumberFormat="1" applyFont="1" applyBorder="1" applyAlignment="1">
      <alignment vertical="center"/>
    </xf>
    <xf numFmtId="165" fontId="24" fillId="0" borderId="761" xfId="3" applyNumberFormat="1" applyFont="1" applyBorder="1" applyAlignment="1">
      <alignment vertical="center"/>
    </xf>
    <xf numFmtId="165" fontId="24" fillId="0" borderId="763" xfId="3" applyNumberFormat="1" applyFont="1" applyBorder="1" applyAlignment="1">
      <alignment vertical="center"/>
    </xf>
    <xf numFmtId="165" fontId="24" fillId="0" borderId="762" xfId="4" applyNumberFormat="1" applyFont="1" applyBorder="1" applyAlignment="1">
      <alignment vertical="center"/>
    </xf>
    <xf numFmtId="165" fontId="24" fillId="0" borderId="585" xfId="4" applyNumberFormat="1" applyFont="1" applyBorder="1" applyAlignment="1">
      <alignment vertical="center"/>
    </xf>
    <xf numFmtId="165" fontId="24" fillId="0" borderId="764" xfId="4" applyNumberFormat="1" applyFont="1" applyBorder="1" applyAlignment="1">
      <alignment vertical="center"/>
    </xf>
    <xf numFmtId="0" fontId="23" fillId="0" borderId="765" xfId="3" applyFont="1" applyBorder="1" applyAlignment="1">
      <alignment horizontal="left" vertical="center"/>
    </xf>
    <xf numFmtId="165" fontId="23" fillId="0" borderId="766" xfId="3" applyNumberFormat="1" applyFont="1" applyBorder="1" applyAlignment="1">
      <alignment vertical="center"/>
    </xf>
    <xf numFmtId="165" fontId="24" fillId="0" borderId="766" xfId="3" applyNumberFormat="1" applyFont="1" applyBorder="1" applyAlignment="1">
      <alignment vertical="center"/>
    </xf>
    <xf numFmtId="165" fontId="24" fillId="0" borderId="765" xfId="3" applyNumberFormat="1" applyFont="1" applyBorder="1" applyAlignment="1">
      <alignment vertical="center"/>
    </xf>
    <xf numFmtId="165" fontId="24" fillId="0" borderId="767" xfId="3" applyNumberFormat="1" applyFont="1" applyBorder="1" applyAlignment="1">
      <alignment vertical="center"/>
    </xf>
    <xf numFmtId="165" fontId="24" fillId="0" borderId="23" xfId="3" applyNumberFormat="1" applyFont="1" applyBorder="1" applyAlignment="1">
      <alignment vertical="center"/>
    </xf>
    <xf numFmtId="165" fontId="24" fillId="0" borderId="768" xfId="3" applyNumberFormat="1" applyFont="1" applyBorder="1" applyAlignment="1">
      <alignment vertical="center"/>
    </xf>
    <xf numFmtId="0" fontId="46" fillId="10" borderId="770" xfId="3" applyFont="1" applyFill="1" applyBorder="1" applyAlignment="1">
      <alignment horizontal="left" vertical="center"/>
    </xf>
    <xf numFmtId="171" fontId="35" fillId="0" borderId="770" xfId="4" applyNumberFormat="1" applyFont="1" applyBorder="1" applyAlignment="1">
      <alignment horizontal="left" vertical="center"/>
    </xf>
    <xf numFmtId="166" fontId="17" fillId="0" borderId="771" xfId="3" applyNumberFormat="1" applyFont="1" applyBorder="1" applyAlignment="1">
      <alignment horizontal="right" vertical="center"/>
    </xf>
    <xf numFmtId="166" fontId="16" fillId="0" borderId="771" xfId="3" applyNumberFormat="1" applyFont="1" applyBorder="1" applyAlignment="1">
      <alignment horizontal="right" vertical="center"/>
    </xf>
    <xf numFmtId="166" fontId="16" fillId="0" borderId="770" xfId="3" applyNumberFormat="1" applyFont="1" applyBorder="1" applyAlignment="1">
      <alignment horizontal="right" vertical="center"/>
    </xf>
    <xf numFmtId="166" fontId="16" fillId="0" borderId="772" xfId="3" applyNumberFormat="1" applyFont="1" applyBorder="1" applyAlignment="1">
      <alignment horizontal="right" vertical="center"/>
    </xf>
    <xf numFmtId="166" fontId="16" fillId="0" borderId="773" xfId="3" applyNumberFormat="1" applyFont="1" applyBorder="1" applyAlignment="1">
      <alignment horizontal="right" vertical="center"/>
    </xf>
    <xf numFmtId="166" fontId="16" fillId="0" borderId="475" xfId="3" applyNumberFormat="1" applyFont="1" applyBorder="1" applyAlignment="1">
      <alignment horizontal="right" vertical="center"/>
    </xf>
    <xf numFmtId="0" fontId="23" fillId="0" borderId="400" xfId="3" applyFont="1" applyBorder="1" applyAlignment="1">
      <alignment horizontal="left" vertical="center"/>
    </xf>
    <xf numFmtId="165" fontId="23" fillId="0" borderId="774" xfId="3" applyNumberFormat="1" applyFont="1" applyBorder="1" applyAlignment="1">
      <alignment horizontal="right" vertical="center"/>
    </xf>
    <xf numFmtId="165" fontId="24" fillId="0" borderId="775" xfId="3" applyNumberFormat="1" applyFont="1" applyBorder="1" applyAlignment="1">
      <alignment horizontal="right" vertical="center"/>
    </xf>
    <xf numFmtId="165" fontId="24" fillId="0" borderId="776" xfId="3" applyNumberFormat="1" applyFont="1" applyBorder="1" applyAlignment="1">
      <alignment horizontal="right" vertical="center"/>
    </xf>
    <xf numFmtId="165" fontId="24" fillId="0" borderId="777" xfId="3" applyNumberFormat="1" applyFont="1" applyBorder="1" applyAlignment="1">
      <alignment horizontal="right" vertical="center"/>
    </xf>
    <xf numFmtId="165" fontId="24" fillId="0" borderId="778" xfId="3" applyNumberFormat="1" applyFont="1" applyBorder="1" applyAlignment="1">
      <alignment horizontal="right" vertical="center"/>
    </xf>
    <xf numFmtId="165" fontId="24" fillId="0" borderId="779" xfId="3" applyNumberFormat="1" applyFont="1" applyBorder="1" applyAlignment="1">
      <alignment horizontal="right" vertical="center"/>
    </xf>
    <xf numFmtId="165" fontId="24" fillId="0" borderId="780" xfId="3" applyNumberFormat="1" applyFont="1" applyBorder="1" applyAlignment="1">
      <alignment horizontal="right" vertical="center"/>
    </xf>
    <xf numFmtId="0" fontId="23" fillId="0" borderId="781" xfId="3" applyFont="1" applyBorder="1" applyAlignment="1">
      <alignment horizontal="left" vertical="center"/>
    </xf>
    <xf numFmtId="165" fontId="24" fillId="0" borderId="782" xfId="3" applyNumberFormat="1" applyFont="1" applyBorder="1" applyAlignment="1">
      <alignment horizontal="right" vertical="center"/>
    </xf>
    <xf numFmtId="165" fontId="24" fillId="0" borderId="783" xfId="3" applyNumberFormat="1" applyFont="1" applyBorder="1" applyAlignment="1">
      <alignment horizontal="right" vertical="center"/>
    </xf>
    <xf numFmtId="165" fontId="24" fillId="0" borderId="784" xfId="3" applyNumberFormat="1" applyFont="1" applyBorder="1" applyAlignment="1">
      <alignment horizontal="right" vertical="center"/>
    </xf>
    <xf numFmtId="165" fontId="24" fillId="0" borderId="774" xfId="3" applyNumberFormat="1" applyFont="1" applyBorder="1" applyAlignment="1">
      <alignment horizontal="right" vertical="center"/>
    </xf>
    <xf numFmtId="165" fontId="24" fillId="0" borderId="785" xfId="3" applyNumberFormat="1" applyFont="1" applyBorder="1" applyAlignment="1">
      <alignment horizontal="right" vertical="center"/>
    </xf>
    <xf numFmtId="165" fontId="24" fillId="0" borderId="786" xfId="3" applyNumberFormat="1" applyFont="1" applyBorder="1" applyAlignment="1">
      <alignment horizontal="right" vertical="center"/>
    </xf>
    <xf numFmtId="0" fontId="24" fillId="0" borderId="781" xfId="3" applyFont="1" applyBorder="1" applyAlignment="1">
      <alignment horizontal="left" vertical="center"/>
    </xf>
    <xf numFmtId="41" fontId="23" fillId="0" borderId="774" xfId="3" applyNumberFormat="1" applyFont="1" applyBorder="1" applyAlignment="1">
      <alignment horizontal="right" vertical="center"/>
    </xf>
    <xf numFmtId="41" fontId="24" fillId="0" borderId="782" xfId="3" applyNumberFormat="1" applyFont="1" applyBorder="1" applyAlignment="1">
      <alignment horizontal="right" vertical="center"/>
    </xf>
    <xf numFmtId="41" fontId="24" fillId="0" borderId="783" xfId="3" applyNumberFormat="1" applyFont="1" applyBorder="1" applyAlignment="1">
      <alignment horizontal="right" vertical="center"/>
    </xf>
    <xf numFmtId="41" fontId="24" fillId="0" borderId="784" xfId="3" applyNumberFormat="1" applyFont="1" applyBorder="1" applyAlignment="1">
      <alignment horizontal="right" vertical="center"/>
    </xf>
    <xf numFmtId="41" fontId="24" fillId="0" borderId="774" xfId="3" applyNumberFormat="1" applyFont="1" applyBorder="1" applyAlignment="1">
      <alignment horizontal="right" vertical="center"/>
    </xf>
    <xf numFmtId="41" fontId="24" fillId="0" borderId="785" xfId="3" applyNumberFormat="1" applyFont="1" applyBorder="1" applyAlignment="1">
      <alignment horizontal="right" vertical="center"/>
    </xf>
    <xf numFmtId="41" fontId="24" fillId="0" borderId="786" xfId="3" applyNumberFormat="1" applyFont="1" applyBorder="1" applyAlignment="1">
      <alignment horizontal="right" vertical="center"/>
    </xf>
    <xf numFmtId="0" fontId="24" fillId="0" borderId="781" xfId="3" applyFont="1" applyBorder="1" applyAlignment="1">
      <alignment horizontal="left" vertical="center" indent="1"/>
    </xf>
    <xf numFmtId="168" fontId="23" fillId="0" borderId="774" xfId="3" applyNumberFormat="1" applyFont="1" applyBorder="1" applyAlignment="1">
      <alignment horizontal="right" vertical="center"/>
    </xf>
    <xf numFmtId="168" fontId="24" fillId="0" borderId="782" xfId="3" applyNumberFormat="1" applyFont="1" applyBorder="1" applyAlignment="1">
      <alignment horizontal="right" vertical="center"/>
    </xf>
    <xf numFmtId="168" fontId="24" fillId="0" borderId="783" xfId="3" applyNumberFormat="1" applyFont="1" applyBorder="1" applyAlignment="1">
      <alignment horizontal="right" vertical="center"/>
    </xf>
    <xf numFmtId="168" fontId="24" fillId="0" borderId="784" xfId="3" applyNumberFormat="1" applyFont="1" applyBorder="1" applyAlignment="1">
      <alignment horizontal="right" vertical="center"/>
    </xf>
    <xf numFmtId="168" fontId="24" fillId="0" borderId="774" xfId="3" applyNumberFormat="1" applyFont="1" applyBorder="1" applyAlignment="1">
      <alignment horizontal="right" vertical="center"/>
    </xf>
    <xf numFmtId="168" fontId="24" fillId="0" borderId="380" xfId="3" applyNumberFormat="1" applyFont="1" applyBorder="1" applyAlignment="1">
      <alignment horizontal="right" vertical="center"/>
    </xf>
    <xf numFmtId="168" fontId="24" fillId="0" borderId="785" xfId="3" applyNumberFormat="1" applyFont="1" applyBorder="1" applyAlignment="1">
      <alignment horizontal="right" vertical="center"/>
    </xf>
    <xf numFmtId="168" fontId="24" fillId="0" borderId="786" xfId="3" applyNumberFormat="1" applyFont="1" applyBorder="1" applyAlignment="1">
      <alignment horizontal="right" vertical="center"/>
    </xf>
    <xf numFmtId="169" fontId="23" fillId="0" borderId="774" xfId="3" applyNumberFormat="1" applyFont="1" applyBorder="1" applyAlignment="1">
      <alignment horizontal="right" vertical="center"/>
    </xf>
    <xf numFmtId="169" fontId="24" fillId="0" borderId="782" xfId="3" applyNumberFormat="1" applyFont="1" applyBorder="1" applyAlignment="1">
      <alignment horizontal="right" vertical="center"/>
    </xf>
    <xf numFmtId="169" fontId="24" fillId="0" borderId="783" xfId="3" applyNumberFormat="1" applyFont="1" applyBorder="1" applyAlignment="1">
      <alignment horizontal="right" vertical="center"/>
    </xf>
    <xf numFmtId="169" fontId="24" fillId="0" borderId="784" xfId="3" applyNumberFormat="1" applyFont="1" applyBorder="1" applyAlignment="1">
      <alignment horizontal="right" vertical="center"/>
    </xf>
    <xf numFmtId="169" fontId="24" fillId="0" borderId="774" xfId="3" applyNumberFormat="1" applyFont="1" applyBorder="1" applyAlignment="1">
      <alignment horizontal="right" vertical="center"/>
    </xf>
    <xf numFmtId="169" fontId="24" fillId="0" borderId="380" xfId="3" applyNumberFormat="1" applyFont="1" applyBorder="1" applyAlignment="1">
      <alignment horizontal="right" vertical="center"/>
    </xf>
    <xf numFmtId="169" fontId="24" fillId="0" borderId="785" xfId="3" applyNumberFormat="1" applyFont="1" applyBorder="1" applyAlignment="1">
      <alignment horizontal="right" vertical="center"/>
    </xf>
    <xf numFmtId="169" fontId="24" fillId="0" borderId="786" xfId="3" applyNumberFormat="1" applyFont="1" applyBorder="1" applyAlignment="1">
      <alignment horizontal="right" vertical="center"/>
    </xf>
    <xf numFmtId="165" fontId="17" fillId="0" borderId="379" xfId="4" applyNumberFormat="1" applyFont="1" applyFill="1" applyBorder="1" applyAlignment="1">
      <alignment horizontal="right" vertical="center"/>
    </xf>
    <xf numFmtId="167" fontId="23" fillId="0" borderId="774" xfId="3" applyNumberFormat="1" applyFont="1" applyBorder="1" applyAlignment="1">
      <alignment horizontal="right" vertical="center"/>
    </xf>
    <xf numFmtId="167" fontId="24" fillId="0" borderId="782" xfId="3" applyNumberFormat="1" applyFont="1" applyBorder="1" applyAlignment="1">
      <alignment horizontal="right" vertical="center"/>
    </xf>
    <xf numFmtId="167" fontId="24" fillId="0" borderId="787" xfId="3" applyNumberFormat="1" applyFont="1" applyBorder="1" applyAlignment="1">
      <alignment horizontal="right" vertical="center"/>
    </xf>
    <xf numFmtId="167" fontId="24" fillId="0" borderId="784" xfId="3" applyNumberFormat="1" applyFont="1" applyBorder="1" applyAlignment="1">
      <alignment horizontal="right" vertical="center"/>
    </xf>
    <xf numFmtId="167" fontId="24" fillId="0" borderId="774" xfId="3" applyNumberFormat="1" applyFont="1" applyBorder="1" applyAlignment="1">
      <alignment horizontal="right" vertical="center"/>
    </xf>
    <xf numFmtId="167" fontId="24" fillId="0" borderId="380" xfId="3" applyNumberFormat="1" applyFont="1" applyBorder="1" applyAlignment="1">
      <alignment horizontal="right" vertical="center"/>
    </xf>
    <xf numFmtId="167" fontId="24" fillId="0" borderId="785" xfId="3" applyNumberFormat="1" applyFont="1" applyBorder="1" applyAlignment="1">
      <alignment horizontal="right" vertical="center"/>
    </xf>
    <xf numFmtId="167" fontId="24" fillId="0" borderId="786" xfId="3" applyNumberFormat="1" applyFont="1" applyBorder="1" applyAlignment="1">
      <alignment horizontal="right" vertical="center"/>
    </xf>
    <xf numFmtId="0" fontId="24" fillId="0" borderId="788" xfId="3" applyFont="1" applyBorder="1" applyAlignment="1">
      <alignment horizontal="left" vertical="center" indent="1"/>
    </xf>
    <xf numFmtId="165" fontId="23" fillId="0" borderId="789" xfId="3" applyNumberFormat="1" applyFont="1" applyBorder="1" applyAlignment="1">
      <alignment horizontal="right" vertical="center"/>
    </xf>
    <xf numFmtId="165" fontId="24" fillId="0" borderId="789" xfId="3" applyNumberFormat="1" applyFont="1" applyBorder="1" applyAlignment="1">
      <alignment horizontal="right" vertical="center"/>
    </xf>
    <xf numFmtId="165" fontId="24" fillId="0" borderId="790" xfId="3" applyNumberFormat="1" applyFont="1" applyBorder="1" applyAlignment="1">
      <alignment horizontal="right" vertical="center"/>
    </xf>
    <xf numFmtId="165" fontId="24" fillId="0" borderId="791" xfId="3" applyNumberFormat="1" applyFont="1" applyBorder="1" applyAlignment="1">
      <alignment horizontal="right" vertical="center"/>
    </xf>
    <xf numFmtId="165" fontId="24" fillId="0" borderId="792" xfId="3" applyNumberFormat="1" applyFont="1" applyBorder="1" applyAlignment="1">
      <alignment horizontal="right" vertical="center"/>
    </xf>
    <xf numFmtId="0" fontId="24" fillId="0" borderId="390" xfId="3" applyFont="1" applyBorder="1" applyAlignment="1">
      <alignment horizontal="left" vertical="center" indent="1"/>
    </xf>
    <xf numFmtId="165" fontId="24" fillId="0" borderId="390" xfId="3" applyNumberFormat="1" applyFont="1" applyBorder="1" applyAlignment="1">
      <alignment horizontal="right" vertical="center"/>
    </xf>
    <xf numFmtId="0" fontId="39" fillId="10" borderId="793" xfId="3" applyFont="1" applyFill="1" applyBorder="1" applyAlignment="1">
      <alignment vertical="center"/>
    </xf>
    <xf numFmtId="0" fontId="35" fillId="0" borderId="793" xfId="3" applyFont="1" applyBorder="1" applyAlignment="1">
      <alignment vertical="center"/>
    </xf>
    <xf numFmtId="166" fontId="23" fillId="0" borderId="450" xfId="3" applyNumberFormat="1" applyFont="1" applyBorder="1" applyAlignment="1">
      <alignment horizontal="right" vertical="center"/>
    </xf>
    <xf numFmtId="166" fontId="24" fillId="0" borderId="450" xfId="3" applyNumberFormat="1" applyFont="1" applyBorder="1" applyAlignment="1">
      <alignment horizontal="right" vertical="center"/>
    </xf>
    <xf numFmtId="166" fontId="24" fillId="0" borderId="793" xfId="3" applyNumberFormat="1" applyFont="1" applyBorder="1" applyAlignment="1">
      <alignment horizontal="right" vertical="center"/>
    </xf>
    <xf numFmtId="166" fontId="24" fillId="0" borderId="794" xfId="3" applyNumberFormat="1" applyFont="1" applyBorder="1" applyAlignment="1">
      <alignment horizontal="right" vertical="center"/>
    </xf>
    <xf numFmtId="166" fontId="24" fillId="0" borderId="794" xfId="4" applyNumberFormat="1" applyFont="1" applyBorder="1" applyAlignment="1">
      <alignment horizontal="right" vertical="center"/>
    </xf>
    <xf numFmtId="166" fontId="24" fillId="0" borderId="450" xfId="4" applyNumberFormat="1" applyFont="1" applyBorder="1" applyAlignment="1">
      <alignment horizontal="right" vertical="center"/>
    </xf>
    <xf numFmtId="166" fontId="24" fillId="0" borderId="794" xfId="4" applyNumberFormat="1" applyFont="1" applyBorder="1" applyAlignment="1">
      <alignment vertical="center"/>
    </xf>
    <xf numFmtId="166" fontId="24" fillId="0" borderId="449" xfId="4" applyNumberFormat="1" applyFont="1" applyBorder="1" applyAlignment="1">
      <alignment vertical="center"/>
    </xf>
    <xf numFmtId="166" fontId="24" fillId="0" borderId="450" xfId="4" applyNumberFormat="1" applyFont="1" applyBorder="1" applyAlignment="1">
      <alignment vertical="center"/>
    </xf>
    <xf numFmtId="166" fontId="24" fillId="0" borderId="450" xfId="3" applyNumberFormat="1" applyFont="1" applyBorder="1" applyAlignment="1">
      <alignment vertical="center"/>
    </xf>
    <xf numFmtId="0" fontId="14" fillId="0" borderId="793" xfId="3" applyFont="1" applyBorder="1" applyAlignment="1">
      <alignment vertical="center"/>
    </xf>
    <xf numFmtId="0" fontId="23" fillId="0" borderId="450" xfId="3" applyFont="1" applyBorder="1"/>
    <xf numFmtId="0" fontId="24" fillId="0" borderId="450" xfId="3" applyFont="1" applyBorder="1"/>
    <xf numFmtId="0" fontId="24" fillId="0" borderId="793" xfId="3" applyFont="1" applyBorder="1"/>
    <xf numFmtId="0" fontId="23" fillId="0" borderId="794" xfId="3" applyFont="1" applyBorder="1"/>
    <xf numFmtId="0" fontId="23" fillId="0" borderId="793" xfId="3" applyFont="1" applyBorder="1"/>
    <xf numFmtId="0" fontId="23" fillId="0" borderId="794" xfId="4" applyNumberFormat="1" applyFont="1" applyBorder="1" applyAlignment="1"/>
    <xf numFmtId="0" fontId="23" fillId="0" borderId="450" xfId="4" applyNumberFormat="1" applyFont="1" applyBorder="1" applyAlignment="1"/>
    <xf numFmtId="0" fontId="23" fillId="0" borderId="449" xfId="4" applyNumberFormat="1" applyFont="1" applyBorder="1" applyAlignment="1"/>
    <xf numFmtId="0" fontId="23" fillId="0" borderId="400" xfId="3" applyFont="1" applyBorder="1" applyAlignment="1">
      <alignment horizontal="left" vertical="center" indent="1"/>
    </xf>
    <xf numFmtId="41" fontId="23" fillId="0" borderId="432" xfId="3" applyNumberFormat="1" applyFont="1" applyBorder="1"/>
    <xf numFmtId="41" fontId="24" fillId="0" borderId="432" xfId="3" applyNumberFormat="1" applyFont="1" applyBorder="1"/>
    <xf numFmtId="41" fontId="24" fillId="0" borderId="400" xfId="3" applyNumberFormat="1" applyFont="1" applyBorder="1"/>
    <xf numFmtId="41" fontId="24" fillId="0" borderId="433" xfId="3" applyNumberFormat="1" applyFont="1" applyBorder="1"/>
    <xf numFmtId="171" fontId="24" fillId="0" borderId="433" xfId="4" applyNumberFormat="1" applyFont="1" applyBorder="1" applyAlignment="1"/>
    <xf numFmtId="171" fontId="24" fillId="0" borderId="432" xfId="4" applyNumberFormat="1" applyFont="1" applyBorder="1" applyAlignment="1"/>
    <xf numFmtId="171" fontId="24" fillId="0" borderId="400" xfId="4" applyNumberFormat="1" applyFont="1" applyBorder="1" applyAlignment="1"/>
    <xf numFmtId="0" fontId="24" fillId="0" borderId="795" xfId="3" applyFont="1" applyBorder="1" applyAlignment="1">
      <alignment horizontal="left" vertical="center" indent="2"/>
    </xf>
    <xf numFmtId="165" fontId="23" fillId="0" borderId="796" xfId="3" applyNumberFormat="1" applyFont="1" applyBorder="1" applyAlignment="1">
      <alignment horizontal="right"/>
    </xf>
    <xf numFmtId="165" fontId="24" fillId="0" borderId="796" xfId="3" applyNumberFormat="1" applyFont="1" applyBorder="1" applyAlignment="1">
      <alignment horizontal="right"/>
    </xf>
    <xf numFmtId="165" fontId="24" fillId="0" borderId="795" xfId="3" applyNumberFormat="1" applyFont="1" applyBorder="1" applyAlignment="1">
      <alignment horizontal="right"/>
    </xf>
    <xf numFmtId="165" fontId="24" fillId="0" borderId="797" xfId="3" applyNumberFormat="1" applyFont="1" applyBorder="1"/>
    <xf numFmtId="165" fontId="24" fillId="0" borderId="796" xfId="3" applyNumberFormat="1" applyFont="1" applyBorder="1"/>
    <xf numFmtId="165" fontId="24" fillId="0" borderId="795" xfId="3" applyNumberFormat="1" applyFont="1" applyBorder="1"/>
    <xf numFmtId="165" fontId="24" fillId="0" borderId="797" xfId="4" applyNumberFormat="1" applyFont="1" applyBorder="1" applyAlignment="1"/>
    <xf numFmtId="165" fontId="24" fillId="0" borderId="796" xfId="4" applyNumberFormat="1" applyFont="1" applyBorder="1" applyAlignment="1"/>
    <xf numFmtId="165" fontId="24" fillId="0" borderId="798" xfId="4" applyNumberFormat="1" applyFont="1" applyBorder="1" applyAlignment="1"/>
    <xf numFmtId="165" fontId="24" fillId="0" borderId="797" xfId="4" applyNumberFormat="1" applyFont="1" applyBorder="1" applyAlignment="1">
      <alignment horizontal="right"/>
    </xf>
    <xf numFmtId="0" fontId="23" fillId="0" borderId="795" xfId="3" applyFont="1" applyBorder="1" applyAlignment="1">
      <alignment horizontal="left" vertical="center" indent="1"/>
    </xf>
    <xf numFmtId="165" fontId="24" fillId="0" borderId="795" xfId="3" quotePrefix="1" applyNumberFormat="1" applyFont="1" applyBorder="1" applyAlignment="1">
      <alignment horizontal="right"/>
    </xf>
    <xf numFmtId="0" fontId="24" fillId="0" borderId="795" xfId="3" applyFont="1" applyBorder="1" applyAlignment="1">
      <alignment horizontal="left" vertical="center" indent="1"/>
    </xf>
    <xf numFmtId="0" fontId="23" fillId="0" borderId="450" xfId="3" applyFont="1" applyBorder="1" applyAlignment="1">
      <alignment horizontal="right"/>
    </xf>
    <xf numFmtId="0" fontId="24" fillId="0" borderId="450" xfId="3" applyFont="1" applyBorder="1" applyAlignment="1">
      <alignment horizontal="right"/>
    </xf>
    <xf numFmtId="0" fontId="24" fillId="0" borderId="793" xfId="3" applyFont="1" applyBorder="1" applyAlignment="1">
      <alignment horizontal="right"/>
    </xf>
    <xf numFmtId="168" fontId="23" fillId="0" borderId="796" xfId="3" applyNumberFormat="1" applyFont="1" applyBorder="1" applyAlignment="1">
      <alignment horizontal="right"/>
    </xf>
    <xf numFmtId="168" fontId="24" fillId="0" borderId="796" xfId="3" applyNumberFormat="1" applyFont="1" applyBorder="1" applyAlignment="1">
      <alignment horizontal="right"/>
    </xf>
    <xf numFmtId="168" fontId="24" fillId="0" borderId="795" xfId="3" applyNumberFormat="1" applyFont="1" applyBorder="1" applyAlignment="1">
      <alignment horizontal="right"/>
    </xf>
    <xf numFmtId="168" fontId="24" fillId="0" borderId="797" xfId="3" applyNumberFormat="1" applyFont="1" applyBorder="1"/>
    <xf numFmtId="168" fontId="24" fillId="0" borderId="796" xfId="3" applyNumberFormat="1" applyFont="1" applyBorder="1"/>
    <xf numFmtId="168" fontId="24" fillId="0" borderId="795" xfId="3" applyNumberFormat="1" applyFont="1" applyBorder="1"/>
    <xf numFmtId="168" fontId="24" fillId="0" borderId="797" xfId="4" applyNumberFormat="1" applyFont="1" applyBorder="1" applyAlignment="1"/>
    <xf numFmtId="168" fontId="24" fillId="0" borderId="796" xfId="4" applyNumberFormat="1" applyFont="1" applyBorder="1" applyAlignment="1"/>
    <xf numFmtId="168" fontId="24" fillId="0" borderId="797" xfId="4" applyNumberFormat="1" applyFont="1" applyFill="1" applyBorder="1" applyAlignment="1"/>
    <xf numFmtId="168" fontId="24" fillId="0" borderId="798" xfId="4" applyNumberFormat="1" applyFont="1" applyFill="1" applyBorder="1" applyAlignment="1"/>
    <xf numFmtId="0" fontId="24" fillId="0" borderId="173" xfId="3" applyFont="1" applyBorder="1" applyAlignment="1">
      <alignment horizontal="left" vertical="center" indent="1"/>
    </xf>
    <xf numFmtId="169" fontId="23" fillId="0" borderId="172" xfId="3" applyNumberFormat="1" applyFont="1" applyBorder="1" applyAlignment="1">
      <alignment horizontal="right"/>
    </xf>
    <xf numFmtId="169" fontId="24" fillId="0" borderId="172" xfId="3" applyNumberFormat="1" applyFont="1" applyBorder="1" applyAlignment="1">
      <alignment horizontal="right"/>
    </xf>
    <xf numFmtId="169" fontId="24" fillId="0" borderId="173" xfId="3" applyNumberFormat="1" applyFont="1" applyBorder="1" applyAlignment="1">
      <alignment horizontal="right"/>
    </xf>
    <xf numFmtId="41" fontId="24" fillId="0" borderId="171" xfId="3" applyNumberFormat="1" applyFont="1" applyBorder="1"/>
    <xf numFmtId="169" fontId="24" fillId="0" borderId="172" xfId="3" applyNumberFormat="1" applyFont="1" applyBorder="1"/>
    <xf numFmtId="169" fontId="24" fillId="0" borderId="173" xfId="3" applyNumberFormat="1" applyFont="1" applyBorder="1"/>
    <xf numFmtId="169" fontId="24" fillId="0" borderId="171" xfId="4" applyNumberFormat="1" applyFont="1" applyBorder="1" applyAlignment="1"/>
    <xf numFmtId="169" fontId="24" fillId="0" borderId="172" xfId="4" applyNumberFormat="1" applyFont="1" applyBorder="1" applyAlignment="1"/>
    <xf numFmtId="169" fontId="24" fillId="0" borderId="173" xfId="4" applyNumberFormat="1" applyFont="1" applyBorder="1" applyAlignment="1"/>
    <xf numFmtId="41" fontId="23" fillId="0" borderId="450" xfId="3" applyNumberFormat="1" applyFont="1" applyBorder="1" applyAlignment="1">
      <alignment horizontal="right"/>
    </xf>
    <xf numFmtId="41" fontId="24" fillId="0" borderId="450" xfId="3" applyNumberFormat="1" applyFont="1" applyBorder="1" applyAlignment="1">
      <alignment horizontal="right"/>
    </xf>
    <xf numFmtId="41" fontId="24" fillId="0" borderId="793" xfId="3" applyNumberFormat="1" applyFont="1" applyBorder="1" applyAlignment="1">
      <alignment horizontal="right"/>
    </xf>
    <xf numFmtId="41" fontId="24" fillId="0" borderId="794" xfId="3" applyNumberFormat="1" applyFont="1" applyBorder="1"/>
    <xf numFmtId="41" fontId="24" fillId="0" borderId="450" xfId="3" applyNumberFormat="1" applyFont="1" applyBorder="1"/>
    <xf numFmtId="41" fontId="24" fillId="0" borderId="793" xfId="3" applyNumberFormat="1" applyFont="1" applyBorder="1"/>
    <xf numFmtId="171" fontId="24" fillId="0" borderId="794" xfId="4" applyNumberFormat="1" applyFont="1" applyBorder="1" applyAlignment="1"/>
    <xf numFmtId="171" fontId="24" fillId="0" borderId="450" xfId="4" applyNumberFormat="1" applyFont="1" applyBorder="1" applyAlignment="1"/>
    <xf numFmtId="171" fontId="24" fillId="0" borderId="449" xfId="4" applyNumberFormat="1" applyFont="1" applyBorder="1" applyAlignment="1"/>
    <xf numFmtId="41" fontId="23" fillId="0" borderId="432" xfId="3" applyNumberFormat="1" applyFont="1" applyBorder="1" applyAlignment="1">
      <alignment horizontal="right"/>
    </xf>
    <xf numFmtId="41" fontId="24" fillId="0" borderId="432" xfId="3" applyNumberFormat="1" applyFont="1" applyBorder="1" applyAlignment="1">
      <alignment horizontal="right"/>
    </xf>
    <xf numFmtId="41" fontId="24" fillId="0" borderId="400" xfId="3" applyNumberFormat="1" applyFont="1" applyBorder="1" applyAlignment="1">
      <alignment horizontal="right"/>
    </xf>
    <xf numFmtId="165" fontId="24" fillId="0" borderId="798" xfId="4" applyNumberFormat="1" applyFont="1" applyFill="1" applyBorder="1" applyAlignment="1"/>
    <xf numFmtId="165" fontId="24" fillId="0" borderId="797" xfId="4" applyNumberFormat="1" applyFont="1" applyFill="1" applyBorder="1" applyAlignment="1">
      <alignment horizontal="right"/>
    </xf>
    <xf numFmtId="168" fontId="24" fillId="0" borderId="795" xfId="4" applyNumberFormat="1" applyFont="1" applyBorder="1" applyAlignment="1"/>
    <xf numFmtId="168" fontId="24" fillId="0" borderId="796" xfId="4" applyNumberFormat="1" applyFont="1" applyFill="1" applyBorder="1" applyAlignment="1"/>
    <xf numFmtId="169" fontId="24" fillId="0" borderId="171" xfId="3" applyNumberFormat="1" applyFont="1" applyBorder="1"/>
    <xf numFmtId="169" fontId="24" fillId="0" borderId="171" xfId="4" applyNumberFormat="1" applyFont="1" applyFill="1" applyBorder="1" applyAlignment="1"/>
    <xf numFmtId="169" fontId="24" fillId="0" borderId="173" xfId="4" applyNumberFormat="1" applyFont="1" applyFill="1" applyBorder="1" applyAlignment="1"/>
    <xf numFmtId="169" fontId="24" fillId="0" borderId="172" xfId="4" applyNumberFormat="1" applyFont="1" applyFill="1" applyBorder="1" applyAlignment="1"/>
    <xf numFmtId="0" fontId="14" fillId="0" borderId="793" xfId="3" applyFont="1" applyBorder="1" applyAlignment="1">
      <alignment horizontal="left" vertical="center"/>
    </xf>
    <xf numFmtId="165" fontId="24" fillId="0" borderId="798" xfId="4" applyNumberFormat="1" applyFont="1" applyBorder="1" applyAlignment="1">
      <alignment horizontal="right"/>
    </xf>
    <xf numFmtId="165" fontId="24" fillId="0" borderId="798" xfId="4" applyNumberFormat="1" applyFont="1" applyFill="1" applyBorder="1" applyAlignment="1">
      <alignment horizontal="right"/>
    </xf>
    <xf numFmtId="0" fontId="23" fillId="0" borderId="794" xfId="4" applyNumberFormat="1" applyFont="1" applyBorder="1" applyAlignment="1">
      <alignment horizontal="right"/>
    </xf>
    <xf numFmtId="0" fontId="23" fillId="0" borderId="449" xfId="4" applyNumberFormat="1" applyFont="1" applyBorder="1" applyAlignment="1">
      <alignment horizontal="right"/>
    </xf>
    <xf numFmtId="168" fontId="24" fillId="0" borderId="797" xfId="4" applyNumberFormat="1" applyFont="1" applyBorder="1" applyAlignment="1">
      <alignment horizontal="right"/>
    </xf>
    <xf numFmtId="168" fontId="24" fillId="0" borderId="798" xfId="4" applyNumberFormat="1" applyFont="1" applyBorder="1" applyAlignment="1">
      <alignment horizontal="right"/>
    </xf>
    <xf numFmtId="0" fontId="24" fillId="0" borderId="799" xfId="3" applyFont="1" applyBorder="1" applyAlignment="1">
      <alignment horizontal="left" vertical="center" indent="1"/>
    </xf>
    <xf numFmtId="168" fontId="23" fillId="0" borderId="800" xfId="3" applyNumberFormat="1" applyFont="1" applyBorder="1" applyAlignment="1">
      <alignment horizontal="right"/>
    </xf>
    <xf numFmtId="168" fontId="24" fillId="0" borderId="800" xfId="3" applyNumberFormat="1" applyFont="1" applyBorder="1" applyAlignment="1">
      <alignment horizontal="right"/>
    </xf>
    <xf numFmtId="168" fontId="24" fillId="0" borderId="799" xfId="3" applyNumberFormat="1" applyFont="1" applyBorder="1" applyAlignment="1">
      <alignment horizontal="right"/>
    </xf>
    <xf numFmtId="168" fontId="24" fillId="0" borderId="801" xfId="3" applyNumberFormat="1" applyFont="1" applyBorder="1"/>
    <xf numFmtId="168" fontId="24" fillId="0" borderId="800" xfId="3" applyNumberFormat="1" applyFont="1" applyBorder="1"/>
    <xf numFmtId="168" fontId="24" fillId="0" borderId="799" xfId="3" applyNumberFormat="1" applyFont="1" applyBorder="1"/>
    <xf numFmtId="168" fontId="24" fillId="0" borderId="801" xfId="4" applyNumberFormat="1" applyFont="1" applyBorder="1" applyAlignment="1"/>
    <xf numFmtId="168" fontId="24" fillId="0" borderId="800" xfId="4" applyNumberFormat="1" applyFont="1" applyBorder="1" applyAlignment="1"/>
    <xf numFmtId="168" fontId="24" fillId="0" borderId="801" xfId="4" applyNumberFormat="1" applyFont="1" applyBorder="1" applyAlignment="1">
      <alignment horizontal="right"/>
    </xf>
    <xf numFmtId="168" fontId="24" fillId="0" borderId="802" xfId="4" applyNumberFormat="1" applyFont="1" applyBorder="1" applyAlignment="1">
      <alignment horizontal="right"/>
    </xf>
    <xf numFmtId="0" fontId="29" fillId="0" borderId="390" xfId="3" applyFont="1" applyBorder="1" applyAlignment="1">
      <alignment horizontal="left" vertical="center" indent="1"/>
    </xf>
    <xf numFmtId="169" fontId="30" fillId="0" borderId="390" xfId="3" applyNumberFormat="1" applyFont="1" applyBorder="1" applyAlignment="1">
      <alignment vertical="center"/>
    </xf>
    <xf numFmtId="169" fontId="30" fillId="0" borderId="390" xfId="4" applyNumberFormat="1" applyFont="1" applyBorder="1" applyAlignment="1">
      <alignment vertical="center"/>
    </xf>
    <xf numFmtId="169" fontId="30" fillId="0" borderId="390" xfId="4" applyNumberFormat="1" applyFont="1" applyFill="1" applyBorder="1" applyAlignment="1">
      <alignment vertical="center"/>
    </xf>
    <xf numFmtId="0" fontId="23" fillId="6" borderId="804" xfId="3" applyFont="1" applyFill="1" applyBorder="1" applyAlignment="1">
      <alignment horizontal="left" vertical="center"/>
    </xf>
    <xf numFmtId="0" fontId="35" fillId="0" borderId="804" xfId="3" applyFont="1" applyBorder="1" applyAlignment="1">
      <alignment horizontal="left" vertical="center"/>
    </xf>
    <xf numFmtId="0" fontId="23" fillId="0" borderId="805" xfId="3" applyFont="1" applyBorder="1" applyAlignment="1">
      <alignment horizontal="right" vertical="center"/>
    </xf>
    <xf numFmtId="0" fontId="24" fillId="0" borderId="805" xfId="3" applyFont="1" applyBorder="1" applyAlignment="1">
      <alignment horizontal="right" vertical="center"/>
    </xf>
    <xf numFmtId="0" fontId="24" fillId="0" borderId="804" xfId="3" applyFont="1" applyBorder="1" applyAlignment="1">
      <alignment horizontal="right" vertical="center"/>
    </xf>
    <xf numFmtId="0" fontId="24" fillId="0" borderId="806" xfId="4" applyNumberFormat="1" applyFont="1" applyBorder="1" applyAlignment="1">
      <alignment horizontal="right" vertical="center"/>
    </xf>
    <xf numFmtId="0" fontId="24" fillId="0" borderId="805" xfId="4" applyNumberFormat="1" applyFont="1" applyBorder="1" applyAlignment="1">
      <alignment horizontal="right" vertical="center"/>
    </xf>
    <xf numFmtId="0" fontId="24" fillId="0" borderId="804" xfId="4" applyNumberFormat="1" applyFont="1" applyBorder="1" applyAlignment="1">
      <alignment horizontal="right" vertical="center"/>
    </xf>
    <xf numFmtId="166" fontId="24" fillId="0" borderId="806" xfId="4" applyNumberFormat="1" applyFont="1" applyBorder="1" applyAlignment="1">
      <alignment horizontal="right" vertical="center"/>
    </xf>
    <xf numFmtId="0" fontId="24" fillId="0" borderId="806" xfId="4" applyNumberFormat="1" applyFont="1" applyBorder="1" applyAlignment="1">
      <alignment vertical="center"/>
    </xf>
    <xf numFmtId="0" fontId="24" fillId="0" borderId="807" xfId="4" applyNumberFormat="1" applyFont="1" applyBorder="1" applyAlignment="1">
      <alignment vertical="center"/>
    </xf>
    <xf numFmtId="0" fontId="24" fillId="0" borderId="808" xfId="4" applyNumberFormat="1" applyFont="1" applyBorder="1" applyAlignment="1">
      <alignment vertical="center"/>
    </xf>
    <xf numFmtId="0" fontId="24" fillId="0" borderId="805" xfId="3" applyFont="1" applyBorder="1" applyAlignment="1">
      <alignment vertical="center"/>
    </xf>
    <xf numFmtId="0" fontId="14" fillId="0" borderId="122" xfId="3" applyFont="1" applyBorder="1" applyAlignment="1">
      <alignment horizontal="left" vertical="center"/>
    </xf>
    <xf numFmtId="0" fontId="24" fillId="0" borderId="809" xfId="3" applyFont="1" applyBorder="1" applyAlignment="1">
      <alignment horizontal="right" vertical="center"/>
    </xf>
    <xf numFmtId="0" fontId="24" fillId="0" borderId="122" xfId="3" applyFont="1" applyBorder="1" applyAlignment="1">
      <alignment horizontal="right" vertical="center"/>
    </xf>
    <xf numFmtId="0" fontId="24" fillId="0" borderId="810" xfId="4" applyNumberFormat="1" applyFont="1" applyFill="1" applyBorder="1" applyAlignment="1">
      <alignment horizontal="left" vertical="center"/>
    </xf>
    <xf numFmtId="0" fontId="24" fillId="0" borderId="809" xfId="4" applyNumberFormat="1" applyFont="1" applyFill="1" applyBorder="1" applyAlignment="1">
      <alignment horizontal="left" vertical="center"/>
    </xf>
    <xf numFmtId="0" fontId="24" fillId="0" borderId="122" xfId="4" applyNumberFormat="1" applyFont="1" applyFill="1" applyBorder="1" applyAlignment="1">
      <alignment horizontal="left" vertical="center"/>
    </xf>
    <xf numFmtId="0" fontId="24" fillId="0" borderId="810" xfId="4" applyNumberFormat="1" applyFont="1" applyFill="1" applyBorder="1" applyAlignment="1">
      <alignment vertical="center"/>
    </xf>
    <xf numFmtId="0" fontId="24" fillId="0" borderId="122" xfId="4" applyNumberFormat="1" applyFont="1" applyFill="1" applyBorder="1" applyAlignment="1">
      <alignment vertical="center"/>
    </xf>
    <xf numFmtId="0" fontId="24" fillId="0" borderId="809" xfId="4" applyNumberFormat="1" applyFont="1" applyFill="1" applyBorder="1" applyAlignment="1">
      <alignment vertical="center"/>
    </xf>
    <xf numFmtId="0" fontId="24" fillId="0" borderId="811" xfId="3" applyFont="1" applyBorder="1" applyAlignment="1">
      <alignment horizontal="left" vertical="center"/>
    </xf>
    <xf numFmtId="165" fontId="24" fillId="0" borderId="91" xfId="4" applyNumberFormat="1" applyFont="1" applyFill="1" applyBorder="1" applyAlignment="1">
      <alignment vertical="center"/>
    </xf>
    <xf numFmtId="165" fontId="24" fillId="0" borderId="90" xfId="4" applyNumberFormat="1" applyFont="1" applyFill="1" applyBorder="1" applyAlignment="1">
      <alignment vertical="center"/>
    </xf>
    <xf numFmtId="165" fontId="24" fillId="0" borderId="89" xfId="4" applyNumberFormat="1" applyFont="1" applyFill="1" applyBorder="1" applyAlignment="1">
      <alignment vertical="center"/>
    </xf>
    <xf numFmtId="165" fontId="24" fillId="0" borderId="89" xfId="4" applyNumberFormat="1" applyFont="1" applyFill="1" applyBorder="1" applyAlignment="1">
      <alignment horizontal="right" vertical="center"/>
    </xf>
    <xf numFmtId="165" fontId="23" fillId="0" borderId="812" xfId="3" applyNumberFormat="1" applyFont="1" applyBorder="1" applyAlignment="1">
      <alignment horizontal="right" vertical="center"/>
    </xf>
    <xf numFmtId="165" fontId="24" fillId="0" borderId="812" xfId="3" applyNumberFormat="1" applyFont="1" applyBorder="1" applyAlignment="1">
      <alignment horizontal="right" vertical="center"/>
    </xf>
    <xf numFmtId="165" fontId="24" fillId="0" borderId="811" xfId="3" applyNumberFormat="1" applyFont="1" applyBorder="1" applyAlignment="1">
      <alignment horizontal="right" vertical="center"/>
    </xf>
    <xf numFmtId="165" fontId="24" fillId="0" borderId="813" xfId="4" applyNumberFormat="1" applyFont="1" applyFill="1" applyBorder="1" applyAlignment="1">
      <alignment vertical="center"/>
    </xf>
    <xf numFmtId="165" fontId="24" fillId="0" borderId="812" xfId="4" applyNumberFormat="1" applyFont="1" applyFill="1" applyBorder="1" applyAlignment="1">
      <alignment vertical="center"/>
    </xf>
    <xf numFmtId="165" fontId="24" fillId="0" borderId="811" xfId="4" applyNumberFormat="1" applyFont="1" applyFill="1" applyBorder="1" applyAlignment="1">
      <alignment vertical="center"/>
    </xf>
    <xf numFmtId="165" fontId="24" fillId="0" borderId="814" xfId="4" applyNumberFormat="1" applyFont="1" applyFill="1" applyBorder="1" applyAlignment="1">
      <alignment horizontal="right" vertical="center"/>
    </xf>
    <xf numFmtId="165" fontId="24" fillId="0" borderId="815" xfId="4" applyNumberFormat="1" applyFont="1" applyFill="1" applyBorder="1" applyAlignment="1">
      <alignment vertical="center"/>
    </xf>
    <xf numFmtId="0" fontId="23" fillId="0" borderId="811" xfId="3" applyFont="1" applyBorder="1" applyAlignment="1">
      <alignment horizontal="left" vertical="center"/>
    </xf>
    <xf numFmtId="165" fontId="24" fillId="0" borderId="813" xfId="3" applyNumberFormat="1" applyFont="1" applyBorder="1" applyAlignment="1">
      <alignment vertical="center"/>
    </xf>
    <xf numFmtId="165" fontId="24" fillId="0" borderId="815" xfId="3" applyNumberFormat="1" applyFont="1" applyBorder="1" applyAlignment="1">
      <alignment vertical="center"/>
    </xf>
    <xf numFmtId="165" fontId="24" fillId="0" borderId="812" xfId="3" applyNumberFormat="1" applyFont="1" applyBorder="1" applyAlignment="1">
      <alignment vertical="center"/>
    </xf>
    <xf numFmtId="165" fontId="24" fillId="0" borderId="814" xfId="4" applyNumberFormat="1" applyFont="1" applyFill="1" applyBorder="1" applyAlignment="1">
      <alignment vertical="center"/>
    </xf>
    <xf numFmtId="165" fontId="24" fillId="0" borderId="811" xfId="3" applyNumberFormat="1" applyFont="1" applyBorder="1" applyAlignment="1">
      <alignment vertical="center"/>
    </xf>
    <xf numFmtId="0" fontId="14" fillId="0" borderId="804" xfId="3" applyFont="1" applyBorder="1" applyAlignment="1">
      <alignment horizontal="left" vertical="center"/>
    </xf>
    <xf numFmtId="168" fontId="23" fillId="0" borderId="805" xfId="3" applyNumberFormat="1" applyFont="1" applyBorder="1" applyAlignment="1">
      <alignment horizontal="right" vertical="center"/>
    </xf>
    <xf numFmtId="168" fontId="24" fillId="0" borderId="805" xfId="3" applyNumberFormat="1" applyFont="1" applyBorder="1" applyAlignment="1">
      <alignment horizontal="right" vertical="center"/>
    </xf>
    <xf numFmtId="168" fontId="24" fillId="0" borderId="804" xfId="3" applyNumberFormat="1" applyFont="1" applyBorder="1" applyAlignment="1">
      <alignment horizontal="right" vertical="center"/>
    </xf>
    <xf numFmtId="168" fontId="24" fillId="0" borderId="806" xfId="3" applyNumberFormat="1" applyFont="1" applyBorder="1" applyAlignment="1">
      <alignment vertical="center"/>
    </xf>
    <xf numFmtId="168" fontId="24" fillId="0" borderId="805" xfId="3" applyNumberFormat="1" applyFont="1" applyBorder="1" applyAlignment="1">
      <alignment vertical="center"/>
    </xf>
    <xf numFmtId="168" fontId="24" fillId="0" borderId="804" xfId="3" applyNumberFormat="1" applyFont="1" applyBorder="1" applyAlignment="1">
      <alignment vertical="center"/>
    </xf>
    <xf numFmtId="168" fontId="24" fillId="0" borderId="806" xfId="4" applyNumberFormat="1" applyFont="1" applyFill="1" applyBorder="1" applyAlignment="1">
      <alignment vertical="center"/>
    </xf>
    <xf numFmtId="168" fontId="24" fillId="0" borderId="807" xfId="4" applyNumberFormat="1" applyFont="1" applyFill="1" applyBorder="1" applyAlignment="1">
      <alignment vertical="center"/>
    </xf>
    <xf numFmtId="168" fontId="24" fillId="0" borderId="808" xfId="4" applyNumberFormat="1" applyFont="1" applyFill="1" applyBorder="1" applyAlignment="1">
      <alignment vertical="center"/>
    </xf>
    <xf numFmtId="168" fontId="24" fillId="0" borderId="805" xfId="4" applyNumberFormat="1" applyFont="1" applyFill="1" applyBorder="1" applyAlignment="1">
      <alignment vertical="center"/>
    </xf>
    <xf numFmtId="0" fontId="24" fillId="0" borderId="122" xfId="3" applyFont="1" applyBorder="1" applyAlignment="1">
      <alignment horizontal="left" vertical="center"/>
    </xf>
    <xf numFmtId="167" fontId="23" fillId="0" borderId="812" xfId="3" applyNumberFormat="1" applyFont="1" applyBorder="1" applyAlignment="1">
      <alignment horizontal="right" vertical="center"/>
    </xf>
    <xf numFmtId="167" fontId="24" fillId="0" borderId="816" xfId="3" applyNumberFormat="1" applyFont="1" applyBorder="1" applyAlignment="1">
      <alignment horizontal="right" vertical="center"/>
    </xf>
    <xf numFmtId="167" fontId="24" fillId="0" borderId="811" xfId="3" applyNumberFormat="1" applyFont="1" applyBorder="1" applyAlignment="1">
      <alignment horizontal="right" vertical="center"/>
    </xf>
    <xf numFmtId="167" fontId="24" fillId="0" borderId="813" xfId="4" applyNumberFormat="1" applyFont="1" applyFill="1" applyBorder="1" applyAlignment="1">
      <alignment vertical="center"/>
    </xf>
    <xf numFmtId="167" fontId="24" fillId="0" borderId="812" xfId="4" applyNumberFormat="1" applyFont="1" applyFill="1" applyBorder="1" applyAlignment="1">
      <alignment vertical="center"/>
    </xf>
    <xf numFmtId="167" fontId="24" fillId="0" borderId="811" xfId="4" applyNumberFormat="1" applyFont="1" applyFill="1" applyBorder="1" applyAlignment="1">
      <alignment vertical="center"/>
    </xf>
    <xf numFmtId="167" fontId="24" fillId="0" borderId="813" xfId="4" applyNumberFormat="1" applyFont="1" applyFill="1" applyBorder="1" applyAlignment="1">
      <alignment horizontal="right" vertical="center"/>
    </xf>
    <xf numFmtId="167" fontId="24" fillId="0" borderId="122" xfId="4" applyNumberFormat="1" applyFont="1" applyFill="1" applyBorder="1" applyAlignment="1">
      <alignment horizontal="right" vertical="center"/>
    </xf>
    <xf numFmtId="167" fontId="24" fillId="0" borderId="815" xfId="4" applyNumberFormat="1" applyFont="1" applyFill="1" applyBorder="1" applyAlignment="1">
      <alignment horizontal="right" vertical="center"/>
    </xf>
    <xf numFmtId="0" fontId="23" fillId="0" borderId="89" xfId="3" applyFont="1" applyBorder="1" applyAlignment="1">
      <alignment horizontal="left" vertical="center"/>
    </xf>
    <xf numFmtId="170" fontId="23" fillId="0" borderId="812" xfId="3" applyNumberFormat="1" applyFont="1" applyBorder="1" applyAlignment="1">
      <alignment horizontal="right" vertical="center"/>
    </xf>
    <xf numFmtId="185" fontId="24" fillId="0" borderId="812" xfId="3" applyNumberFormat="1" applyFont="1" applyBorder="1" applyAlignment="1">
      <alignment horizontal="right" vertical="center"/>
    </xf>
    <xf numFmtId="185" fontId="24" fillId="0" borderId="811" xfId="3" applyNumberFormat="1" applyFont="1" applyBorder="1" applyAlignment="1">
      <alignment horizontal="right" vertical="center"/>
    </xf>
    <xf numFmtId="185" fontId="24" fillId="0" borderId="813" xfId="4" applyNumberFormat="1" applyFont="1" applyFill="1" applyBorder="1" applyAlignment="1">
      <alignment vertical="center"/>
    </xf>
    <xf numFmtId="185" fontId="24" fillId="0" borderId="812" xfId="4" applyNumberFormat="1" applyFont="1" applyFill="1" applyBorder="1" applyAlignment="1">
      <alignment vertical="center"/>
    </xf>
    <xf numFmtId="185" fontId="24" fillId="0" borderId="811" xfId="4" applyNumberFormat="1" applyFont="1" applyFill="1" applyBorder="1" applyAlignment="1">
      <alignment vertical="center"/>
    </xf>
    <xf numFmtId="185" fontId="24" fillId="0" borderId="813" xfId="4" applyNumberFormat="1" applyFont="1" applyFill="1" applyBorder="1" applyAlignment="1">
      <alignment horizontal="right" vertical="center"/>
    </xf>
    <xf numFmtId="167" fontId="24" fillId="0" borderId="89" xfId="4" applyNumberFormat="1" applyFont="1" applyFill="1" applyBorder="1" applyAlignment="1">
      <alignment horizontal="right" vertical="center"/>
    </xf>
    <xf numFmtId="185" fontId="24" fillId="0" borderId="815" xfId="4" applyNumberFormat="1" applyFont="1" applyFill="1" applyBorder="1" applyAlignment="1">
      <alignment horizontal="right" vertical="center"/>
    </xf>
    <xf numFmtId="0" fontId="24" fillId="0" borderId="811" xfId="3" applyFont="1" applyBorder="1" applyAlignment="1">
      <alignment horizontal="left" vertical="center" indent="1"/>
    </xf>
    <xf numFmtId="167" fontId="24" fillId="0" borderId="812" xfId="3" applyNumberFormat="1" applyFont="1" applyBorder="1" applyAlignment="1">
      <alignment horizontal="right" vertical="center"/>
    </xf>
    <xf numFmtId="167" fontId="16" fillId="0" borderId="811" xfId="4" applyNumberFormat="1" applyFont="1" applyFill="1" applyBorder="1" applyAlignment="1">
      <alignment horizontal="right" vertical="center"/>
    </xf>
    <xf numFmtId="167" fontId="24" fillId="0" borderId="814" xfId="4" applyNumberFormat="1" applyFont="1" applyFill="1" applyBorder="1" applyAlignment="1">
      <alignment horizontal="right" vertical="center"/>
    </xf>
    <xf numFmtId="168" fontId="23" fillId="0" borderId="812" xfId="3" applyNumberFormat="1" applyFont="1" applyBorder="1" applyAlignment="1">
      <alignment horizontal="right" vertical="center"/>
    </xf>
    <xf numFmtId="168" fontId="24" fillId="0" borderId="812" xfId="3" applyNumberFormat="1" applyFont="1" applyBorder="1" applyAlignment="1">
      <alignment horizontal="right" vertical="center"/>
    </xf>
    <xf numFmtId="168" fontId="24" fillId="0" borderId="811" xfId="3" applyNumberFormat="1" applyFont="1" applyBorder="1" applyAlignment="1">
      <alignment horizontal="right" vertical="center"/>
    </xf>
    <xf numFmtId="168" fontId="24" fillId="0" borderId="813" xfId="4" applyNumberFormat="1" applyFont="1" applyFill="1" applyBorder="1" applyAlignment="1">
      <alignment vertical="center"/>
    </xf>
    <xf numFmtId="168" fontId="24" fillId="0" borderId="812" xfId="4" applyNumberFormat="1" applyFont="1" applyFill="1" applyBorder="1" applyAlignment="1">
      <alignment vertical="center"/>
    </xf>
    <xf numFmtId="168" fontId="16" fillId="0" borderId="811" xfId="4" applyNumberFormat="1" applyFont="1" applyFill="1" applyBorder="1" applyAlignment="1">
      <alignment vertical="center"/>
    </xf>
    <xf numFmtId="168" fontId="24" fillId="0" borderId="813" xfId="4" applyNumberFormat="1" applyFont="1" applyFill="1" applyBorder="1" applyAlignment="1">
      <alignment horizontal="right" vertical="center"/>
    </xf>
    <xf numFmtId="168" fontId="24" fillId="0" borderId="814" xfId="4" applyNumberFormat="1" applyFont="1" applyFill="1" applyBorder="1" applyAlignment="1">
      <alignment horizontal="right" vertical="center"/>
    </xf>
    <xf numFmtId="168" fontId="24" fillId="0" borderId="815" xfId="4" applyNumberFormat="1" applyFont="1" applyFill="1" applyBorder="1" applyAlignment="1">
      <alignment horizontal="right" vertical="center"/>
    </xf>
    <xf numFmtId="168" fontId="24" fillId="0" borderId="811" xfId="4" applyNumberFormat="1" applyFont="1" applyFill="1" applyBorder="1" applyAlignment="1">
      <alignment vertical="center"/>
    </xf>
    <xf numFmtId="168" fontId="24" fillId="0" borderId="815" xfId="4" applyNumberFormat="1" applyFont="1" applyFill="1" applyBorder="1" applyAlignment="1">
      <alignment vertical="center"/>
    </xf>
    <xf numFmtId="168" fontId="24" fillId="0" borderId="813" xfId="3" applyNumberFormat="1" applyFont="1" applyBorder="1" applyAlignment="1">
      <alignment vertical="center"/>
    </xf>
    <xf numFmtId="168" fontId="24" fillId="0" borderId="813" xfId="3" applyNumberFormat="1" applyFont="1" applyBorder="1" applyAlignment="1">
      <alignment horizontal="right" vertical="center"/>
    </xf>
    <xf numFmtId="168" fontId="24" fillId="0" borderId="814" xfId="3" applyNumberFormat="1" applyFont="1" applyBorder="1" applyAlignment="1">
      <alignment horizontal="right" vertical="center"/>
    </xf>
    <xf numFmtId="168" fontId="24" fillId="0" borderId="815" xfId="3" applyNumberFormat="1" applyFont="1" applyBorder="1" applyAlignment="1">
      <alignment vertical="center"/>
    </xf>
    <xf numFmtId="168" fontId="24" fillId="0" borderId="812" xfId="3" applyNumberFormat="1" applyFont="1" applyBorder="1" applyAlignment="1">
      <alignment vertical="center"/>
    </xf>
    <xf numFmtId="168" fontId="24" fillId="0" borderId="814" xfId="3" applyNumberFormat="1" applyFont="1" applyBorder="1" applyAlignment="1">
      <alignment vertical="center"/>
    </xf>
    <xf numFmtId="0" fontId="23" fillId="0" borderId="817" xfId="3" applyFont="1" applyBorder="1" applyAlignment="1">
      <alignment horizontal="left" vertical="center"/>
    </xf>
    <xf numFmtId="168" fontId="23" fillId="0" borderId="818" xfId="3" applyNumberFormat="1" applyFont="1" applyBorder="1" applyAlignment="1">
      <alignment horizontal="right" vertical="center"/>
    </xf>
    <xf numFmtId="168" fontId="24" fillId="0" borderId="818" xfId="3" applyNumberFormat="1" applyFont="1" applyBorder="1" applyAlignment="1">
      <alignment horizontal="right" vertical="center"/>
    </xf>
    <xf numFmtId="168" fontId="24" fillId="0" borderId="819" xfId="3" applyNumberFormat="1" applyFont="1" applyBorder="1" applyAlignment="1">
      <alignment horizontal="right" vertical="center"/>
    </xf>
    <xf numFmtId="168" fontId="24" fillId="0" borderId="820" xfId="4" applyNumberFormat="1" applyFont="1" applyFill="1" applyBorder="1" applyAlignment="1">
      <alignment vertical="center"/>
    </xf>
    <xf numFmtId="168" fontId="24" fillId="0" borderId="818" xfId="4" applyNumberFormat="1" applyFont="1" applyFill="1" applyBorder="1" applyAlignment="1">
      <alignment vertical="center"/>
    </xf>
    <xf numFmtId="168" fontId="24" fillId="0" borderId="819" xfId="4" applyNumberFormat="1" applyFont="1" applyFill="1" applyBorder="1" applyAlignment="1">
      <alignment vertical="center"/>
    </xf>
    <xf numFmtId="168" fontId="24" fillId="0" borderId="820" xfId="4" applyNumberFormat="1" applyFont="1" applyFill="1" applyBorder="1" applyAlignment="1">
      <alignment horizontal="right" vertical="center"/>
    </xf>
    <xf numFmtId="168" fontId="24" fillId="0" borderId="821" xfId="4" applyNumberFormat="1" applyFont="1" applyFill="1" applyBorder="1" applyAlignment="1">
      <alignment horizontal="right" vertical="center"/>
    </xf>
    <xf numFmtId="168" fontId="24" fillId="0" borderId="822" xfId="4" applyNumberFormat="1" applyFont="1" applyFill="1" applyBorder="1" applyAlignment="1">
      <alignment vertical="center"/>
    </xf>
    <xf numFmtId="0" fontId="29" fillId="0" borderId="823" xfId="3" applyFont="1" applyBorder="1" applyAlignment="1">
      <alignment vertical="center"/>
    </xf>
    <xf numFmtId="0" fontId="30" fillId="0" borderId="823" xfId="3" applyFont="1" applyBorder="1" applyAlignment="1">
      <alignment vertical="center"/>
    </xf>
    <xf numFmtId="0" fontId="30" fillId="0" borderId="823" xfId="4" applyNumberFormat="1" applyFont="1" applyBorder="1" applyAlignment="1">
      <alignment vertical="center"/>
    </xf>
    <xf numFmtId="166" fontId="23" fillId="0" borderId="805" xfId="3" applyNumberFormat="1" applyFont="1" applyBorder="1" applyAlignment="1">
      <alignment horizontal="right" vertical="center"/>
    </xf>
    <xf numFmtId="166" fontId="24" fillId="0" borderId="805" xfId="3" applyNumberFormat="1" applyFont="1" applyBorder="1" applyAlignment="1">
      <alignment horizontal="right" vertical="center"/>
    </xf>
    <xf numFmtId="166" fontId="24" fillId="0" borderId="804" xfId="3" applyNumberFormat="1" applyFont="1" applyBorder="1" applyAlignment="1">
      <alignment horizontal="right" vertical="center"/>
    </xf>
    <xf numFmtId="166" fontId="24" fillId="0" borderId="806" xfId="4" applyNumberFormat="1" applyFont="1" applyFill="1" applyBorder="1" applyAlignment="1">
      <alignment horizontal="right" vertical="center"/>
    </xf>
    <xf numFmtId="166" fontId="24" fillId="0" borderId="805" xfId="4" applyNumberFormat="1" applyFont="1" applyFill="1" applyBorder="1" applyAlignment="1">
      <alignment horizontal="right" vertical="center"/>
    </xf>
    <xf numFmtId="166" fontId="24" fillId="0" borderId="804" xfId="4" applyNumberFormat="1" applyFont="1" applyFill="1" applyBorder="1" applyAlignment="1">
      <alignment horizontal="right" vertical="center"/>
    </xf>
    <xf numFmtId="166" fontId="24" fillId="0" borderId="806" xfId="4" applyNumberFormat="1" applyFont="1" applyFill="1" applyBorder="1" applyAlignment="1">
      <alignment vertical="center"/>
    </xf>
    <xf numFmtId="166" fontId="24" fillId="0" borderId="804" xfId="4" applyNumberFormat="1" applyFont="1" applyFill="1" applyBorder="1" applyAlignment="1">
      <alignment vertical="center"/>
    </xf>
    <xf numFmtId="166" fontId="24" fillId="0" borderId="805" xfId="4" applyNumberFormat="1" applyFont="1" applyFill="1" applyBorder="1" applyAlignment="1">
      <alignment vertical="center"/>
    </xf>
    <xf numFmtId="166" fontId="24" fillId="0" borderId="805" xfId="3" applyNumberFormat="1" applyFont="1" applyBorder="1" applyAlignment="1">
      <alignment vertical="center"/>
    </xf>
    <xf numFmtId="41" fontId="23" fillId="0" borderId="805" xfId="3" applyNumberFormat="1" applyFont="1" applyBorder="1" applyAlignment="1">
      <alignment vertical="center"/>
    </xf>
    <xf numFmtId="41" fontId="24" fillId="0" borderId="805" xfId="3" applyNumberFormat="1" applyFont="1" applyBorder="1" applyAlignment="1">
      <alignment vertical="center"/>
    </xf>
    <xf numFmtId="41" fontId="24" fillId="0" borderId="804" xfId="3" applyNumberFormat="1" applyFont="1" applyBorder="1" applyAlignment="1">
      <alignment vertical="center"/>
    </xf>
    <xf numFmtId="171" fontId="23" fillId="0" borderId="806" xfId="4" applyNumberFormat="1" applyFont="1" applyFill="1" applyBorder="1" applyAlignment="1">
      <alignment vertical="center"/>
    </xf>
    <xf numFmtId="171" fontId="23" fillId="0" borderId="805" xfId="4" applyNumberFormat="1" applyFont="1" applyFill="1" applyBorder="1" applyAlignment="1">
      <alignment vertical="center"/>
    </xf>
    <xf numFmtId="171" fontId="23" fillId="0" borderId="804" xfId="4" applyNumberFormat="1" applyFont="1" applyFill="1" applyBorder="1" applyAlignment="1">
      <alignment vertical="center"/>
    </xf>
    <xf numFmtId="171" fontId="24" fillId="0" borderId="806" xfId="4" applyNumberFormat="1" applyFont="1" applyFill="1" applyBorder="1" applyAlignment="1">
      <alignment vertical="center"/>
    </xf>
    <xf numFmtId="171" fontId="24" fillId="0" borderId="804" xfId="4" applyNumberFormat="1" applyFont="1" applyFill="1" applyBorder="1" applyAlignment="1">
      <alignment vertical="center"/>
    </xf>
    <xf numFmtId="165" fontId="23" fillId="0" borderId="809" xfId="3" applyNumberFormat="1" applyFont="1" applyBorder="1" applyAlignment="1">
      <alignment horizontal="right" vertical="center"/>
    </xf>
    <xf numFmtId="165" fontId="24" fillId="0" borderId="809" xfId="3" applyNumberFormat="1" applyFont="1" applyBorder="1" applyAlignment="1">
      <alignment horizontal="right" vertical="center"/>
    </xf>
    <xf numFmtId="165" fontId="24" fillId="0" borderId="810" xfId="4" applyNumberFormat="1" applyFont="1" applyFill="1" applyBorder="1" applyAlignment="1">
      <alignment vertical="center"/>
    </xf>
    <xf numFmtId="165" fontId="24" fillId="0" borderId="809" xfId="4" applyNumberFormat="1" applyFont="1" applyFill="1" applyBorder="1" applyAlignment="1">
      <alignment vertical="center"/>
    </xf>
    <xf numFmtId="165" fontId="24" fillId="0" borderId="122" xfId="4" applyNumberFormat="1" applyFont="1" applyFill="1" applyBorder="1" applyAlignment="1">
      <alignment vertical="center"/>
    </xf>
    <xf numFmtId="165" fontId="24" fillId="0" borderId="122" xfId="4" applyNumberFormat="1" applyFont="1" applyFill="1" applyBorder="1" applyAlignment="1">
      <alignment horizontal="right" vertical="center"/>
    </xf>
    <xf numFmtId="165" fontId="24" fillId="0" borderId="811" xfId="4" applyNumberFormat="1" applyFont="1" applyFill="1" applyBorder="1" applyAlignment="1">
      <alignment horizontal="right" vertical="center"/>
    </xf>
    <xf numFmtId="165" fontId="16" fillId="0" borderId="812" xfId="3" applyNumberFormat="1" applyFont="1" applyBorder="1" applyAlignment="1">
      <alignment horizontal="right" vertical="center"/>
    </xf>
    <xf numFmtId="165" fontId="24" fillId="0" borderId="813" xfId="4" applyNumberFormat="1" applyFont="1" applyFill="1" applyBorder="1" applyAlignment="1">
      <alignment horizontal="right" vertical="center"/>
    </xf>
    <xf numFmtId="168" fontId="24" fillId="0" borderId="804" xfId="4" applyNumberFormat="1" applyFont="1" applyFill="1" applyBorder="1" applyAlignment="1">
      <alignment horizontal="right" vertical="center"/>
    </xf>
    <xf numFmtId="167" fontId="24" fillId="0" borderId="811" xfId="4" applyNumberFormat="1" applyFont="1" applyFill="1" applyBorder="1" applyAlignment="1">
      <alignment horizontal="right" vertical="center"/>
    </xf>
    <xf numFmtId="168" fontId="24" fillId="0" borderId="811" xfId="4" applyNumberFormat="1" applyFont="1" applyFill="1" applyBorder="1" applyAlignment="1">
      <alignment horizontal="right" vertical="center"/>
    </xf>
    <xf numFmtId="168" fontId="24" fillId="0" borderId="812" xfId="3" quotePrefix="1" applyNumberFormat="1" applyFont="1" applyBorder="1" applyAlignment="1">
      <alignment horizontal="right" vertical="center"/>
    </xf>
    <xf numFmtId="168" fontId="24" fillId="0" borderId="812" xfId="4" applyNumberFormat="1" applyFont="1" applyFill="1" applyBorder="1" applyAlignment="1">
      <alignment horizontal="right" vertical="center"/>
    </xf>
    <xf numFmtId="0" fontId="23" fillId="0" borderId="824" xfId="3" applyFont="1" applyBorder="1" applyAlignment="1">
      <alignment horizontal="left" vertical="center"/>
    </xf>
    <xf numFmtId="168" fontId="23" fillId="0" borderId="825" xfId="3" applyNumberFormat="1" applyFont="1" applyBorder="1" applyAlignment="1">
      <alignment horizontal="right" vertical="center"/>
    </xf>
    <xf numFmtId="168" fontId="24" fillId="0" borderId="825" xfId="3" applyNumberFormat="1" applyFont="1" applyBorder="1" applyAlignment="1">
      <alignment horizontal="right" vertical="center"/>
    </xf>
    <xf numFmtId="168" fontId="24" fillId="0" borderId="824" xfId="3" applyNumberFormat="1" applyFont="1" applyBorder="1" applyAlignment="1">
      <alignment horizontal="right" vertical="center"/>
    </xf>
    <xf numFmtId="168" fontId="24" fillId="0" borderId="826" xfId="4" applyNumberFormat="1" applyFont="1" applyFill="1" applyBorder="1" applyAlignment="1">
      <alignment horizontal="right" vertical="center"/>
    </xf>
    <xf numFmtId="168" fontId="24" fillId="0" borderId="825" xfId="4" applyNumberFormat="1" applyFont="1" applyFill="1" applyBorder="1" applyAlignment="1">
      <alignment horizontal="right" vertical="center"/>
    </xf>
    <xf numFmtId="168" fontId="24" fillId="0" borderId="824" xfId="4" applyNumberFormat="1" applyFont="1" applyFill="1" applyBorder="1" applyAlignment="1">
      <alignment horizontal="right" vertical="center"/>
    </xf>
    <xf numFmtId="0" fontId="31" fillId="0" borderId="390" xfId="3" applyFont="1" applyBorder="1" applyAlignment="1">
      <alignment horizontal="left" vertical="center" indent="1"/>
    </xf>
    <xf numFmtId="0" fontId="33" fillId="0" borderId="0" xfId="3" applyFont="1" applyAlignment="1">
      <alignment horizontal="left" vertical="center"/>
    </xf>
    <xf numFmtId="165" fontId="24" fillId="0" borderId="827" xfId="3" applyNumberFormat="1" applyFont="1" applyBorder="1" applyAlignment="1">
      <alignment horizontal="right" vertical="center"/>
    </xf>
    <xf numFmtId="165" fontId="24" fillId="0" borderId="828" xfId="3" applyNumberFormat="1" applyFont="1" applyBorder="1" applyAlignment="1">
      <alignment horizontal="right" vertical="center"/>
    </xf>
    <xf numFmtId="0" fontId="53" fillId="0" borderId="279" xfId="3" applyFont="1" applyBorder="1" applyAlignment="1">
      <alignment horizontal="left" vertical="center"/>
    </xf>
    <xf numFmtId="0" fontId="55" fillId="0" borderId="829" xfId="33" applyFont="1" applyBorder="1" applyAlignment="1">
      <alignment horizontal="left" vertical="center" wrapText="1"/>
    </xf>
    <xf numFmtId="0" fontId="53" fillId="0" borderId="830" xfId="33" applyFont="1" applyBorder="1" applyAlignment="1">
      <alignment horizontal="right" vertical="center" wrapText="1"/>
    </xf>
    <xf numFmtId="183" fontId="48" fillId="0" borderId="830" xfId="33" applyNumberFormat="1" applyFont="1" applyBorder="1" applyAlignment="1">
      <alignment horizontal="right" vertical="center" wrapText="1"/>
    </xf>
    <xf numFmtId="183" fontId="48" fillId="0" borderId="139" xfId="33" applyNumberFormat="1" applyFont="1" applyBorder="1" applyAlignment="1">
      <alignment horizontal="right" vertical="center" wrapText="1"/>
    </xf>
    <xf numFmtId="183" fontId="33" fillId="0" borderId="17" xfId="33" applyNumberFormat="1" applyFont="1" applyBorder="1" applyAlignment="1">
      <alignment horizontal="right" vertical="center" wrapText="1"/>
    </xf>
    <xf numFmtId="183" fontId="33" fillId="0" borderId="836" xfId="33" applyNumberFormat="1" applyFont="1" applyBorder="1" applyAlignment="1">
      <alignment horizontal="right" vertical="center" wrapText="1"/>
    </xf>
    <xf numFmtId="183" fontId="33" fillId="0" borderId="837" xfId="33" applyNumberFormat="1" applyFont="1" applyBorder="1" applyAlignment="1">
      <alignment horizontal="right" vertical="center" wrapText="1"/>
    </xf>
    <xf numFmtId="0" fontId="48" fillId="0" borderId="17" xfId="33" applyFont="1" applyBorder="1" applyAlignment="1">
      <alignment horizontal="right" vertical="center" wrapText="1"/>
    </xf>
    <xf numFmtId="183" fontId="33" fillId="0" borderId="837" xfId="33" quotePrefix="1" applyNumberFormat="1" applyFont="1" applyBorder="1" applyAlignment="1">
      <alignment horizontal="right" vertical="center" wrapText="1"/>
    </xf>
    <xf numFmtId="0" fontId="33" fillId="0" borderId="833" xfId="33" applyFont="1" applyBorder="1" applyAlignment="1">
      <alignment horizontal="right" vertical="center" wrapText="1"/>
    </xf>
    <xf numFmtId="0" fontId="33" fillId="0" borderId="838" xfId="33" applyFont="1" applyBorder="1" applyAlignment="1">
      <alignment horizontal="right" vertical="center" wrapText="1"/>
    </xf>
    <xf numFmtId="0" fontId="56" fillId="0" borderId="839" xfId="33" applyFont="1" applyBorder="1" applyAlignment="1">
      <alignment horizontal="left" vertical="center" wrapText="1"/>
    </xf>
    <xf numFmtId="0" fontId="56" fillId="0" borderId="830" xfId="33" applyFont="1" applyBorder="1" applyAlignment="1">
      <alignment horizontal="left" vertical="center" wrapText="1"/>
    </xf>
    <xf numFmtId="41" fontId="42" fillId="0" borderId="830" xfId="3" applyNumberFormat="1" applyFont="1" applyBorder="1" applyAlignment="1">
      <alignment vertical="center"/>
    </xf>
    <xf numFmtId="41" fontId="33" fillId="0" borderId="840" xfId="3" applyNumberFormat="1" applyFont="1" applyBorder="1" applyAlignment="1">
      <alignment vertical="center"/>
    </xf>
    <xf numFmtId="41" fontId="48" fillId="0" borderId="841" xfId="33" applyNumberFormat="1" applyFont="1" applyBorder="1" applyAlignment="1">
      <alignment horizontal="right" vertical="center" wrapText="1"/>
    </xf>
    <xf numFmtId="41" fontId="48" fillId="0" borderId="742" xfId="33" applyNumberFormat="1" applyFont="1" applyBorder="1" applyAlignment="1">
      <alignment horizontal="right" vertical="center" wrapText="1"/>
    </xf>
    <xf numFmtId="41" fontId="48" fillId="0" borderId="842" xfId="33" applyNumberFormat="1" applyFont="1" applyBorder="1" applyAlignment="1">
      <alignment horizontal="right" vertical="center" wrapText="1"/>
    </xf>
    <xf numFmtId="41" fontId="33" fillId="0" borderId="841" xfId="3" applyNumberFormat="1" applyFont="1" applyBorder="1" applyAlignment="1">
      <alignment vertical="center"/>
    </xf>
    <xf numFmtId="41" fontId="33" fillId="0" borderId="843" xfId="33" applyNumberFormat="1" applyFont="1" applyBorder="1" applyAlignment="1">
      <alignment horizontal="right" vertical="center" wrapText="1"/>
    </xf>
    <xf numFmtId="0" fontId="57" fillId="0" borderId="844" xfId="33" applyFont="1" applyBorder="1" applyAlignment="1">
      <alignment horizontal="left" vertical="center" wrapText="1"/>
    </xf>
    <xf numFmtId="165" fontId="42" fillId="0" borderId="845" xfId="4" quotePrefix="1" applyNumberFormat="1" applyFont="1" applyFill="1" applyBorder="1" applyAlignment="1">
      <alignment vertical="center"/>
    </xf>
    <xf numFmtId="165" fontId="33" fillId="0" borderId="846" xfId="4" quotePrefix="1" applyNumberFormat="1" applyFont="1" applyFill="1" applyBorder="1" applyAlignment="1">
      <alignment vertical="center"/>
    </xf>
    <xf numFmtId="165" fontId="33" fillId="0" borderId="844" xfId="4" quotePrefix="1" applyNumberFormat="1" applyFont="1" applyFill="1" applyBorder="1" applyAlignment="1">
      <alignment vertical="center"/>
    </xf>
    <xf numFmtId="165" fontId="33" fillId="0" borderId="847" xfId="4" applyNumberFormat="1" applyFont="1" applyBorder="1" applyAlignment="1">
      <alignment vertical="center"/>
    </xf>
    <xf numFmtId="165" fontId="33" fillId="0" borderId="552" xfId="4" applyNumberFormat="1" applyFont="1" applyBorder="1" applyAlignment="1">
      <alignment vertical="center"/>
    </xf>
    <xf numFmtId="165" fontId="33" fillId="0" borderId="844" xfId="4" applyNumberFormat="1" applyFont="1" applyBorder="1" applyAlignment="1">
      <alignment vertical="center"/>
    </xf>
    <xf numFmtId="165" fontId="33" fillId="0" borderId="847" xfId="4" applyNumberFormat="1" applyFont="1" applyFill="1" applyBorder="1" applyAlignment="1">
      <alignment vertical="center"/>
    </xf>
    <xf numFmtId="165" fontId="33" fillId="0" borderId="846" xfId="29" applyNumberFormat="1" applyFont="1" applyFill="1" applyBorder="1" applyAlignment="1">
      <alignment vertical="center"/>
    </xf>
    <xf numFmtId="165" fontId="33" fillId="0" borderId="846" xfId="29" applyNumberFormat="1" applyFont="1" applyBorder="1" applyAlignment="1">
      <alignment vertical="center"/>
    </xf>
    <xf numFmtId="0" fontId="33" fillId="0" borderId="848" xfId="33" applyFont="1" applyBorder="1" applyAlignment="1">
      <alignment horizontal="left" vertical="center" wrapText="1"/>
    </xf>
    <xf numFmtId="165" fontId="33" fillId="0" borderId="845" xfId="4" quotePrefix="1" applyNumberFormat="1" applyFont="1" applyFill="1" applyBorder="1" applyAlignment="1">
      <alignment vertical="center"/>
    </xf>
    <xf numFmtId="165" fontId="33" fillId="0" borderId="849" xfId="4" quotePrefix="1" applyNumberFormat="1" applyFont="1" applyFill="1" applyBorder="1" applyAlignment="1">
      <alignment vertical="center"/>
    </xf>
    <xf numFmtId="165" fontId="33" fillId="0" borderId="850" xfId="4" applyNumberFormat="1" applyFont="1" applyBorder="1" applyAlignment="1">
      <alignment vertical="center"/>
    </xf>
    <xf numFmtId="165" fontId="33" fillId="0" borderId="845" xfId="4" applyNumberFormat="1" applyFont="1" applyBorder="1" applyAlignment="1">
      <alignment vertical="center"/>
    </xf>
    <xf numFmtId="165" fontId="33" fillId="0" borderId="851" xfId="4" applyNumberFormat="1" applyFont="1" applyBorder="1" applyAlignment="1">
      <alignment vertical="center"/>
    </xf>
    <xf numFmtId="165" fontId="33" fillId="0" borderId="852" xfId="4" applyNumberFormat="1" applyFont="1" applyBorder="1" applyAlignment="1">
      <alignment vertical="center"/>
    </xf>
    <xf numFmtId="165" fontId="33" fillId="0" borderId="850" xfId="4" applyNumberFormat="1" applyFont="1" applyFill="1" applyBorder="1" applyAlignment="1">
      <alignment vertical="center"/>
    </xf>
    <xf numFmtId="165" fontId="33" fillId="0" borderId="845" xfId="29" applyNumberFormat="1" applyFont="1" applyFill="1" applyBorder="1" applyAlignment="1">
      <alignment vertical="center"/>
    </xf>
    <xf numFmtId="165" fontId="33" fillId="0" borderId="845" xfId="29" applyNumberFormat="1" applyFont="1" applyBorder="1" applyAlignment="1">
      <alignment vertical="center"/>
    </xf>
    <xf numFmtId="0" fontId="58" fillId="0" borderId="848" xfId="33" applyFont="1" applyBorder="1" applyAlignment="1">
      <alignment horizontal="left" vertical="center" wrapText="1"/>
    </xf>
    <xf numFmtId="0" fontId="57" fillId="0" borderId="848" xfId="33" applyFont="1" applyBorder="1" applyAlignment="1">
      <alignment horizontal="left" vertical="center" wrapText="1"/>
    </xf>
    <xf numFmtId="0" fontId="48" fillId="0" borderId="848" xfId="33" applyFont="1" applyBorder="1" applyAlignment="1">
      <alignment horizontal="left" vertical="center" wrapText="1"/>
    </xf>
    <xf numFmtId="165" fontId="42" fillId="0" borderId="845" xfId="3" applyNumberFormat="1" applyFont="1" applyBorder="1" applyAlignment="1">
      <alignment vertical="center"/>
    </xf>
    <xf numFmtId="41" fontId="42" fillId="0" borderId="845" xfId="3" applyNumberFormat="1" applyFont="1" applyBorder="1" applyAlignment="1">
      <alignment vertical="center" wrapText="1"/>
    </xf>
    <xf numFmtId="41" fontId="33" fillId="0" borderId="845" xfId="3" applyNumberFormat="1" applyFont="1" applyBorder="1" applyAlignment="1">
      <alignment vertical="center" wrapText="1"/>
    </xf>
    <xf numFmtId="41" fontId="33" fillId="0" borderId="849" xfId="3" applyNumberFormat="1" applyFont="1" applyBorder="1" applyAlignment="1">
      <alignment vertical="center" wrapText="1"/>
    </xf>
    <xf numFmtId="41" fontId="33" fillId="0" borderId="850" xfId="3" applyNumberFormat="1" applyFont="1" applyBorder="1" applyAlignment="1">
      <alignment vertical="center"/>
    </xf>
    <xf numFmtId="41" fontId="33" fillId="0" borderId="845" xfId="3" applyNumberFormat="1" applyFont="1" applyBorder="1" applyAlignment="1">
      <alignment vertical="center"/>
    </xf>
    <xf numFmtId="41" fontId="33" fillId="0" borderId="851" xfId="3" applyNumberFormat="1" applyFont="1" applyBorder="1" applyAlignment="1">
      <alignment vertical="center"/>
    </xf>
    <xf numFmtId="41" fontId="33" fillId="0" borderId="852" xfId="3" applyNumberFormat="1" applyFont="1" applyBorder="1" applyAlignment="1">
      <alignment vertical="center"/>
    </xf>
    <xf numFmtId="41" fontId="33" fillId="0" borderId="850" xfId="3" applyNumberFormat="1" applyFont="1" applyBorder="1" applyAlignment="1">
      <alignment vertical="center" wrapText="1"/>
    </xf>
    <xf numFmtId="0" fontId="56" fillId="0" borderId="848" xfId="33" applyFont="1" applyBorder="1" applyAlignment="1">
      <alignment horizontal="left" vertical="center" wrapText="1"/>
    </xf>
    <xf numFmtId="41" fontId="33" fillId="0" borderId="851" xfId="3" applyNumberFormat="1" applyFont="1" applyBorder="1" applyAlignment="1">
      <alignment vertical="center" wrapText="1"/>
    </xf>
    <xf numFmtId="41" fontId="33" fillId="0" borderId="852" xfId="3" applyNumberFormat="1" applyFont="1" applyBorder="1" applyAlignment="1">
      <alignment vertical="center" wrapText="1"/>
    </xf>
    <xf numFmtId="0" fontId="57" fillId="0" borderId="848" xfId="33" applyFont="1" applyBorder="1" applyAlignment="1">
      <alignment horizontal="left" vertical="center" wrapText="1" indent="1"/>
    </xf>
    <xf numFmtId="165" fontId="33" fillId="0" borderId="853" xfId="4" applyNumberFormat="1" applyFont="1" applyBorder="1" applyAlignment="1">
      <alignment vertical="center"/>
    </xf>
    <xf numFmtId="165" fontId="33" fillId="0" borderId="850" xfId="4" quotePrefix="1" applyNumberFormat="1" applyFont="1" applyFill="1" applyBorder="1" applyAlignment="1">
      <alignment vertical="center"/>
    </xf>
    <xf numFmtId="165" fontId="33" fillId="0" borderId="845" xfId="29" quotePrefix="1" applyNumberFormat="1" applyFont="1" applyFill="1" applyBorder="1" applyAlignment="1">
      <alignment vertical="center"/>
    </xf>
    <xf numFmtId="165" fontId="33" fillId="0" borderId="849" xfId="3" quotePrefix="1" applyNumberFormat="1" applyFont="1" applyBorder="1" applyAlignment="1">
      <alignment vertical="center"/>
    </xf>
    <xf numFmtId="165" fontId="33" fillId="0" borderId="850" xfId="3" applyNumberFormat="1" applyFont="1" applyBorder="1" applyAlignment="1">
      <alignment vertical="center"/>
    </xf>
    <xf numFmtId="165" fontId="33" fillId="0" borderId="845" xfId="3" applyNumberFormat="1" applyFont="1" applyBorder="1" applyAlignment="1">
      <alignment vertical="center"/>
    </xf>
    <xf numFmtId="165" fontId="33" fillId="0" borderId="851" xfId="3" applyNumberFormat="1" applyFont="1" applyBorder="1" applyAlignment="1">
      <alignment vertical="center"/>
    </xf>
    <xf numFmtId="165" fontId="33" fillId="0" borderId="852" xfId="3" applyNumberFormat="1" applyFont="1" applyBorder="1" applyAlignment="1">
      <alignment vertical="center"/>
    </xf>
    <xf numFmtId="165" fontId="33" fillId="0" borderId="845" xfId="4" applyNumberFormat="1" applyFont="1" applyFill="1" applyBorder="1" applyAlignment="1">
      <alignment vertical="center"/>
    </xf>
    <xf numFmtId="165" fontId="33" fillId="0" borderId="849" xfId="4" applyNumberFormat="1" applyFont="1" applyFill="1" applyBorder="1" applyAlignment="1">
      <alignment vertical="center"/>
    </xf>
    <xf numFmtId="0" fontId="53" fillId="0" borderId="848" xfId="33" applyFont="1" applyBorder="1" applyAlignment="1">
      <alignment horizontal="left" vertical="center" wrapText="1"/>
    </xf>
    <xf numFmtId="41" fontId="42" fillId="0" borderId="845" xfId="3" applyNumberFormat="1" applyFont="1" applyBorder="1" applyAlignment="1">
      <alignment vertical="center"/>
    </xf>
    <xf numFmtId="165" fontId="33" fillId="0" borderId="849" xfId="3" applyNumberFormat="1" applyFont="1" applyBorder="1" applyAlignment="1">
      <alignment vertical="center"/>
    </xf>
    <xf numFmtId="41" fontId="33" fillId="0" borderId="849" xfId="3" applyNumberFormat="1" applyFont="1" applyBorder="1" applyAlignment="1">
      <alignment vertical="center"/>
    </xf>
    <xf numFmtId="41" fontId="48" fillId="0" borderId="850" xfId="33" applyNumberFormat="1" applyFont="1" applyBorder="1" applyAlignment="1">
      <alignment horizontal="right" vertical="center" wrapText="1"/>
    </xf>
    <xf numFmtId="41" fontId="48" fillId="0" borderId="845" xfId="33" applyNumberFormat="1" applyFont="1" applyBorder="1" applyAlignment="1">
      <alignment horizontal="right" vertical="center" wrapText="1"/>
    </xf>
    <xf numFmtId="41" fontId="48" fillId="0" borderId="851" xfId="33" applyNumberFormat="1" applyFont="1" applyBorder="1" applyAlignment="1">
      <alignment horizontal="right" vertical="center" wrapText="1"/>
    </xf>
    <xf numFmtId="41" fontId="48" fillId="0" borderId="852" xfId="33" applyNumberFormat="1" applyFont="1" applyBorder="1" applyAlignment="1">
      <alignment horizontal="right" vertical="center" wrapText="1"/>
    </xf>
    <xf numFmtId="41" fontId="33" fillId="0" borderId="845" xfId="33" applyNumberFormat="1" applyFont="1" applyBorder="1" applyAlignment="1">
      <alignment horizontal="right" vertical="center" wrapText="1"/>
    </xf>
    <xf numFmtId="165" fontId="33" fillId="0" borderId="845" xfId="5" applyNumberFormat="1" applyFont="1" applyBorder="1" applyAlignment="1">
      <alignment vertical="center"/>
    </xf>
    <xf numFmtId="0" fontId="55" fillId="0" borderId="854" xfId="33" applyFont="1" applyBorder="1" applyAlignment="1">
      <alignment horizontal="left" vertical="center" wrapText="1"/>
    </xf>
    <xf numFmtId="0" fontId="53" fillId="0" borderId="855" xfId="33" applyFont="1" applyBorder="1" applyAlignment="1">
      <alignment horizontal="right" vertical="center" wrapText="1"/>
    </xf>
    <xf numFmtId="183" fontId="48" fillId="0" borderId="855" xfId="33" applyNumberFormat="1" applyFont="1" applyBorder="1" applyAlignment="1">
      <alignment horizontal="right" vertical="center" wrapText="1"/>
    </xf>
    <xf numFmtId="183" fontId="33" fillId="0" borderId="860" xfId="33" applyNumberFormat="1" applyFont="1" applyBorder="1" applyAlignment="1">
      <alignment horizontal="right" vertical="center" wrapText="1"/>
    </xf>
    <xf numFmtId="183" fontId="33" fillId="0" borderId="860" xfId="33" quotePrefix="1" applyNumberFormat="1" applyFont="1" applyBorder="1" applyAlignment="1">
      <alignment horizontal="right" vertical="center" wrapText="1"/>
    </xf>
    <xf numFmtId="0" fontId="33" fillId="0" borderId="843" xfId="33" applyFont="1" applyBorder="1" applyAlignment="1">
      <alignment horizontal="right" vertical="center" wrapText="1"/>
    </xf>
    <xf numFmtId="0" fontId="33" fillId="0" borderId="861" xfId="33" applyFont="1" applyBorder="1" applyAlignment="1">
      <alignment horizontal="right" vertical="center" wrapText="1"/>
    </xf>
    <xf numFmtId="0" fontId="56" fillId="0" borderId="862" xfId="33" applyFont="1" applyBorder="1" applyAlignment="1">
      <alignment horizontal="left" vertical="center" wrapText="1"/>
    </xf>
    <xf numFmtId="0" fontId="56" fillId="0" borderId="855" xfId="33" applyFont="1" applyBorder="1" applyAlignment="1">
      <alignment horizontal="left" vertical="center" wrapText="1"/>
    </xf>
    <xf numFmtId="41" fontId="33" fillId="0" borderId="855" xfId="3" applyNumberFormat="1" applyFont="1" applyBorder="1" applyAlignment="1">
      <alignment vertical="center"/>
    </xf>
    <xf numFmtId="41" fontId="33" fillId="0" borderId="863" xfId="3" applyNumberFormat="1" applyFont="1" applyBorder="1" applyAlignment="1">
      <alignment vertical="center"/>
    </xf>
    <xf numFmtId="41" fontId="48" fillId="0" borderId="864" xfId="33" applyNumberFormat="1" applyFont="1" applyBorder="1" applyAlignment="1">
      <alignment horizontal="right" vertical="center" wrapText="1"/>
    </xf>
    <xf numFmtId="41" fontId="48" fillId="0" borderId="865" xfId="33" applyNumberFormat="1" applyFont="1" applyBorder="1" applyAlignment="1">
      <alignment horizontal="right" vertical="center" wrapText="1"/>
    </xf>
    <xf numFmtId="41" fontId="33" fillId="0" borderId="864" xfId="3" applyNumberFormat="1" applyFont="1" applyBorder="1" applyAlignment="1">
      <alignment vertical="center"/>
    </xf>
    <xf numFmtId="41" fontId="42" fillId="0" borderId="855" xfId="3" applyNumberFormat="1" applyFont="1" applyBorder="1" applyAlignment="1">
      <alignment vertical="center"/>
    </xf>
    <xf numFmtId="41" fontId="33" fillId="0" borderId="866" xfId="33" applyNumberFormat="1" applyFont="1" applyBorder="1" applyAlignment="1">
      <alignment horizontal="right" vertical="center" wrapText="1"/>
    </xf>
    <xf numFmtId="165" fontId="42" fillId="0" borderId="867" xfId="4" quotePrefix="1" applyNumberFormat="1" applyFont="1" applyFill="1" applyBorder="1" applyAlignment="1">
      <alignment horizontal="right" vertical="center"/>
    </xf>
    <xf numFmtId="41" fontId="33" fillId="0" borderId="846" xfId="3" applyNumberFormat="1" applyFont="1" applyBorder="1" applyAlignment="1">
      <alignment vertical="center"/>
    </xf>
    <xf numFmtId="41" fontId="33" fillId="0" borderId="844" xfId="3" applyNumberFormat="1" applyFont="1" applyBorder="1" applyAlignment="1">
      <alignment vertical="center"/>
    </xf>
    <xf numFmtId="41" fontId="48" fillId="0" borderId="847" xfId="33" applyNumberFormat="1" applyFont="1" applyBorder="1" applyAlignment="1">
      <alignment horizontal="right" vertical="center" wrapText="1"/>
    </xf>
    <xf numFmtId="41" fontId="48" fillId="0" borderId="552" xfId="33" applyNumberFormat="1" applyFont="1" applyBorder="1" applyAlignment="1">
      <alignment horizontal="right" vertical="center" wrapText="1"/>
    </xf>
    <xf numFmtId="41" fontId="48" fillId="0" borderId="844" xfId="33" applyNumberFormat="1" applyFont="1" applyBorder="1" applyAlignment="1">
      <alignment horizontal="right" vertical="center" wrapText="1"/>
    </xf>
    <xf numFmtId="41" fontId="33" fillId="0" borderId="847" xfId="3" applyNumberFormat="1" applyFont="1" applyBorder="1" applyAlignment="1">
      <alignment vertical="center"/>
    </xf>
    <xf numFmtId="165" fontId="33" fillId="0" borderId="868" xfId="4" applyNumberFormat="1" applyFont="1" applyBorder="1" applyAlignment="1">
      <alignment vertical="center"/>
    </xf>
    <xf numFmtId="41" fontId="33" fillId="0" borderId="846" xfId="33" applyNumberFormat="1" applyFont="1" applyBorder="1" applyAlignment="1">
      <alignment horizontal="right" vertical="center" wrapText="1"/>
    </xf>
    <xf numFmtId="0" fontId="33" fillId="0" borderId="869" xfId="33" applyFont="1" applyBorder="1" applyAlignment="1">
      <alignment horizontal="left" vertical="center" wrapText="1"/>
    </xf>
    <xf numFmtId="165" fontId="33" fillId="0" borderId="867" xfId="4" quotePrefix="1" applyNumberFormat="1" applyFont="1" applyFill="1" applyBorder="1" applyAlignment="1">
      <alignment vertical="center"/>
    </xf>
    <xf numFmtId="165" fontId="33" fillId="0" borderId="870" xfId="4" quotePrefix="1" applyNumberFormat="1" applyFont="1" applyFill="1" applyBorder="1" applyAlignment="1">
      <alignment vertical="center"/>
    </xf>
    <xf numFmtId="165" fontId="33" fillId="0" borderId="871" xfId="4" applyNumberFormat="1" applyFont="1" applyBorder="1" applyAlignment="1">
      <alignment vertical="center"/>
    </xf>
    <xf numFmtId="165" fontId="33" fillId="0" borderId="867" xfId="4" applyNumberFormat="1" applyFont="1" applyBorder="1" applyAlignment="1">
      <alignment vertical="center"/>
    </xf>
    <xf numFmtId="165" fontId="33" fillId="0" borderId="871" xfId="4" applyNumberFormat="1" applyFont="1" applyFill="1" applyBorder="1" applyAlignment="1">
      <alignment vertical="center"/>
    </xf>
    <xf numFmtId="165" fontId="33" fillId="0" borderId="867" xfId="29" applyNumberFormat="1" applyFont="1" applyFill="1" applyBorder="1" applyAlignment="1">
      <alignment vertical="center"/>
    </xf>
    <xf numFmtId="0" fontId="57" fillId="0" borderId="872" xfId="33" applyFont="1" applyBorder="1" applyAlignment="1">
      <alignment horizontal="left" vertical="center" wrapText="1"/>
    </xf>
    <xf numFmtId="0" fontId="58" fillId="0" borderId="869" xfId="33" applyFont="1" applyBorder="1" applyAlignment="1">
      <alignment horizontal="left" vertical="center" wrapText="1"/>
    </xf>
    <xf numFmtId="0" fontId="57" fillId="0" borderId="869" xfId="33" applyFont="1" applyBorder="1" applyAlignment="1">
      <alignment horizontal="left" vertical="center" wrapText="1"/>
    </xf>
    <xf numFmtId="167" fontId="42" fillId="0" borderId="867" xfId="4" quotePrefix="1" applyNumberFormat="1" applyFont="1" applyFill="1" applyBorder="1" applyAlignment="1">
      <alignment horizontal="right" vertical="center"/>
    </xf>
    <xf numFmtId="167" fontId="33" fillId="0" borderId="867" xfId="4" quotePrefix="1" applyNumberFormat="1" applyFont="1" applyFill="1" applyBorder="1" applyAlignment="1">
      <alignment vertical="center"/>
    </xf>
    <xf numFmtId="167" fontId="33" fillId="0" borderId="870" xfId="4" quotePrefix="1" applyNumberFormat="1" applyFont="1" applyFill="1" applyBorder="1" applyAlignment="1">
      <alignment vertical="center"/>
    </xf>
    <xf numFmtId="167" fontId="33" fillId="0" borderId="871" xfId="4" applyNumberFormat="1" applyFont="1" applyBorder="1" applyAlignment="1">
      <alignment vertical="center"/>
    </xf>
    <xf numFmtId="167" fontId="33" fillId="0" borderId="867" xfId="4" applyNumberFormat="1" applyFont="1" applyBorder="1" applyAlignment="1">
      <alignment vertical="center"/>
    </xf>
    <xf numFmtId="167" fontId="33" fillId="0" borderId="868" xfId="4" applyNumberFormat="1" applyFont="1" applyBorder="1" applyAlignment="1">
      <alignment vertical="center"/>
    </xf>
    <xf numFmtId="167" fontId="33" fillId="0" borderId="852" xfId="4" applyNumberFormat="1" applyFont="1" applyBorder="1" applyAlignment="1">
      <alignment vertical="center"/>
    </xf>
    <xf numFmtId="167" fontId="33" fillId="0" borderId="871" xfId="4" applyNumberFormat="1" applyFont="1" applyFill="1" applyBorder="1" applyAlignment="1">
      <alignment vertical="center"/>
    </xf>
    <xf numFmtId="167" fontId="33" fillId="0" borderId="867" xfId="29" applyNumberFormat="1" applyFont="1" applyFill="1" applyBorder="1" applyAlignment="1">
      <alignment vertical="center"/>
    </xf>
    <xf numFmtId="0" fontId="48" fillId="0" borderId="869" xfId="33" applyFont="1" applyBorder="1" applyAlignment="1">
      <alignment horizontal="left" vertical="center" wrapText="1"/>
    </xf>
    <xf numFmtId="41" fontId="42" fillId="0" borderId="867" xfId="3" applyNumberFormat="1" applyFont="1" applyBorder="1" applyAlignment="1">
      <alignment vertical="center" wrapText="1"/>
    </xf>
    <xf numFmtId="41" fontId="33" fillId="0" borderId="867" xfId="3" applyNumberFormat="1" applyFont="1" applyBorder="1" applyAlignment="1">
      <alignment vertical="center" wrapText="1"/>
    </xf>
    <xf numFmtId="41" fontId="33" fillId="0" borderId="870" xfId="3" applyNumberFormat="1" applyFont="1" applyBorder="1" applyAlignment="1">
      <alignment vertical="center" wrapText="1"/>
    </xf>
    <xf numFmtId="41" fontId="33" fillId="0" borderId="871" xfId="3" applyNumberFormat="1" applyFont="1" applyBorder="1" applyAlignment="1">
      <alignment vertical="center"/>
    </xf>
    <xf numFmtId="41" fontId="33" fillId="0" borderId="867" xfId="3" applyNumberFormat="1" applyFont="1" applyBorder="1" applyAlignment="1">
      <alignment vertical="center"/>
    </xf>
    <xf numFmtId="41" fontId="33" fillId="0" borderId="868" xfId="3" applyNumberFormat="1" applyFont="1" applyBorder="1" applyAlignment="1">
      <alignment vertical="center"/>
    </xf>
    <xf numFmtId="41" fontId="33" fillId="0" borderId="871" xfId="3" applyNumberFormat="1" applyFont="1" applyBorder="1" applyAlignment="1">
      <alignment vertical="center" wrapText="1"/>
    </xf>
    <xf numFmtId="0" fontId="56" fillId="0" borderId="869" xfId="33" applyFont="1" applyBorder="1" applyAlignment="1">
      <alignment horizontal="left" vertical="center" wrapText="1"/>
    </xf>
    <xf numFmtId="165" fontId="42" fillId="0" borderId="867" xfId="3" applyNumberFormat="1" applyFont="1" applyBorder="1" applyAlignment="1">
      <alignment horizontal="right" vertical="center"/>
    </xf>
    <xf numFmtId="41" fontId="33" fillId="0" borderId="870" xfId="3" applyNumberFormat="1" applyFont="1" applyBorder="1" applyAlignment="1">
      <alignment vertical="center"/>
    </xf>
    <xf numFmtId="41" fontId="48" fillId="0" borderId="871" xfId="33" applyNumberFormat="1" applyFont="1" applyBorder="1" applyAlignment="1">
      <alignment horizontal="right" vertical="center" wrapText="1"/>
    </xf>
    <xf numFmtId="41" fontId="48" fillId="0" borderId="867" xfId="33" applyNumberFormat="1" applyFont="1" applyBorder="1" applyAlignment="1">
      <alignment horizontal="right" vertical="center" wrapText="1"/>
    </xf>
    <xf numFmtId="41" fontId="48" fillId="0" borderId="868" xfId="33" applyNumberFormat="1" applyFont="1" applyBorder="1" applyAlignment="1">
      <alignment horizontal="right" vertical="center" wrapText="1"/>
    </xf>
    <xf numFmtId="41" fontId="42" fillId="0" borderId="867" xfId="3" applyNumberFormat="1" applyFont="1" applyBorder="1" applyAlignment="1">
      <alignment vertical="center"/>
    </xf>
    <xf numFmtId="41" fontId="33" fillId="0" borderId="867" xfId="33" applyNumberFormat="1" applyFont="1" applyBorder="1" applyAlignment="1">
      <alignment horizontal="right" vertical="center" wrapText="1"/>
    </xf>
    <xf numFmtId="165" fontId="33" fillId="0" borderId="867" xfId="3" applyNumberFormat="1" applyFont="1" applyBorder="1" applyAlignment="1">
      <alignment vertical="center"/>
    </xf>
    <xf numFmtId="165" fontId="33" fillId="0" borderId="870" xfId="3" applyNumberFormat="1" applyFont="1" applyBorder="1" applyAlignment="1">
      <alignment vertical="center"/>
    </xf>
    <xf numFmtId="165" fontId="33" fillId="0" borderId="871" xfId="3" applyNumberFormat="1" applyFont="1" applyBorder="1" applyAlignment="1">
      <alignment vertical="center"/>
    </xf>
    <xf numFmtId="165" fontId="33" fillId="0" borderId="868" xfId="3" applyNumberFormat="1" applyFont="1" applyBorder="1" applyAlignment="1">
      <alignment vertical="center"/>
    </xf>
    <xf numFmtId="165" fontId="33" fillId="0" borderId="867" xfId="5" applyNumberFormat="1" applyFont="1" applyBorder="1" applyAlignment="1">
      <alignment vertical="center"/>
    </xf>
    <xf numFmtId="0" fontId="33" fillId="0" borderId="869" xfId="33" applyFont="1" applyBorder="1" applyAlignment="1">
      <alignment horizontal="left" vertical="center" wrapText="1" indent="1"/>
    </xf>
    <xf numFmtId="0" fontId="57" fillId="0" borderId="869" xfId="33" applyFont="1" applyBorder="1" applyAlignment="1">
      <alignment horizontal="left" vertical="center" wrapText="1" indent="1"/>
    </xf>
    <xf numFmtId="0" fontId="58" fillId="0" borderId="873" xfId="33" applyFont="1" applyBorder="1" applyAlignment="1">
      <alignment horizontal="left" vertical="center" wrapText="1"/>
    </xf>
    <xf numFmtId="167" fontId="42" fillId="0" borderId="874" xfId="4" quotePrefix="1" applyNumberFormat="1" applyFont="1" applyFill="1" applyBorder="1" applyAlignment="1">
      <alignment horizontal="right" vertical="center"/>
    </xf>
    <xf numFmtId="167" fontId="33" fillId="0" borderId="875" xfId="3" applyNumberFormat="1" applyFont="1" applyBorder="1" applyAlignment="1">
      <alignment vertical="center"/>
    </xf>
    <xf numFmtId="167" fontId="33" fillId="0" borderId="873" xfId="3" applyNumberFormat="1" applyFont="1" applyBorder="1" applyAlignment="1">
      <alignment vertical="center"/>
    </xf>
    <xf numFmtId="167" fontId="33" fillId="0" borderId="876" xfId="3" applyNumberFormat="1" applyFont="1" applyBorder="1" applyAlignment="1">
      <alignment vertical="center"/>
    </xf>
    <xf numFmtId="167" fontId="33" fillId="0" borderId="875" xfId="5" applyNumberFormat="1" applyFont="1" applyBorder="1" applyAlignment="1">
      <alignment vertical="center"/>
    </xf>
    <xf numFmtId="167" fontId="33" fillId="0" borderId="598" xfId="5" applyNumberFormat="1" applyFont="1" applyBorder="1" applyAlignment="1">
      <alignment vertical="center"/>
    </xf>
    <xf numFmtId="0" fontId="58" fillId="0" borderId="20" xfId="33" applyFont="1" applyBorder="1" applyAlignment="1">
      <alignment horizontal="left" vertical="center" wrapText="1"/>
    </xf>
    <xf numFmtId="167" fontId="42" fillId="0" borderId="20" xfId="4" quotePrefix="1" applyNumberFormat="1" applyFont="1" applyFill="1" applyBorder="1" applyAlignment="1">
      <alignment horizontal="right" vertical="center"/>
    </xf>
    <xf numFmtId="167" fontId="33" fillId="0" borderId="20" xfId="3" applyNumberFormat="1" applyFont="1" applyBorder="1" applyAlignment="1">
      <alignment vertical="center"/>
    </xf>
    <xf numFmtId="167" fontId="33" fillId="0" borderId="20" xfId="5" applyNumberFormat="1" applyFont="1" applyBorder="1" applyAlignment="1">
      <alignment vertical="center"/>
    </xf>
    <xf numFmtId="167" fontId="33" fillId="0" borderId="390" xfId="5" applyNumberFormat="1" applyFont="1" applyBorder="1" applyAlignment="1">
      <alignment vertical="center"/>
    </xf>
    <xf numFmtId="0" fontId="31" fillId="0" borderId="0" xfId="33" applyFont="1" applyAlignment="1">
      <alignment vertical="center"/>
    </xf>
    <xf numFmtId="0" fontId="16" fillId="12" borderId="878" xfId="3" applyFont="1" applyFill="1" applyBorder="1" applyAlignment="1">
      <alignment vertical="center"/>
    </xf>
    <xf numFmtId="0" fontId="35" fillId="0" borderId="581" xfId="3" applyFont="1" applyBorder="1" applyAlignment="1">
      <alignment vertical="center"/>
    </xf>
    <xf numFmtId="0" fontId="23" fillId="0" borderId="749" xfId="3" applyFont="1" applyBorder="1" applyAlignment="1">
      <alignment horizontal="right" vertical="center"/>
    </xf>
    <xf numFmtId="0" fontId="24" fillId="0" borderId="749" xfId="3" applyFont="1" applyBorder="1" applyAlignment="1">
      <alignment horizontal="right" vertical="center"/>
    </xf>
    <xf numFmtId="0" fontId="24" fillId="0" borderId="581" xfId="3" applyFont="1" applyBorder="1" applyAlignment="1">
      <alignment horizontal="right" vertical="center"/>
    </xf>
    <xf numFmtId="0" fontId="24" fillId="0" borderId="750" xfId="3" applyFont="1" applyBorder="1" applyAlignment="1">
      <alignment horizontal="right" vertical="center"/>
    </xf>
    <xf numFmtId="0" fontId="14" fillId="0" borderId="883" xfId="3" applyFont="1" applyBorder="1" applyAlignment="1">
      <alignment vertical="center"/>
    </xf>
    <xf numFmtId="0" fontId="23" fillId="0" borderId="884" xfId="3" applyFont="1" applyBorder="1" applyAlignment="1">
      <alignment vertical="center"/>
    </xf>
    <xf numFmtId="0" fontId="24" fillId="0" borderId="884" xfId="3" applyFont="1" applyBorder="1" applyAlignment="1">
      <alignment vertical="center"/>
    </xf>
    <xf numFmtId="0" fontId="24" fillId="0" borderId="883" xfId="3" applyFont="1" applyBorder="1" applyAlignment="1">
      <alignment vertical="center"/>
    </xf>
    <xf numFmtId="0" fontId="24" fillId="0" borderId="885" xfId="3" applyFont="1" applyBorder="1" applyAlignment="1">
      <alignment vertical="center"/>
    </xf>
    <xf numFmtId="0" fontId="24" fillId="0" borderId="886" xfId="3" applyFont="1" applyBorder="1" applyAlignment="1">
      <alignment vertical="center"/>
    </xf>
    <xf numFmtId="0" fontId="24" fillId="0" borderId="887" xfId="3" applyFont="1" applyBorder="1" applyAlignment="1">
      <alignment vertical="center"/>
    </xf>
    <xf numFmtId="0" fontId="23" fillId="0" borderId="883" xfId="3" applyFont="1" applyBorder="1" applyAlignment="1">
      <alignment vertical="center"/>
    </xf>
    <xf numFmtId="165" fontId="23" fillId="0" borderId="884" xfId="3" applyNumberFormat="1" applyFont="1" applyBorder="1" applyAlignment="1">
      <alignment vertical="center"/>
    </xf>
    <xf numFmtId="165" fontId="24" fillId="0" borderId="884" xfId="3" applyNumberFormat="1" applyFont="1" applyBorder="1" applyAlignment="1">
      <alignment horizontal="right" vertical="center"/>
    </xf>
    <xf numFmtId="165" fontId="24" fillId="0" borderId="883" xfId="3" applyNumberFormat="1" applyFont="1" applyBorder="1" applyAlignment="1">
      <alignment vertical="center"/>
    </xf>
    <xf numFmtId="165" fontId="24" fillId="0" borderId="885" xfId="3" applyNumberFormat="1" applyFont="1" applyBorder="1" applyAlignment="1">
      <alignment vertical="center"/>
    </xf>
    <xf numFmtId="165" fontId="24" fillId="0" borderId="884" xfId="3" applyNumberFormat="1" applyFont="1" applyBorder="1" applyAlignment="1">
      <alignment vertical="center"/>
    </xf>
    <xf numFmtId="165" fontId="24" fillId="0" borderId="886" xfId="3" applyNumberFormat="1" applyFont="1" applyBorder="1" applyAlignment="1">
      <alignment vertical="center"/>
    </xf>
    <xf numFmtId="165" fontId="24" fillId="0" borderId="887" xfId="3" applyNumberFormat="1" applyFont="1" applyBorder="1" applyAlignment="1">
      <alignment vertical="center"/>
    </xf>
    <xf numFmtId="186" fontId="23" fillId="0" borderId="884" xfId="3" applyNumberFormat="1" applyFont="1" applyBorder="1" applyAlignment="1">
      <alignment vertical="center"/>
    </xf>
    <xf numFmtId="186" fontId="24" fillId="0" borderId="884" xfId="3" applyNumberFormat="1" applyFont="1" applyBorder="1" applyAlignment="1">
      <alignment horizontal="right" vertical="center"/>
    </xf>
    <xf numFmtId="186" fontId="24" fillId="0" borderId="883" xfId="3" applyNumberFormat="1" applyFont="1" applyBorder="1" applyAlignment="1">
      <alignment vertical="center"/>
    </xf>
    <xf numFmtId="186" fontId="24" fillId="0" borderId="885" xfId="3" applyNumberFormat="1" applyFont="1" applyBorder="1" applyAlignment="1">
      <alignment vertical="center"/>
    </xf>
    <xf numFmtId="186" fontId="24" fillId="0" borderId="884" xfId="3" applyNumberFormat="1" applyFont="1" applyBorder="1" applyAlignment="1">
      <alignment vertical="center"/>
    </xf>
    <xf numFmtId="186" fontId="24" fillId="0" borderId="886" xfId="3" applyNumberFormat="1" applyFont="1" applyBorder="1" applyAlignment="1">
      <alignment vertical="center"/>
    </xf>
    <xf numFmtId="186" fontId="24" fillId="0" borderId="887" xfId="3" applyNumberFormat="1" applyFont="1" applyBorder="1" applyAlignment="1">
      <alignment vertical="center"/>
    </xf>
    <xf numFmtId="0" fontId="24" fillId="0" borderId="884" xfId="3" applyFont="1" applyBorder="1" applyAlignment="1">
      <alignment horizontal="right" vertical="center"/>
    </xf>
    <xf numFmtId="0" fontId="24" fillId="0" borderId="585" xfId="3" applyFont="1" applyBorder="1" applyAlignment="1">
      <alignment vertical="center"/>
    </xf>
    <xf numFmtId="0" fontId="23" fillId="0" borderId="888" xfId="3" applyFont="1" applyBorder="1" applyAlignment="1">
      <alignment vertical="center"/>
    </xf>
    <xf numFmtId="0" fontId="24" fillId="0" borderId="888" xfId="3" applyFont="1" applyBorder="1" applyAlignment="1">
      <alignment horizontal="right" vertical="center"/>
    </xf>
    <xf numFmtId="0" fontId="24" fillId="0" borderId="889" xfId="3" applyFont="1" applyBorder="1" applyAlignment="1">
      <alignment vertical="center"/>
    </xf>
    <xf numFmtId="0" fontId="24" fillId="0" borderId="888" xfId="3" applyFont="1" applyBorder="1" applyAlignment="1">
      <alignment vertical="center"/>
    </xf>
    <xf numFmtId="0" fontId="24" fillId="0" borderId="890" xfId="3" applyFont="1" applyBorder="1" applyAlignment="1">
      <alignment vertical="center"/>
    </xf>
    <xf numFmtId="0" fontId="23" fillId="0" borderId="891" xfId="3" applyFont="1" applyBorder="1" applyAlignment="1">
      <alignment vertical="center"/>
    </xf>
    <xf numFmtId="0" fontId="24" fillId="0" borderId="891" xfId="3" applyFont="1" applyBorder="1" applyAlignment="1">
      <alignment horizontal="right" vertical="center"/>
    </xf>
    <xf numFmtId="0" fontId="24" fillId="0" borderId="892" xfId="3" applyFont="1" applyBorder="1" applyAlignment="1">
      <alignment vertical="center"/>
    </xf>
    <xf numFmtId="0" fontId="24" fillId="0" borderId="891" xfId="3" applyFont="1" applyBorder="1" applyAlignment="1">
      <alignment vertical="center"/>
    </xf>
    <xf numFmtId="0" fontId="24" fillId="0" borderId="893" xfId="3" applyFont="1" applyBorder="1" applyAlignment="1">
      <alignment vertical="center"/>
    </xf>
    <xf numFmtId="0" fontId="24" fillId="0" borderId="894" xfId="3" applyFont="1" applyBorder="1" applyAlignment="1">
      <alignment vertical="center"/>
    </xf>
    <xf numFmtId="0" fontId="14" fillId="0" borderId="581" xfId="3" applyFont="1" applyBorder="1" applyAlignment="1">
      <alignment vertical="center"/>
    </xf>
    <xf numFmtId="0" fontId="23" fillId="0" borderId="749" xfId="3" applyFont="1" applyBorder="1" applyAlignment="1">
      <alignment vertical="center"/>
    </xf>
    <xf numFmtId="0" fontId="24" fillId="0" borderId="581" xfId="3" applyFont="1" applyBorder="1" applyAlignment="1">
      <alignment vertical="center"/>
    </xf>
    <xf numFmtId="0" fontId="24" fillId="0" borderId="750" xfId="3" applyFont="1" applyBorder="1" applyAlignment="1">
      <alignment vertical="center"/>
    </xf>
    <xf numFmtId="0" fontId="24" fillId="0" borderId="749" xfId="3" applyFont="1" applyBorder="1" applyAlignment="1">
      <alignment vertical="center"/>
    </xf>
    <xf numFmtId="0" fontId="24" fillId="0" borderId="895" xfId="3" applyFont="1" applyBorder="1" applyAlignment="1">
      <alignment vertical="center"/>
    </xf>
    <xf numFmtId="186" fontId="23" fillId="0" borderId="896" xfId="3" applyNumberFormat="1" applyFont="1" applyBorder="1" applyAlignment="1">
      <alignment vertical="center"/>
    </xf>
    <xf numFmtId="186" fontId="24" fillId="0" borderId="896" xfId="3" applyNumberFormat="1" applyFont="1" applyBorder="1" applyAlignment="1">
      <alignment horizontal="right" vertical="center"/>
    </xf>
    <xf numFmtId="186" fontId="24" fillId="0" borderId="895" xfId="3" applyNumberFormat="1" applyFont="1" applyBorder="1" applyAlignment="1">
      <alignment vertical="center"/>
    </xf>
    <xf numFmtId="186" fontId="24" fillId="0" borderId="897" xfId="3" applyNumberFormat="1" applyFont="1" applyBorder="1" applyAlignment="1">
      <alignment vertical="center"/>
    </xf>
    <xf numFmtId="186" fontId="24" fillId="0" borderId="896" xfId="3" applyNumberFormat="1" applyFont="1" applyBorder="1" applyAlignment="1">
      <alignment vertical="center"/>
    </xf>
    <xf numFmtId="186" fontId="24" fillId="0" borderId="898" xfId="3" applyNumberFormat="1" applyFont="1" applyBorder="1" applyAlignment="1">
      <alignment vertical="center"/>
    </xf>
    <xf numFmtId="186" fontId="24" fillId="0" borderId="899" xfId="3" applyNumberFormat="1" applyFont="1" applyBorder="1" applyAlignment="1">
      <alignment vertical="center"/>
    </xf>
    <xf numFmtId="0" fontId="24" fillId="0" borderId="900" xfId="3" applyFont="1" applyBorder="1" applyAlignment="1">
      <alignment vertical="center"/>
    </xf>
    <xf numFmtId="186" fontId="24" fillId="0" borderId="900" xfId="3" applyNumberFormat="1" applyFont="1" applyBorder="1" applyAlignment="1">
      <alignment vertical="center"/>
    </xf>
    <xf numFmtId="186" fontId="23" fillId="0" borderId="900" xfId="3" applyNumberFormat="1" applyFont="1" applyBorder="1" applyAlignment="1">
      <alignment horizontal="right" vertical="center"/>
    </xf>
    <xf numFmtId="0" fontId="24" fillId="0" borderId="0" xfId="3" applyFont="1" applyAlignment="1">
      <alignment vertical="center"/>
    </xf>
    <xf numFmtId="186" fontId="24" fillId="0" borderId="0" xfId="3" applyNumberFormat="1" applyFont="1" applyAlignment="1">
      <alignment vertical="center"/>
    </xf>
    <xf numFmtId="186" fontId="23" fillId="0" borderId="0" xfId="3" applyNumberFormat="1" applyFont="1" applyAlignment="1">
      <alignment horizontal="right" vertical="center"/>
    </xf>
    <xf numFmtId="0" fontId="23" fillId="9" borderId="903" xfId="34" applyFont="1" applyFill="1" applyBorder="1" applyAlignment="1">
      <alignment horizontal="left" vertical="center"/>
    </xf>
    <xf numFmtId="0" fontId="35" fillId="0" borderId="908" xfId="34" applyFont="1" applyBorder="1" applyAlignment="1">
      <alignment horizontal="left" vertical="center"/>
    </xf>
    <xf numFmtId="0" fontId="23" fillId="0" borderId="909" xfId="35" applyNumberFormat="1" applyFont="1" applyBorder="1" applyAlignment="1">
      <alignment horizontal="right" vertical="center"/>
    </xf>
    <xf numFmtId="0" fontId="24" fillId="0" borderId="909" xfId="35" applyNumberFormat="1" applyFont="1" applyBorder="1" applyAlignment="1">
      <alignment horizontal="right" vertical="center"/>
    </xf>
    <xf numFmtId="0" fontId="24" fillId="0" borderId="908" xfId="35" applyNumberFormat="1" applyFont="1" applyBorder="1" applyAlignment="1">
      <alignment horizontal="right" vertical="center"/>
    </xf>
    <xf numFmtId="0" fontId="24" fillId="0" borderId="910" xfId="35" applyNumberFormat="1" applyFont="1" applyBorder="1" applyAlignment="1">
      <alignment horizontal="right" vertical="center"/>
    </xf>
    <xf numFmtId="166" fontId="24" fillId="0" borderId="910" xfId="35" applyNumberFormat="1" applyFont="1" applyBorder="1" applyAlignment="1">
      <alignment horizontal="right" vertical="center"/>
    </xf>
    <xf numFmtId="0" fontId="24" fillId="0" borderId="911" xfId="35" applyNumberFormat="1" applyFont="1" applyBorder="1" applyAlignment="1">
      <alignment horizontal="right" vertical="center"/>
    </xf>
    <xf numFmtId="0" fontId="24" fillId="0" borderId="912" xfId="35" applyNumberFormat="1" applyFont="1" applyBorder="1" applyAlignment="1">
      <alignment horizontal="right" vertical="center"/>
    </xf>
    <xf numFmtId="0" fontId="24" fillId="0" borderId="909" xfId="35" applyNumberFormat="1" applyFont="1" applyBorder="1" applyAlignment="1">
      <alignment vertical="center"/>
    </xf>
    <xf numFmtId="0" fontId="24" fillId="0" borderId="909" xfId="34" applyFont="1" applyBorder="1" applyAlignment="1">
      <alignment vertical="center"/>
    </xf>
    <xf numFmtId="0" fontId="14" fillId="0" borderId="913" xfId="16" applyFont="1" applyBorder="1" applyAlignment="1">
      <alignment vertical="center"/>
    </xf>
    <xf numFmtId="166" fontId="16" fillId="0" borderId="914" xfId="16" applyNumberFormat="1" applyFont="1" applyBorder="1" applyAlignment="1">
      <alignment horizontal="right" vertical="center"/>
    </xf>
    <xf numFmtId="166" fontId="17" fillId="0" borderId="914" xfId="16" applyNumberFormat="1" applyFont="1" applyBorder="1" applyAlignment="1">
      <alignment horizontal="right" vertical="center"/>
    </xf>
    <xf numFmtId="166" fontId="16" fillId="0" borderId="915" xfId="16" applyNumberFormat="1" applyFont="1" applyBorder="1" applyAlignment="1">
      <alignment horizontal="right" vertical="center"/>
    </xf>
    <xf numFmtId="166" fontId="16" fillId="0" borderId="916" xfId="16" applyNumberFormat="1" applyFont="1" applyBorder="1" applyAlignment="1">
      <alignment horizontal="right" vertical="center"/>
    </xf>
    <xf numFmtId="41" fontId="16" fillId="0" borderId="917" xfId="16" quotePrefix="1" applyNumberFormat="1" applyFont="1" applyBorder="1" applyAlignment="1">
      <alignment horizontal="right" vertical="center"/>
    </xf>
    <xf numFmtId="41" fontId="16" fillId="0" borderId="914" xfId="16" applyNumberFormat="1" applyFont="1" applyBorder="1" applyAlignment="1">
      <alignment horizontal="right" vertical="center"/>
    </xf>
    <xf numFmtId="41" fontId="16" fillId="0" borderId="918" xfId="16" applyNumberFormat="1" applyFont="1" applyBorder="1" applyAlignment="1">
      <alignment horizontal="right" vertical="center"/>
    </xf>
    <xf numFmtId="41" fontId="16" fillId="0" borderId="919" xfId="16" applyNumberFormat="1" applyFont="1" applyBorder="1" applyAlignment="1">
      <alignment horizontal="right" vertical="center"/>
    </xf>
    <xf numFmtId="41" fontId="16" fillId="0" borderId="914" xfId="16" quotePrefix="1" applyNumberFormat="1" applyFont="1" applyBorder="1" applyAlignment="1">
      <alignment horizontal="right" vertical="center"/>
    </xf>
    <xf numFmtId="0" fontId="23" fillId="0" borderId="920" xfId="16" applyFont="1" applyBorder="1" applyAlignment="1">
      <alignment horizontal="left" vertical="center"/>
    </xf>
    <xf numFmtId="165" fontId="23" fillId="0" borderId="638" xfId="35" applyNumberFormat="1" applyFont="1" applyFill="1" applyBorder="1" applyAlignment="1">
      <alignment vertical="center"/>
    </xf>
    <xf numFmtId="165" fontId="24" fillId="0" borderId="749" xfId="35" quotePrefix="1" applyNumberFormat="1" applyFont="1" applyFill="1" applyBorder="1" applyAlignment="1">
      <alignment vertical="center"/>
    </xf>
    <xf numFmtId="165" fontId="24" fillId="0" borderId="921" xfId="35" applyNumberFormat="1" applyFont="1" applyFill="1" applyBorder="1" applyAlignment="1">
      <alignment vertical="center"/>
    </xf>
    <xf numFmtId="165" fontId="24" fillId="0" borderId="922" xfId="35" applyNumberFormat="1" applyFont="1" applyFill="1" applyBorder="1" applyAlignment="1">
      <alignment vertical="center"/>
    </xf>
    <xf numFmtId="165" fontId="24" fillId="0" borderId="749" xfId="35" applyNumberFormat="1" applyFont="1" applyFill="1" applyBorder="1" applyAlignment="1">
      <alignment vertical="center"/>
    </xf>
    <xf numFmtId="165" fontId="24" fillId="0" borderId="923" xfId="35" applyNumberFormat="1" applyFont="1" applyFill="1" applyBorder="1" applyAlignment="1">
      <alignment horizontal="right" vertical="center"/>
    </xf>
    <xf numFmtId="165" fontId="24" fillId="0" borderId="924" xfId="35" applyNumberFormat="1" applyFont="1" applyFill="1" applyBorder="1" applyAlignment="1">
      <alignment horizontal="right" vertical="center"/>
    </xf>
    <xf numFmtId="165" fontId="24" fillId="0" borderId="749" xfId="34" applyNumberFormat="1" applyFont="1" applyBorder="1" applyAlignment="1">
      <alignment vertical="center"/>
    </xf>
    <xf numFmtId="0" fontId="24" fillId="0" borderId="925" xfId="16" applyFont="1" applyBorder="1" applyAlignment="1">
      <alignment horizontal="left" vertical="center"/>
    </xf>
    <xf numFmtId="165" fontId="24" fillId="0" borderId="638" xfId="17" applyNumberFormat="1" applyFont="1" applyFill="1" applyBorder="1" applyAlignment="1">
      <alignment vertical="center"/>
    </xf>
    <xf numFmtId="165" fontId="24" fillId="0" borderId="926" xfId="17" applyNumberFormat="1" applyFont="1" applyFill="1" applyBorder="1" applyAlignment="1">
      <alignment vertical="center"/>
    </xf>
    <xf numFmtId="165" fontId="24" fillId="0" borderId="927" xfId="17" applyNumberFormat="1" applyFont="1" applyFill="1" applyBorder="1" applyAlignment="1">
      <alignment vertical="center"/>
    </xf>
    <xf numFmtId="165" fontId="24" fillId="0" borderId="928" xfId="17" applyNumberFormat="1" applyFont="1" applyFill="1" applyBorder="1" applyAlignment="1">
      <alignment horizontal="right" vertical="center"/>
    </xf>
    <xf numFmtId="165" fontId="24" fillId="0" borderId="929" xfId="17" applyNumberFormat="1" applyFont="1" applyFill="1" applyBorder="1" applyAlignment="1">
      <alignment horizontal="right" vertical="center"/>
    </xf>
    <xf numFmtId="165" fontId="24" fillId="0" borderId="638" xfId="35" applyNumberFormat="1" applyFont="1" applyFill="1" applyBorder="1" applyAlignment="1">
      <alignment vertical="center"/>
    </xf>
    <xf numFmtId="165" fontId="24" fillId="0" borderId="926" xfId="35" applyNumberFormat="1" applyFont="1" applyFill="1" applyBorder="1" applyAlignment="1">
      <alignment vertical="center"/>
    </xf>
    <xf numFmtId="165" fontId="24" fillId="0" borderId="927" xfId="35" applyNumberFormat="1" applyFont="1" applyFill="1" applyBorder="1" applyAlignment="1">
      <alignment vertical="center"/>
    </xf>
    <xf numFmtId="165" fontId="24" fillId="0" borderId="928" xfId="35" applyNumberFormat="1" applyFont="1" applyFill="1" applyBorder="1" applyAlignment="1">
      <alignment horizontal="right" vertical="center"/>
    </xf>
    <xf numFmtId="165" fontId="24" fillId="0" borderId="929" xfId="35" applyNumberFormat="1" applyFont="1" applyFill="1" applyBorder="1" applyAlignment="1">
      <alignment horizontal="right" vertical="center"/>
    </xf>
    <xf numFmtId="0" fontId="24" fillId="0" borderId="925" xfId="16" applyFont="1" applyBorder="1" applyAlignment="1">
      <alignment horizontal="left" vertical="center" indent="1"/>
    </xf>
    <xf numFmtId="0" fontId="23" fillId="0" borderId="925" xfId="16" applyFont="1" applyBorder="1" applyAlignment="1">
      <alignment horizontal="left" vertical="center"/>
    </xf>
    <xf numFmtId="167" fontId="23" fillId="0" borderId="638" xfId="35" applyNumberFormat="1" applyFont="1" applyFill="1" applyBorder="1" applyAlignment="1">
      <alignment vertical="center"/>
    </xf>
    <xf numFmtId="167" fontId="24" fillId="0" borderId="638" xfId="35" applyNumberFormat="1" applyFont="1" applyFill="1" applyBorder="1" applyAlignment="1">
      <alignment vertical="center"/>
    </xf>
    <xf numFmtId="43" fontId="24" fillId="0" borderId="926" xfId="4" applyFont="1" applyFill="1" applyBorder="1" applyAlignment="1">
      <alignment vertical="center"/>
    </xf>
    <xf numFmtId="43" fontId="24" fillId="0" borderId="927" xfId="4" applyFont="1" applyFill="1" applyBorder="1" applyAlignment="1">
      <alignment vertical="center"/>
    </xf>
    <xf numFmtId="43" fontId="24" fillId="0" borderId="638" xfId="4" applyFont="1" applyFill="1" applyBorder="1" applyAlignment="1">
      <alignment vertical="center"/>
    </xf>
    <xf numFmtId="43" fontId="24" fillId="0" borderId="929" xfId="4" applyFont="1" applyFill="1" applyBorder="1" applyAlignment="1">
      <alignment horizontal="right" vertical="center"/>
    </xf>
    <xf numFmtId="165" fontId="24" fillId="0" borderId="930" xfId="35" applyNumberFormat="1" applyFont="1" applyFill="1" applyBorder="1" applyAlignment="1">
      <alignment vertical="center"/>
    </xf>
    <xf numFmtId="165" fontId="23" fillId="0" borderId="749" xfId="35" applyNumberFormat="1" applyFont="1" applyFill="1" applyBorder="1" applyAlignment="1">
      <alignment vertical="center"/>
    </xf>
    <xf numFmtId="165" fontId="23" fillId="0" borderId="638" xfId="17" applyNumberFormat="1" applyFont="1" applyFill="1" applyBorder="1" applyAlignment="1">
      <alignment vertical="center"/>
    </xf>
    <xf numFmtId="167" fontId="24" fillId="0" borderId="926" xfId="35" applyNumberFormat="1" applyFont="1" applyFill="1" applyBorder="1" applyAlignment="1">
      <alignment vertical="center"/>
    </xf>
    <xf numFmtId="167" fontId="24" fillId="0" borderId="927" xfId="35" applyNumberFormat="1" applyFont="1" applyFill="1" applyBorder="1" applyAlignment="1">
      <alignment vertical="center"/>
    </xf>
    <xf numFmtId="167" fontId="24" fillId="0" borderId="928" xfId="35" applyNumberFormat="1" applyFont="1" applyFill="1" applyBorder="1" applyAlignment="1">
      <alignment horizontal="right" vertical="center"/>
    </xf>
    <xf numFmtId="167" fontId="24" fillId="0" borderId="929" xfId="35" applyNumberFormat="1" applyFont="1" applyFill="1" applyBorder="1" applyAlignment="1">
      <alignment horizontal="right" vertical="center"/>
    </xf>
    <xf numFmtId="0" fontId="24" fillId="0" borderId="258" xfId="16" applyFont="1" applyBorder="1" applyAlignment="1">
      <alignment horizontal="left" vertical="center" indent="1"/>
    </xf>
    <xf numFmtId="165" fontId="24" fillId="0" borderId="931" xfId="35" applyNumberFormat="1" applyFont="1" applyFill="1" applyBorder="1" applyAlignment="1">
      <alignment vertical="center"/>
    </xf>
    <xf numFmtId="165" fontId="24" fillId="0" borderId="932" xfId="35" applyNumberFormat="1" applyFont="1" applyFill="1" applyBorder="1" applyAlignment="1">
      <alignment horizontal="right" vertical="center"/>
    </xf>
    <xf numFmtId="165" fontId="24" fillId="0" borderId="933" xfId="35" applyNumberFormat="1" applyFont="1" applyFill="1" applyBorder="1" applyAlignment="1">
      <alignment horizontal="right" vertical="center"/>
    </xf>
    <xf numFmtId="165" fontId="24" fillId="0" borderId="930" xfId="17" applyNumberFormat="1" applyFont="1" applyFill="1" applyBorder="1" applyAlignment="1">
      <alignment vertical="center"/>
    </xf>
    <xf numFmtId="0" fontId="23" fillId="0" borderId="934" xfId="16" applyFont="1" applyBorder="1" applyAlignment="1">
      <alignment horizontal="left" vertical="center"/>
    </xf>
    <xf numFmtId="167" fontId="23" fillId="0" borderId="935" xfId="35" applyNumberFormat="1" applyFont="1" applyFill="1" applyBorder="1" applyAlignment="1">
      <alignment vertical="center"/>
    </xf>
    <xf numFmtId="167" fontId="24" fillId="0" borderId="935" xfId="35" applyNumberFormat="1" applyFont="1" applyFill="1" applyBorder="1" applyAlignment="1">
      <alignment vertical="center"/>
    </xf>
    <xf numFmtId="167" fontId="24" fillId="0" borderId="936" xfId="35" applyNumberFormat="1" applyFont="1" applyFill="1" applyBorder="1" applyAlignment="1">
      <alignment vertical="center"/>
    </xf>
    <xf numFmtId="167" fontId="24" fillId="0" borderId="937" xfId="35" applyNumberFormat="1" applyFont="1" applyFill="1" applyBorder="1" applyAlignment="1">
      <alignment vertical="center"/>
    </xf>
    <xf numFmtId="167" fontId="24" fillId="0" borderId="938" xfId="35" applyNumberFormat="1" applyFont="1" applyFill="1" applyBorder="1" applyAlignment="1">
      <alignment horizontal="right" vertical="center"/>
    </xf>
    <xf numFmtId="167" fontId="24" fillId="0" borderId="939" xfId="35" applyNumberFormat="1" applyFont="1" applyFill="1" applyBorder="1" applyAlignment="1">
      <alignment horizontal="right" vertical="center"/>
    </xf>
    <xf numFmtId="0" fontId="37" fillId="0" borderId="50" xfId="16" applyBorder="1"/>
    <xf numFmtId="0" fontId="33" fillId="0" borderId="0" xfId="16" applyFont="1" applyAlignment="1">
      <alignment horizontal="left" vertical="center"/>
    </xf>
    <xf numFmtId="0" fontId="37" fillId="0" borderId="0" xfId="16"/>
    <xf numFmtId="0" fontId="23" fillId="9" borderId="941" xfId="34" applyFont="1" applyFill="1" applyBorder="1" applyAlignment="1">
      <alignment horizontal="left" vertical="center"/>
    </xf>
    <xf numFmtId="0" fontId="35" fillId="0" borderId="947" xfId="34" applyFont="1" applyBorder="1" applyAlignment="1">
      <alignment horizontal="left" vertical="center"/>
    </xf>
    <xf numFmtId="0" fontId="23" fillId="0" borderId="948" xfId="35" applyNumberFormat="1" applyFont="1" applyBorder="1" applyAlignment="1">
      <alignment horizontal="right" vertical="center"/>
    </xf>
    <xf numFmtId="0" fontId="24" fillId="0" borderId="948" xfId="35" applyNumberFormat="1" applyFont="1" applyBorder="1" applyAlignment="1">
      <alignment horizontal="right" vertical="center"/>
    </xf>
    <xf numFmtId="0" fontId="24" fillId="0" borderId="943" xfId="35" applyNumberFormat="1" applyFont="1" applyBorder="1" applyAlignment="1">
      <alignment horizontal="right" vertical="center"/>
    </xf>
    <xf numFmtId="0" fontId="24" fillId="0" borderId="949" xfId="35" applyNumberFormat="1" applyFont="1" applyBorder="1" applyAlignment="1">
      <alignment horizontal="right" vertical="center"/>
    </xf>
    <xf numFmtId="0" fontId="24" fillId="0" borderId="947" xfId="35" applyNumberFormat="1" applyFont="1" applyBorder="1" applyAlignment="1">
      <alignment horizontal="right" vertical="center"/>
    </xf>
    <xf numFmtId="166" fontId="24" fillId="0" borderId="949" xfId="35" applyNumberFormat="1" applyFont="1" applyBorder="1" applyAlignment="1">
      <alignment horizontal="right" vertical="center"/>
    </xf>
    <xf numFmtId="0" fontId="24" fillId="0" borderId="950" xfId="35" applyNumberFormat="1" applyFont="1" applyBorder="1" applyAlignment="1">
      <alignment horizontal="right" vertical="center"/>
    </xf>
    <xf numFmtId="0" fontId="24" fillId="0" borderId="951" xfId="35" applyNumberFormat="1" applyFont="1" applyBorder="1" applyAlignment="1">
      <alignment horizontal="right" vertical="center"/>
    </xf>
    <xf numFmtId="0" fontId="24" fillId="0" borderId="948" xfId="35" applyNumberFormat="1" applyFont="1" applyBorder="1" applyAlignment="1">
      <alignment vertical="center"/>
    </xf>
    <xf numFmtId="0" fontId="24" fillId="0" borderId="948" xfId="34" applyFont="1" applyBorder="1" applyAlignment="1">
      <alignment vertical="center"/>
    </xf>
    <xf numFmtId="0" fontId="14" fillId="0" borderId="952" xfId="3" applyFont="1" applyBorder="1" applyAlignment="1">
      <alignment vertical="center"/>
    </xf>
    <xf numFmtId="166" fontId="17" fillId="0" borderId="953" xfId="3" applyNumberFormat="1" applyFont="1" applyBorder="1" applyAlignment="1">
      <alignment horizontal="right" vertical="center"/>
    </xf>
    <xf numFmtId="166" fontId="16" fillId="0" borderId="954" xfId="3" applyNumberFormat="1" applyFont="1" applyBorder="1" applyAlignment="1">
      <alignment horizontal="right" vertical="center"/>
    </xf>
    <xf numFmtId="166" fontId="16" fillId="0" borderId="955" xfId="3" applyNumberFormat="1" applyFont="1" applyBorder="1" applyAlignment="1">
      <alignment horizontal="right" vertical="center"/>
    </xf>
    <xf numFmtId="166" fontId="16" fillId="0" borderId="956" xfId="3" applyNumberFormat="1" applyFont="1" applyBorder="1" applyAlignment="1">
      <alignment horizontal="right" vertical="center"/>
    </xf>
    <xf numFmtId="41" fontId="16" fillId="0" borderId="957" xfId="3" quotePrefix="1" applyNumberFormat="1" applyFont="1" applyBorder="1" applyAlignment="1">
      <alignment horizontal="right" vertical="center"/>
    </xf>
    <xf numFmtId="41" fontId="16" fillId="0" borderId="956" xfId="3" applyNumberFormat="1" applyFont="1" applyBorder="1" applyAlignment="1">
      <alignment horizontal="right" vertical="center"/>
    </xf>
    <xf numFmtId="41" fontId="16" fillId="0" borderId="957" xfId="3" applyNumberFormat="1" applyFont="1" applyBorder="1" applyAlignment="1">
      <alignment horizontal="right" vertical="center"/>
    </xf>
    <xf numFmtId="41" fontId="16" fillId="0" borderId="954" xfId="3" applyNumberFormat="1" applyFont="1" applyBorder="1" applyAlignment="1">
      <alignment horizontal="right" vertical="center"/>
    </xf>
    <xf numFmtId="41" fontId="16" fillId="0" borderId="956" xfId="3" quotePrefix="1" applyNumberFormat="1" applyFont="1" applyBorder="1" applyAlignment="1">
      <alignment horizontal="right" vertical="center"/>
    </xf>
    <xf numFmtId="165" fontId="23" fillId="0" borderId="552" xfId="35" applyNumberFormat="1" applyFont="1" applyFill="1" applyBorder="1" applyAlignment="1">
      <alignment horizontal="right" vertical="center"/>
    </xf>
    <xf numFmtId="165" fontId="24" fillId="0" borderId="552" xfId="35" applyNumberFormat="1" applyFont="1" applyFill="1" applyBorder="1" applyAlignment="1">
      <alignment horizontal="right" vertical="center"/>
    </xf>
    <xf numFmtId="165" fontId="24" fillId="0" borderId="958" xfId="35" applyNumberFormat="1" applyFont="1" applyFill="1" applyBorder="1" applyAlignment="1">
      <alignment horizontal="right" vertical="center"/>
    </xf>
    <xf numFmtId="165" fontId="24" fillId="0" borderId="959" xfId="35" applyNumberFormat="1" applyFont="1" applyFill="1" applyBorder="1" applyAlignment="1">
      <alignment vertical="center"/>
    </xf>
    <xf numFmtId="165" fontId="24" fillId="0" borderId="552" xfId="35" applyNumberFormat="1" applyFont="1" applyFill="1" applyBorder="1" applyAlignment="1">
      <alignment vertical="center"/>
    </xf>
    <xf numFmtId="165" fontId="24" fillId="0" borderId="958" xfId="35" applyNumberFormat="1" applyFont="1" applyFill="1" applyBorder="1" applyAlignment="1">
      <alignment vertical="center"/>
    </xf>
    <xf numFmtId="165" fontId="24" fillId="0" borderId="552" xfId="34" applyNumberFormat="1" applyFont="1" applyBorder="1" applyAlignment="1">
      <alignment vertical="center"/>
    </xf>
    <xf numFmtId="0" fontId="24" fillId="0" borderId="960" xfId="3" applyFont="1" applyBorder="1" applyAlignment="1">
      <alignment horizontal="left" vertical="center"/>
    </xf>
    <xf numFmtId="165" fontId="23" fillId="0" borderId="961" xfId="4" applyNumberFormat="1" applyFont="1" applyFill="1" applyBorder="1" applyAlignment="1">
      <alignment horizontal="right" vertical="center"/>
    </xf>
    <xf numFmtId="165" fontId="24" fillId="0" borderId="961" xfId="4" applyNumberFormat="1" applyFont="1" applyFill="1" applyBorder="1" applyAlignment="1">
      <alignment horizontal="right" vertical="center"/>
    </xf>
    <xf numFmtId="165" fontId="24" fillId="0" borderId="962" xfId="4" applyNumberFormat="1" applyFont="1" applyFill="1" applyBorder="1" applyAlignment="1">
      <alignment horizontal="right" vertical="center"/>
    </xf>
    <xf numFmtId="165" fontId="24" fillId="0" borderId="963" xfId="4" applyNumberFormat="1" applyFont="1" applyFill="1" applyBorder="1" applyAlignment="1">
      <alignment vertical="center"/>
    </xf>
    <xf numFmtId="165" fontId="24" fillId="0" borderId="961" xfId="4" applyNumberFormat="1" applyFont="1" applyFill="1" applyBorder="1" applyAlignment="1">
      <alignment vertical="center"/>
    </xf>
    <xf numFmtId="165" fontId="24" fillId="0" borderId="964" xfId="4" applyNumberFormat="1" applyFont="1" applyFill="1" applyBorder="1" applyAlignment="1">
      <alignment vertical="center"/>
    </xf>
    <xf numFmtId="165" fontId="24" fillId="0" borderId="965" xfId="4" applyNumberFormat="1" applyFont="1" applyFill="1" applyBorder="1" applyAlignment="1">
      <alignment vertical="center"/>
    </xf>
    <xf numFmtId="165" fontId="24" fillId="0" borderId="966" xfId="4" applyNumberFormat="1" applyFont="1" applyFill="1" applyBorder="1" applyAlignment="1">
      <alignment vertical="center"/>
    </xf>
    <xf numFmtId="165" fontId="23" fillId="0" borderId="961" xfId="35" applyNumberFormat="1" applyFont="1" applyFill="1" applyBorder="1" applyAlignment="1">
      <alignment horizontal="right" vertical="center"/>
    </xf>
    <xf numFmtId="165" fontId="24" fillId="0" borderId="961" xfId="35" applyNumberFormat="1" applyFont="1" applyFill="1" applyBorder="1" applyAlignment="1">
      <alignment horizontal="right" vertical="center"/>
    </xf>
    <xf numFmtId="165" fontId="24" fillId="0" borderId="962" xfId="35" applyNumberFormat="1" applyFont="1" applyFill="1" applyBorder="1" applyAlignment="1">
      <alignment horizontal="right" vertical="center"/>
    </xf>
    <xf numFmtId="165" fontId="24" fillId="0" borderId="963" xfId="35" applyNumberFormat="1" applyFont="1" applyFill="1" applyBorder="1" applyAlignment="1">
      <alignment vertical="center"/>
    </xf>
    <xf numFmtId="165" fontId="24" fillId="0" borderId="961" xfId="35" applyNumberFormat="1" applyFont="1" applyFill="1" applyBorder="1" applyAlignment="1">
      <alignment vertical="center"/>
    </xf>
    <xf numFmtId="165" fontId="24" fillId="0" borderId="964" xfId="35" applyNumberFormat="1" applyFont="1" applyFill="1" applyBorder="1" applyAlignment="1">
      <alignment vertical="center"/>
    </xf>
    <xf numFmtId="165" fontId="24" fillId="0" borderId="965" xfId="35" applyNumberFormat="1" applyFont="1" applyFill="1" applyBorder="1" applyAlignment="1">
      <alignment vertical="center"/>
    </xf>
    <xf numFmtId="165" fontId="24" fillId="0" borderId="966" xfId="35" applyNumberFormat="1" applyFont="1" applyFill="1" applyBorder="1" applyAlignment="1">
      <alignment vertical="center"/>
    </xf>
    <xf numFmtId="0" fontId="24" fillId="0" borderId="960" xfId="3" applyFont="1" applyBorder="1" applyAlignment="1">
      <alignment horizontal="left" vertical="center" indent="1"/>
    </xf>
    <xf numFmtId="0" fontId="23" fillId="0" borderId="960" xfId="3" applyFont="1" applyBorder="1" applyAlignment="1">
      <alignment horizontal="left" vertical="center"/>
    </xf>
    <xf numFmtId="165" fontId="24" fillId="0" borderId="963" xfId="34" applyNumberFormat="1" applyFont="1" applyBorder="1" applyAlignment="1">
      <alignment vertical="center"/>
    </xf>
    <xf numFmtId="165" fontId="24" fillId="0" borderId="961" xfId="34" applyNumberFormat="1" applyFont="1" applyBorder="1" applyAlignment="1">
      <alignment vertical="center"/>
    </xf>
    <xf numFmtId="167" fontId="23" fillId="0" borderId="961" xfId="35" applyNumberFormat="1" applyFont="1" applyFill="1" applyBorder="1" applyAlignment="1">
      <alignment horizontal="right" vertical="center"/>
    </xf>
    <xf numFmtId="167" fontId="24" fillId="0" borderId="961" xfId="35" applyNumberFormat="1" applyFont="1" applyFill="1" applyBorder="1" applyAlignment="1">
      <alignment horizontal="right" vertical="center"/>
    </xf>
    <xf numFmtId="167" fontId="24" fillId="0" borderId="962" xfId="35" applyNumberFormat="1" applyFont="1" applyFill="1" applyBorder="1" applyAlignment="1">
      <alignment horizontal="right" vertical="center"/>
    </xf>
    <xf numFmtId="167" fontId="24" fillId="0" borderId="963" xfId="35" applyNumberFormat="1" applyFont="1" applyFill="1" applyBorder="1" applyAlignment="1">
      <alignment vertical="center"/>
    </xf>
    <xf numFmtId="167" fontId="24" fillId="0" borderId="961" xfId="35" applyNumberFormat="1" applyFont="1" applyFill="1" applyBorder="1" applyAlignment="1">
      <alignment vertical="center"/>
    </xf>
    <xf numFmtId="167" fontId="24" fillId="0" borderId="964" xfId="35" applyNumberFormat="1" applyFont="1" applyFill="1" applyBorder="1" applyAlignment="1">
      <alignment vertical="center"/>
    </xf>
    <xf numFmtId="167" fontId="24" fillId="0" borderId="965" xfId="35" applyNumberFormat="1" applyFont="1" applyFill="1" applyBorder="1" applyAlignment="1">
      <alignment vertical="center"/>
    </xf>
    <xf numFmtId="167" fontId="24" fillId="0" borderId="966" xfId="35" applyNumberFormat="1" applyFont="1" applyFill="1" applyBorder="1" applyAlignment="1">
      <alignment vertical="center"/>
    </xf>
    <xf numFmtId="0" fontId="23" fillId="0" borderId="967" xfId="3" applyFont="1" applyBorder="1" applyAlignment="1">
      <alignment horizontal="left" vertical="center" indent="2"/>
    </xf>
    <xf numFmtId="41" fontId="23" fillId="0" borderId="598" xfId="3" applyNumberFormat="1" applyFont="1" applyBorder="1" applyAlignment="1">
      <alignment horizontal="right" vertical="center"/>
    </xf>
    <xf numFmtId="41" fontId="24" fillId="0" borderId="598" xfId="3" applyNumberFormat="1" applyFont="1" applyBorder="1" applyAlignment="1">
      <alignment horizontal="right" vertical="center"/>
    </xf>
    <xf numFmtId="41" fontId="24" fillId="0" borderId="968" xfId="3" applyNumberFormat="1" applyFont="1" applyBorder="1" applyAlignment="1">
      <alignment horizontal="right" vertical="center"/>
    </xf>
    <xf numFmtId="41" fontId="24" fillId="0" borderId="969" xfId="3" applyNumberFormat="1" applyFont="1" applyBorder="1" applyAlignment="1">
      <alignment vertical="center"/>
    </xf>
    <xf numFmtId="41" fontId="24" fillId="0" borderId="598" xfId="3" applyNumberFormat="1" applyFont="1" applyBorder="1" applyAlignment="1">
      <alignment vertical="center"/>
    </xf>
    <xf numFmtId="41" fontId="24" fillId="0" borderId="968" xfId="3" applyNumberFormat="1" applyFont="1" applyBorder="1" applyAlignment="1">
      <alignment vertical="center"/>
    </xf>
    <xf numFmtId="0" fontId="14" fillId="0" borderId="970" xfId="3" applyFont="1" applyBorder="1" applyAlignment="1">
      <alignment vertical="center"/>
    </xf>
    <xf numFmtId="166" fontId="17" fillId="0" borderId="544" xfId="3" applyNumberFormat="1" applyFont="1" applyBorder="1" applyAlignment="1">
      <alignment horizontal="right" vertical="center"/>
    </xf>
    <xf numFmtId="166" fontId="16" fillId="0" borderId="544" xfId="3" applyNumberFormat="1" applyFont="1" applyBorder="1" applyAlignment="1">
      <alignment horizontal="right" vertical="center"/>
    </xf>
    <xf numFmtId="166" fontId="16" fillId="0" borderId="971" xfId="3" applyNumberFormat="1" applyFont="1" applyBorder="1" applyAlignment="1">
      <alignment horizontal="right" vertical="center"/>
    </xf>
    <xf numFmtId="166" fontId="16" fillId="0" borderId="972" xfId="3" applyNumberFormat="1" applyFont="1" applyBorder="1" applyAlignment="1">
      <alignment horizontal="right" vertical="center"/>
    </xf>
    <xf numFmtId="166" fontId="16" fillId="0" borderId="973" xfId="3" applyNumberFormat="1" applyFont="1" applyBorder="1" applyAlignment="1">
      <alignment horizontal="right" vertical="center"/>
    </xf>
    <xf numFmtId="41" fontId="16" fillId="0" borderId="972" xfId="3" quotePrefix="1" applyNumberFormat="1" applyFont="1" applyBorder="1" applyAlignment="1">
      <alignment horizontal="right" vertical="center"/>
    </xf>
    <xf numFmtId="41" fontId="16" fillId="0" borderId="544" xfId="3" applyNumberFormat="1" applyFont="1" applyBorder="1" applyAlignment="1">
      <alignment horizontal="right" vertical="center"/>
    </xf>
    <xf numFmtId="41" fontId="16" fillId="0" borderId="974" xfId="3" applyNumberFormat="1" applyFont="1" applyBorder="1" applyAlignment="1">
      <alignment horizontal="right" vertical="center"/>
    </xf>
    <xf numFmtId="41" fontId="16" fillId="0" borderId="975" xfId="3" applyNumberFormat="1" applyFont="1" applyBorder="1" applyAlignment="1">
      <alignment horizontal="right" vertical="center"/>
    </xf>
    <xf numFmtId="41" fontId="16" fillId="0" borderId="544" xfId="3" quotePrefix="1" applyNumberFormat="1" applyFont="1" applyBorder="1" applyAlignment="1">
      <alignment horizontal="right" vertical="center"/>
    </xf>
    <xf numFmtId="0" fontId="23" fillId="0" borderId="976" xfId="3" applyFont="1" applyBorder="1" applyAlignment="1">
      <alignment horizontal="left" vertical="center"/>
    </xf>
    <xf numFmtId="167" fontId="23" fillId="0" borderId="977" xfId="35" applyNumberFormat="1" applyFont="1" applyFill="1" applyBorder="1" applyAlignment="1">
      <alignment horizontal="right" vertical="center"/>
    </xf>
    <xf numFmtId="167" fontId="24" fillId="0" borderId="977" xfId="35" applyNumberFormat="1" applyFont="1" applyFill="1" applyBorder="1" applyAlignment="1">
      <alignment horizontal="right" vertical="center" wrapText="1"/>
    </xf>
    <xf numFmtId="167" fontId="24" fillId="0" borderId="968" xfId="35" applyNumberFormat="1" applyFont="1" applyFill="1" applyBorder="1" applyAlignment="1">
      <alignment horizontal="right" vertical="center"/>
    </xf>
    <xf numFmtId="167" fontId="24" fillId="0" borderId="978" xfId="4" applyNumberFormat="1" applyFont="1" applyFill="1" applyBorder="1" applyAlignment="1">
      <alignment vertical="center"/>
    </xf>
    <xf numFmtId="167" fontId="24" fillId="0" borderId="977" xfId="4" applyNumberFormat="1" applyFont="1" applyFill="1" applyBorder="1" applyAlignment="1">
      <alignment vertical="center"/>
    </xf>
    <xf numFmtId="167" fontId="24" fillId="0" borderId="979" xfId="4" applyNumberFormat="1" applyFont="1" applyFill="1" applyBorder="1" applyAlignment="1">
      <alignment vertical="center"/>
    </xf>
    <xf numFmtId="167" fontId="24" fillId="0" borderId="980" xfId="4" applyNumberFormat="1" applyFont="1" applyFill="1" applyBorder="1" applyAlignment="1">
      <alignment vertical="center"/>
    </xf>
    <xf numFmtId="167" fontId="24" fillId="0" borderId="981" xfId="4" applyNumberFormat="1" applyFont="1" applyFill="1" applyBorder="1" applyAlignment="1">
      <alignment vertical="center"/>
    </xf>
    <xf numFmtId="167" fontId="24" fillId="0" borderId="977" xfId="35" applyNumberFormat="1" applyFont="1" applyFill="1" applyBorder="1" applyAlignment="1">
      <alignment horizontal="right" vertical="center"/>
    </xf>
    <xf numFmtId="0" fontId="40" fillId="0" borderId="390" xfId="34" applyBorder="1"/>
    <xf numFmtId="0" fontId="40" fillId="0" borderId="390" xfId="34" applyBorder="1" applyAlignment="1">
      <alignment horizontal="right"/>
    </xf>
    <xf numFmtId="0" fontId="62" fillId="0" borderId="390" xfId="34" applyFont="1" applyBorder="1"/>
    <xf numFmtId="0" fontId="37" fillId="0" borderId="0" xfId="3" applyFont="1"/>
    <xf numFmtId="0" fontId="31" fillId="4" borderId="35" xfId="37" applyFont="1" applyFill="1" applyBorder="1" applyAlignment="1">
      <alignment horizontal="right" vertical="center"/>
    </xf>
    <xf numFmtId="0" fontId="31" fillId="4" borderId="36" xfId="37" applyFont="1" applyFill="1" applyBorder="1" applyAlignment="1">
      <alignment horizontal="right" vertical="center"/>
    </xf>
    <xf numFmtId="0" fontId="31" fillId="4" borderId="35" xfId="16" applyFont="1" applyFill="1" applyBorder="1" applyAlignment="1">
      <alignment horizontal="right" vertical="center"/>
    </xf>
    <xf numFmtId="0" fontId="31" fillId="4" borderId="982" xfId="16" applyFont="1" applyFill="1" applyBorder="1" applyAlignment="1">
      <alignment horizontal="right" vertical="center"/>
    </xf>
    <xf numFmtId="0" fontId="31" fillId="4" borderId="40" xfId="37" applyFont="1" applyFill="1" applyBorder="1" applyAlignment="1">
      <alignment horizontal="right" vertical="center"/>
    </xf>
    <xf numFmtId="0" fontId="31" fillId="4" borderId="41" xfId="37" applyFont="1" applyFill="1" applyBorder="1" applyAlignment="1">
      <alignment horizontal="right" vertical="center"/>
    </xf>
    <xf numFmtId="0" fontId="31" fillId="4" borderId="40" xfId="16" applyFont="1" applyFill="1" applyBorder="1" applyAlignment="1">
      <alignment horizontal="right" vertical="center"/>
    </xf>
    <xf numFmtId="0" fontId="31" fillId="4" borderId="983" xfId="16" applyFont="1" applyFill="1" applyBorder="1" applyAlignment="1">
      <alignment horizontal="right" vertical="center"/>
    </xf>
    <xf numFmtId="0" fontId="31" fillId="4" borderId="45" xfId="16" applyFont="1" applyFill="1" applyBorder="1" applyAlignment="1">
      <alignment horizontal="right" vertical="center" wrapText="1"/>
    </xf>
    <xf numFmtId="0" fontId="31" fillId="4" borderId="46" xfId="37" applyFont="1" applyFill="1" applyBorder="1" applyAlignment="1">
      <alignment horizontal="right" vertical="center" wrapText="1"/>
    </xf>
    <xf numFmtId="0" fontId="31" fillId="4" borderId="984" xfId="16" applyFont="1" applyFill="1" applyBorder="1" applyAlignment="1">
      <alignment horizontal="right" vertical="center" wrapText="1"/>
    </xf>
    <xf numFmtId="0" fontId="31" fillId="4" borderId="45" xfId="37" applyFont="1" applyFill="1" applyBorder="1" applyAlignment="1">
      <alignment horizontal="right" vertical="center"/>
    </xf>
    <xf numFmtId="0" fontId="31" fillId="4" borderId="46" xfId="37" applyFont="1" applyFill="1" applyBorder="1" applyAlignment="1">
      <alignment horizontal="right" vertical="center"/>
    </xf>
    <xf numFmtId="0" fontId="31" fillId="4" borderId="45" xfId="16" applyFont="1" applyFill="1" applyBorder="1" applyAlignment="1">
      <alignment horizontal="right" vertical="center"/>
    </xf>
    <xf numFmtId="0" fontId="31" fillId="4" borderId="984" xfId="16" applyFont="1" applyFill="1" applyBorder="1" applyAlignment="1">
      <alignment horizontal="right" vertical="center"/>
    </xf>
    <xf numFmtId="49" fontId="31" fillId="4" borderId="36" xfId="37" quotePrefix="1" applyNumberFormat="1" applyFont="1" applyFill="1" applyBorder="1" applyAlignment="1">
      <alignment horizontal="right" vertical="center"/>
    </xf>
    <xf numFmtId="0" fontId="31" fillId="4" borderId="41" xfId="37" applyFont="1" applyFill="1" applyBorder="1" applyAlignment="1">
      <alignment horizontal="right" vertical="center" wrapText="1"/>
    </xf>
    <xf numFmtId="0" fontId="10" fillId="0" borderId="0" xfId="0" applyFont="1" applyAlignment="1">
      <alignment horizontal="right"/>
    </xf>
    <xf numFmtId="0" fontId="11" fillId="0" borderId="0" xfId="2" applyFont="1" applyBorder="1" applyAlignment="1">
      <alignment horizontal="right" vertical="center"/>
    </xf>
    <xf numFmtId="0" fontId="9" fillId="0" borderId="0" xfId="0" applyFont="1" applyAlignment="1">
      <alignment horizontal="right" vertical="center"/>
    </xf>
    <xf numFmtId="0" fontId="5" fillId="0" borderId="0" xfId="0" applyFont="1" applyAlignment="1">
      <alignment horizontal="right" vertical="center"/>
    </xf>
    <xf numFmtId="0" fontId="5" fillId="0" borderId="0" xfId="0" applyFont="1" applyAlignment="1">
      <alignment horizontal="right"/>
    </xf>
    <xf numFmtId="0" fontId="6" fillId="0" borderId="0" xfId="0" applyFont="1" applyAlignment="1">
      <alignment horizontal="right"/>
    </xf>
    <xf numFmtId="0" fontId="7" fillId="0" borderId="0" xfId="0" applyFont="1" applyAlignment="1">
      <alignment horizontal="right" vertical="center"/>
    </xf>
    <xf numFmtId="0" fontId="8" fillId="0" borderId="0" xfId="0" applyFont="1" applyAlignment="1">
      <alignment horizontal="right" vertical="center"/>
    </xf>
    <xf numFmtId="0" fontId="19" fillId="0" borderId="0" xfId="0" applyFont="1" applyAlignment="1">
      <alignment horizontal="left" vertical="top" wrapText="1"/>
    </xf>
    <xf numFmtId="0" fontId="24" fillId="0" borderId="0" xfId="3" applyFont="1" applyAlignment="1">
      <alignment horizontal="left" vertical="top" wrapText="1" indent="1"/>
    </xf>
    <xf numFmtId="0" fontId="24" fillId="0" borderId="0" xfId="3" applyFont="1" applyAlignment="1">
      <alignment horizontal="left" vertical="top" wrapText="1" indent="2"/>
    </xf>
    <xf numFmtId="0" fontId="24" fillId="3" borderId="0" xfId="3" applyFont="1" applyFill="1" applyAlignment="1">
      <alignment horizontal="left" vertical="top" wrapText="1" indent="1"/>
    </xf>
    <xf numFmtId="0" fontId="24" fillId="3" borderId="0" xfId="3" applyFont="1" applyFill="1" applyAlignment="1">
      <alignment horizontal="left" vertical="top" wrapText="1" indent="2"/>
    </xf>
    <xf numFmtId="0" fontId="23" fillId="0" borderId="0" xfId="3" applyFont="1" applyAlignment="1">
      <alignment vertical="top" wrapText="1"/>
    </xf>
    <xf numFmtId="0" fontId="17" fillId="0" borderId="0" xfId="3" applyFont="1" applyAlignment="1">
      <alignment horizontal="left"/>
    </xf>
    <xf numFmtId="0" fontId="24" fillId="0" borderId="0" xfId="3" applyFont="1" applyAlignment="1">
      <alignment horizontal="left" vertical="top" wrapText="1"/>
    </xf>
    <xf numFmtId="0" fontId="24" fillId="0" borderId="0" xfId="3" applyFont="1" applyAlignment="1">
      <alignment horizontal="left" vertical="top" indent="1"/>
    </xf>
    <xf numFmtId="0" fontId="22" fillId="2" borderId="0" xfId="3" applyFont="1" applyFill="1" applyAlignment="1">
      <alignment horizontal="left" vertical="center"/>
    </xf>
    <xf numFmtId="0" fontId="31" fillId="0" borderId="0" xfId="3" quotePrefix="1" applyFont="1" applyAlignment="1">
      <alignment horizontal="left" vertical="center"/>
    </xf>
    <xf numFmtId="0" fontId="31" fillId="0" borderId="0" xfId="3" applyFont="1" applyAlignment="1">
      <alignment horizontal="left" vertical="center"/>
    </xf>
    <xf numFmtId="0" fontId="31" fillId="0" borderId="0" xfId="3" quotePrefix="1" applyFont="1" applyAlignment="1">
      <alignment horizontal="left" vertical="center" wrapText="1"/>
    </xf>
    <xf numFmtId="0" fontId="24" fillId="0" borderId="0" xfId="3" applyFont="1" applyAlignment="1">
      <alignment horizontal="left" vertical="top"/>
    </xf>
    <xf numFmtId="0" fontId="25" fillId="0" borderId="3" xfId="3" applyFont="1" applyBorder="1" applyAlignment="1">
      <alignment horizontal="left" vertical="top"/>
    </xf>
    <xf numFmtId="0" fontId="26" fillId="0" borderId="5" xfId="3" applyFont="1" applyBorder="1" applyAlignment="1">
      <alignment horizontal="center" vertical="center"/>
    </xf>
    <xf numFmtId="0" fontId="26" fillId="0" borderId="6" xfId="3" applyFont="1" applyBorder="1" applyAlignment="1">
      <alignment horizontal="center" vertical="center"/>
    </xf>
    <xf numFmtId="0" fontId="25" fillId="0" borderId="7" xfId="3" applyFont="1" applyBorder="1" applyAlignment="1">
      <alignment horizontal="center" vertical="center"/>
    </xf>
    <xf numFmtId="0" fontId="25" fillId="0" borderId="5" xfId="3" applyFont="1" applyBorder="1" applyAlignment="1">
      <alignment horizontal="center" vertical="center"/>
    </xf>
    <xf numFmtId="0" fontId="25" fillId="0" borderId="6" xfId="3" applyFont="1" applyBorder="1" applyAlignment="1">
      <alignment horizontal="center" vertical="center"/>
    </xf>
    <xf numFmtId="0" fontId="25" fillId="0" borderId="4" xfId="3" applyFont="1" applyBorder="1" applyAlignment="1">
      <alignment horizontal="center" vertical="center"/>
    </xf>
    <xf numFmtId="0" fontId="17" fillId="0" borderId="0" xfId="3" applyFont="1" applyAlignment="1">
      <alignment horizontal="left" vertical="center"/>
    </xf>
    <xf numFmtId="0" fontId="16" fillId="0" borderId="0" xfId="3" applyFont="1" applyAlignment="1">
      <alignment horizontal="left" vertical="center" wrapText="1"/>
    </xf>
    <xf numFmtId="0" fontId="31" fillId="4" borderId="47" xfId="3" applyFont="1" applyFill="1" applyBorder="1" applyAlignment="1">
      <alignment horizontal="left" vertical="center" wrapText="1"/>
    </xf>
    <xf numFmtId="0" fontId="31" fillId="4" borderId="48" xfId="3" applyFont="1" applyFill="1" applyBorder="1" applyAlignment="1">
      <alignment horizontal="left" vertical="center" wrapText="1"/>
    </xf>
    <xf numFmtId="0" fontId="30" fillId="0" borderId="50" xfId="3" applyFont="1" applyBorder="1" applyAlignment="1">
      <alignment horizontal="left" vertical="center"/>
    </xf>
    <xf numFmtId="0" fontId="33" fillId="0" borderId="0" xfId="3" applyFont="1" applyAlignment="1">
      <alignment horizontal="left" vertical="center" wrapText="1"/>
    </xf>
    <xf numFmtId="0" fontId="34" fillId="4" borderId="21" xfId="3" applyFont="1" applyFill="1" applyBorder="1" applyAlignment="1">
      <alignment horizontal="left" vertical="center" wrapText="1"/>
    </xf>
    <xf numFmtId="0" fontId="34" fillId="4" borderId="22" xfId="3" applyFont="1" applyFill="1" applyBorder="1" applyAlignment="1">
      <alignment horizontal="left" vertical="center" wrapText="1"/>
    </xf>
    <xf numFmtId="0" fontId="34" fillId="4" borderId="23" xfId="3" applyFont="1" applyFill="1" applyBorder="1" applyAlignment="1">
      <alignment horizontal="left" vertical="center" wrapText="1"/>
    </xf>
    <xf numFmtId="0" fontId="34" fillId="4" borderId="24" xfId="3" applyFont="1" applyFill="1" applyBorder="1" applyAlignment="1">
      <alignment horizontal="center" vertical="center" wrapText="1"/>
    </xf>
    <xf numFmtId="0" fontId="34" fillId="4" borderId="23" xfId="3" applyFont="1" applyFill="1" applyBorder="1" applyAlignment="1">
      <alignment horizontal="center" vertical="center" wrapText="1"/>
    </xf>
    <xf numFmtId="0" fontId="34" fillId="4" borderId="25" xfId="3" applyFont="1" applyFill="1" applyBorder="1" applyAlignment="1">
      <alignment horizontal="center" vertical="center"/>
    </xf>
    <xf numFmtId="0" fontId="34" fillId="4" borderId="26" xfId="3" applyFont="1" applyFill="1" applyBorder="1" applyAlignment="1">
      <alignment horizontal="center" vertical="center"/>
    </xf>
    <xf numFmtId="0" fontId="30" fillId="0" borderId="0" xfId="3" applyFont="1" applyAlignment="1">
      <alignment horizontal="left" vertical="center" wrapText="1"/>
    </xf>
    <xf numFmtId="0" fontId="30" fillId="0" borderId="0" xfId="3" applyFont="1" applyAlignment="1">
      <alignment horizontal="left" vertical="center"/>
    </xf>
    <xf numFmtId="0" fontId="30" fillId="0" borderId="66" xfId="3" applyFont="1" applyBorder="1" applyAlignment="1">
      <alignment horizontal="left" vertical="center"/>
    </xf>
    <xf numFmtId="0" fontId="22" fillId="2" borderId="51" xfId="3" applyFont="1" applyFill="1" applyBorder="1" applyAlignment="1">
      <alignment horizontal="left" vertical="center"/>
    </xf>
    <xf numFmtId="0" fontId="23" fillId="5" borderId="53" xfId="3" applyFont="1" applyFill="1" applyBorder="1" applyAlignment="1">
      <alignment horizontal="center" vertical="center"/>
    </xf>
    <xf numFmtId="0" fontId="23" fillId="5" borderId="54" xfId="3" applyFont="1" applyFill="1" applyBorder="1" applyAlignment="1">
      <alignment horizontal="center" vertical="center"/>
    </xf>
    <xf numFmtId="0" fontId="24" fillId="5" borderId="55" xfId="3" applyFont="1" applyFill="1" applyBorder="1" applyAlignment="1">
      <alignment horizontal="center" vertical="center"/>
    </xf>
    <xf numFmtId="0" fontId="24" fillId="5" borderId="53" xfId="3" applyFont="1" applyFill="1" applyBorder="1" applyAlignment="1">
      <alignment horizontal="center" vertical="center"/>
    </xf>
    <xf numFmtId="0" fontId="24" fillId="5" borderId="54" xfId="3" applyFont="1" applyFill="1" applyBorder="1" applyAlignment="1">
      <alignment horizontal="center" vertical="center"/>
    </xf>
    <xf numFmtId="0" fontId="24" fillId="6" borderId="55" xfId="3" applyFont="1" applyFill="1" applyBorder="1" applyAlignment="1">
      <alignment horizontal="center" vertical="center"/>
    </xf>
    <xf numFmtId="0" fontId="24" fillId="6" borderId="54" xfId="3" applyFont="1" applyFill="1" applyBorder="1" applyAlignment="1">
      <alignment horizontal="center" vertical="center"/>
    </xf>
    <xf numFmtId="0" fontId="22" fillId="2" borderId="75" xfId="3" applyFont="1" applyFill="1" applyBorder="1" applyAlignment="1">
      <alignment horizontal="left" vertical="center"/>
    </xf>
    <xf numFmtId="0" fontId="22" fillId="2" borderId="102" xfId="3" applyFont="1" applyFill="1" applyBorder="1" applyAlignment="1">
      <alignment horizontal="left" vertical="center"/>
    </xf>
    <xf numFmtId="0" fontId="23" fillId="5" borderId="104" xfId="3" applyFont="1" applyFill="1" applyBorder="1" applyAlignment="1">
      <alignment horizontal="center" vertical="center"/>
    </xf>
    <xf numFmtId="0" fontId="23" fillId="5" borderId="105" xfId="3" applyFont="1" applyFill="1" applyBorder="1" applyAlignment="1">
      <alignment horizontal="center" vertical="center"/>
    </xf>
    <xf numFmtId="0" fontId="24" fillId="5" borderId="106" xfId="3" applyFont="1" applyFill="1" applyBorder="1" applyAlignment="1">
      <alignment horizontal="center" vertical="center"/>
    </xf>
    <xf numFmtId="0" fontId="24" fillId="5" borderId="107" xfId="3" applyFont="1" applyFill="1" applyBorder="1" applyAlignment="1">
      <alignment horizontal="center" vertical="center"/>
    </xf>
    <xf numFmtId="0" fontId="24" fillId="5" borderId="103" xfId="3" applyFont="1" applyFill="1" applyBorder="1" applyAlignment="1">
      <alignment horizontal="center" vertical="center"/>
    </xf>
    <xf numFmtId="0" fontId="24" fillId="6" borderId="108" xfId="3" applyFont="1" applyFill="1" applyBorder="1" applyAlignment="1">
      <alignment horizontal="center" vertical="center"/>
    </xf>
    <xf numFmtId="0" fontId="24" fillId="6" borderId="109" xfId="3" applyFont="1" applyFill="1" applyBorder="1" applyAlignment="1">
      <alignment horizontal="center" vertical="center"/>
    </xf>
    <xf numFmtId="0" fontId="24" fillId="6" borderId="104" xfId="3" applyFont="1" applyFill="1" applyBorder="1" applyAlignment="1">
      <alignment horizontal="center" vertical="center"/>
    </xf>
    <xf numFmtId="0" fontId="23" fillId="5" borderId="103" xfId="3" applyFont="1" applyFill="1" applyBorder="1" applyAlignment="1">
      <alignment horizontal="center" vertical="center"/>
    </xf>
    <xf numFmtId="0" fontId="24" fillId="6" borderId="53" xfId="3" applyFont="1" applyFill="1" applyBorder="1" applyAlignment="1">
      <alignment horizontal="center" vertical="center"/>
    </xf>
    <xf numFmtId="0" fontId="31" fillId="0" borderId="0" xfId="3" quotePrefix="1" applyFont="1" applyAlignment="1" applyProtection="1">
      <alignment horizontal="left" vertical="center"/>
      <protection locked="0"/>
    </xf>
    <xf numFmtId="0" fontId="31" fillId="0" borderId="0" xfId="3" quotePrefix="1" applyFont="1" applyAlignment="1" applyProtection="1">
      <alignment horizontal="left" vertical="center" wrapText="1"/>
      <protection locked="0"/>
    </xf>
    <xf numFmtId="0" fontId="40" fillId="0" borderId="0" xfId="3" applyFont="1" applyAlignment="1">
      <alignment horizontal="left" vertical="center" wrapText="1"/>
    </xf>
    <xf numFmtId="0" fontId="30" fillId="0" borderId="0" xfId="3" quotePrefix="1" applyFont="1" applyAlignment="1" applyProtection="1">
      <alignment horizontal="left" vertical="center"/>
      <protection locked="0"/>
    </xf>
    <xf numFmtId="3" fontId="22" fillId="2" borderId="135" xfId="4" applyNumberFormat="1" applyFont="1" applyFill="1" applyBorder="1" applyAlignment="1" applyProtection="1">
      <alignment horizontal="left" vertical="center" wrapText="1"/>
      <protection locked="0"/>
    </xf>
    <xf numFmtId="0" fontId="23" fillId="8" borderId="137" xfId="3" applyFont="1" applyFill="1" applyBorder="1" applyAlignment="1" applyProtection="1">
      <alignment horizontal="center" vertical="center"/>
      <protection locked="0"/>
    </xf>
    <xf numFmtId="0" fontId="23" fillId="8" borderId="138" xfId="3" applyFont="1" applyFill="1" applyBorder="1" applyAlignment="1" applyProtection="1">
      <alignment horizontal="center" vertical="center"/>
      <protection locked="0"/>
    </xf>
    <xf numFmtId="0" fontId="24" fillId="8" borderId="17" xfId="3" applyFont="1" applyFill="1" applyBorder="1" applyAlignment="1" applyProtection="1">
      <alignment horizontal="center" vertical="center"/>
      <protection locked="0"/>
    </xf>
    <xf numFmtId="0" fontId="24" fillId="8" borderId="137" xfId="3" applyFont="1" applyFill="1" applyBorder="1" applyAlignment="1" applyProtection="1">
      <alignment horizontal="center" vertical="center"/>
      <protection locked="0"/>
    </xf>
    <xf numFmtId="0" fontId="24" fillId="8" borderId="139" xfId="3" applyFont="1" applyFill="1" applyBorder="1" applyAlignment="1" applyProtection="1">
      <alignment horizontal="center" vertical="center"/>
      <protection locked="0"/>
    </xf>
    <xf numFmtId="0" fontId="24" fillId="8" borderId="140" xfId="3" applyFont="1" applyFill="1" applyBorder="1" applyAlignment="1" applyProtection="1">
      <alignment horizontal="center" vertical="center"/>
      <protection locked="0"/>
    </xf>
    <xf numFmtId="0" fontId="24" fillId="8" borderId="141" xfId="3" applyFont="1" applyFill="1" applyBorder="1" applyAlignment="1" applyProtection="1">
      <alignment horizontal="center" vertical="center"/>
      <protection locked="0"/>
    </xf>
    <xf numFmtId="0" fontId="24" fillId="8" borderId="138" xfId="3" applyFont="1" applyFill="1" applyBorder="1" applyAlignment="1" applyProtection="1">
      <alignment horizontal="center" vertical="center"/>
      <protection locked="0"/>
    </xf>
    <xf numFmtId="0" fontId="24" fillId="9" borderId="137" xfId="3" applyFont="1" applyFill="1" applyBorder="1" applyAlignment="1" applyProtection="1">
      <alignment horizontal="center" vertical="center"/>
      <protection locked="0"/>
    </xf>
    <xf numFmtId="0" fontId="33" fillId="0" borderId="0" xfId="3" quotePrefix="1" applyFont="1" applyAlignment="1" applyProtection="1">
      <alignment horizontal="left" vertical="center"/>
      <protection locked="0"/>
    </xf>
    <xf numFmtId="0" fontId="33" fillId="0" borderId="0" xfId="3" quotePrefix="1" applyFont="1" applyAlignment="1" applyProtection="1">
      <alignment horizontal="left" vertical="center" wrapText="1"/>
      <protection locked="0"/>
    </xf>
    <xf numFmtId="0" fontId="22" fillId="2" borderId="186" xfId="3" applyFont="1" applyFill="1" applyBorder="1" applyAlignment="1" applyProtection="1">
      <alignment horizontal="left" vertical="center"/>
      <protection locked="0"/>
    </xf>
    <xf numFmtId="0" fontId="41" fillId="0" borderId="186" xfId="3" applyFont="1" applyBorder="1" applyAlignment="1" applyProtection="1">
      <alignment horizontal="left" vertical="center"/>
      <protection locked="0"/>
    </xf>
    <xf numFmtId="0" fontId="23" fillId="6" borderId="188" xfId="3" applyFont="1" applyFill="1" applyBorder="1" applyAlignment="1" applyProtection="1">
      <alignment horizontal="center" vertical="center"/>
      <protection locked="0"/>
    </xf>
    <xf numFmtId="0" fontId="23" fillId="6" borderId="187" xfId="3" applyFont="1" applyFill="1" applyBorder="1" applyAlignment="1" applyProtection="1">
      <alignment horizontal="center" vertical="center"/>
      <protection locked="0"/>
    </xf>
    <xf numFmtId="0" fontId="24" fillId="6" borderId="189" xfId="3" applyFont="1" applyFill="1" applyBorder="1" applyAlignment="1" applyProtection="1">
      <alignment horizontal="center" vertical="center"/>
      <protection locked="0"/>
    </xf>
    <xf numFmtId="0" fontId="24" fillId="6" borderId="188" xfId="3" applyFont="1" applyFill="1" applyBorder="1" applyAlignment="1" applyProtection="1">
      <alignment horizontal="center" vertical="center"/>
      <protection locked="0"/>
    </xf>
    <xf numFmtId="0" fontId="24" fillId="6" borderId="187" xfId="3" applyFont="1" applyFill="1" applyBorder="1" applyAlignment="1" applyProtection="1">
      <alignment horizontal="center" vertical="center"/>
      <protection locked="0"/>
    </xf>
    <xf numFmtId="0" fontId="24" fillId="6" borderId="190" xfId="3" applyFont="1" applyFill="1" applyBorder="1" applyAlignment="1" applyProtection="1">
      <alignment horizontal="center" vertical="center"/>
      <protection locked="0"/>
    </xf>
    <xf numFmtId="0" fontId="33" fillId="0" borderId="0" xfId="3" quotePrefix="1" applyFont="1" applyAlignment="1">
      <alignment horizontal="left" vertical="center" wrapText="1"/>
    </xf>
    <xf numFmtId="0" fontId="33" fillId="0" borderId="0" xfId="3" quotePrefix="1" applyFont="1" applyAlignment="1">
      <alignment horizontal="left" vertical="center"/>
    </xf>
    <xf numFmtId="0" fontId="22" fillId="2" borderId="186" xfId="3" applyFont="1" applyFill="1" applyBorder="1" applyAlignment="1">
      <alignment horizontal="left" vertical="center"/>
    </xf>
    <xf numFmtId="0" fontId="41" fillId="0" borderId="186" xfId="3" applyFont="1" applyBorder="1" applyAlignment="1">
      <alignment horizontal="left" vertical="center"/>
    </xf>
    <xf numFmtId="0" fontId="23" fillId="0" borderId="188" xfId="3" applyFont="1" applyBorder="1" applyAlignment="1">
      <alignment horizontal="center" vertical="center"/>
    </xf>
    <xf numFmtId="0" fontId="23" fillId="0" borderId="187" xfId="3" applyFont="1" applyBorder="1" applyAlignment="1">
      <alignment horizontal="center" vertical="center"/>
    </xf>
    <xf numFmtId="0" fontId="24" fillId="0" borderId="189" xfId="3" applyFont="1" applyBorder="1" applyAlignment="1">
      <alignment horizontal="center" vertical="center"/>
    </xf>
    <xf numFmtId="0" fontId="24" fillId="0" borderId="188" xfId="3" applyFont="1" applyBorder="1" applyAlignment="1">
      <alignment horizontal="center" vertical="center"/>
    </xf>
    <xf numFmtId="0" fontId="24" fillId="0" borderId="187" xfId="3" applyFont="1" applyBorder="1" applyAlignment="1">
      <alignment horizontal="center" vertical="center"/>
    </xf>
    <xf numFmtId="0" fontId="24" fillId="0" borderId="190" xfId="3" applyFont="1" applyBorder="1" applyAlignment="1">
      <alignment horizontal="center" vertical="center"/>
    </xf>
    <xf numFmtId="3" fontId="22" fillId="2" borderId="237" xfId="4" applyNumberFormat="1" applyFont="1" applyFill="1" applyBorder="1" applyAlignment="1" applyProtection="1">
      <alignment horizontal="left" vertical="center" wrapText="1"/>
      <protection locked="0"/>
    </xf>
    <xf numFmtId="0" fontId="23" fillId="9" borderId="239" xfId="3" applyFont="1" applyFill="1" applyBorder="1" applyAlignment="1" applyProtection="1">
      <alignment horizontal="center" vertical="center"/>
      <protection locked="0"/>
    </xf>
    <xf numFmtId="0" fontId="23" fillId="9" borderId="240" xfId="3" applyFont="1" applyFill="1" applyBorder="1" applyAlignment="1" applyProtection="1">
      <alignment horizontal="center" vertical="center"/>
      <protection locked="0"/>
    </xf>
    <xf numFmtId="0" fontId="24" fillId="9" borderId="241" xfId="3" applyFont="1" applyFill="1" applyBorder="1" applyAlignment="1">
      <alignment horizontal="center" vertical="center"/>
    </xf>
    <xf numFmtId="0" fontId="24" fillId="9" borderId="239" xfId="3" applyFont="1" applyFill="1" applyBorder="1" applyAlignment="1">
      <alignment horizontal="center" vertical="center"/>
    </xf>
    <xf numFmtId="0" fontId="24" fillId="9" borderId="242" xfId="3" applyFont="1" applyFill="1" applyBorder="1" applyAlignment="1">
      <alignment horizontal="center" vertical="center"/>
    </xf>
    <xf numFmtId="0" fontId="24" fillId="9" borderId="243" xfId="3" applyFont="1" applyFill="1" applyBorder="1" applyAlignment="1" applyProtection="1">
      <alignment horizontal="center" vertical="center"/>
      <protection locked="0"/>
    </xf>
    <xf numFmtId="0" fontId="24" fillId="9" borderId="244" xfId="3" applyFont="1" applyFill="1" applyBorder="1" applyAlignment="1" applyProtection="1">
      <alignment horizontal="center" vertical="center"/>
      <protection locked="0"/>
    </xf>
    <xf numFmtId="0" fontId="31" fillId="0" borderId="0" xfId="3" applyFont="1" applyAlignment="1" applyProtection="1">
      <alignment horizontal="left" vertical="center"/>
      <protection locked="0"/>
    </xf>
    <xf numFmtId="3" fontId="22" fillId="2" borderId="279" xfId="4" applyNumberFormat="1" applyFont="1" applyFill="1" applyBorder="1" applyAlignment="1" applyProtection="1">
      <alignment horizontal="left" vertical="center" wrapText="1"/>
      <protection locked="0"/>
    </xf>
    <xf numFmtId="11" fontId="23" fillId="9" borderId="281" xfId="3" applyNumberFormat="1" applyFont="1" applyFill="1" applyBorder="1" applyAlignment="1" applyProtection="1">
      <alignment horizontal="center" vertical="center"/>
      <protection locked="0"/>
    </xf>
    <xf numFmtId="11" fontId="23" fillId="9" borderId="280" xfId="3" applyNumberFormat="1" applyFont="1" applyFill="1" applyBorder="1" applyAlignment="1" applyProtection="1">
      <alignment horizontal="center" vertical="center"/>
      <protection locked="0"/>
    </xf>
    <xf numFmtId="0" fontId="24" fillId="9" borderId="17" xfId="3" applyFont="1" applyFill="1" applyBorder="1" applyAlignment="1">
      <alignment horizontal="center" vertical="center"/>
    </xf>
    <xf numFmtId="0" fontId="24" fillId="9" borderId="281" xfId="3" applyFont="1" applyFill="1" applyBorder="1" applyAlignment="1">
      <alignment horizontal="center" vertical="center"/>
    </xf>
    <xf numFmtId="0" fontId="24" fillId="9" borderId="139" xfId="3" applyFont="1" applyFill="1" applyBorder="1" applyAlignment="1">
      <alignment horizontal="center" vertical="center"/>
    </xf>
    <xf numFmtId="0" fontId="24" fillId="9" borderId="282" xfId="3" applyFont="1" applyFill="1" applyBorder="1" applyAlignment="1">
      <alignment horizontal="center" vertical="center"/>
    </xf>
    <xf numFmtId="11" fontId="24" fillId="9" borderId="17" xfId="3" applyNumberFormat="1" applyFont="1" applyFill="1" applyBorder="1" applyAlignment="1" applyProtection="1">
      <alignment horizontal="center" vertical="center"/>
      <protection locked="0"/>
    </xf>
    <xf numFmtId="11" fontId="24" fillId="9" borderId="280" xfId="3" applyNumberFormat="1" applyFont="1" applyFill="1" applyBorder="1" applyAlignment="1" applyProtection="1">
      <alignment horizontal="center" vertical="center"/>
      <protection locked="0"/>
    </xf>
    <xf numFmtId="11" fontId="24" fillId="9" borderId="281" xfId="3" applyNumberFormat="1" applyFont="1" applyFill="1" applyBorder="1" applyAlignment="1">
      <alignment horizontal="center" vertical="center"/>
    </xf>
    <xf numFmtId="0" fontId="22" fillId="2" borderId="357" xfId="3" applyFont="1" applyFill="1" applyBorder="1" applyAlignment="1">
      <alignment horizontal="left" vertical="center" wrapText="1"/>
    </xf>
    <xf numFmtId="0" fontId="23" fillId="11" borderId="359" xfId="3" applyFont="1" applyFill="1" applyBorder="1" applyAlignment="1">
      <alignment horizontal="center" vertical="center"/>
    </xf>
    <xf numFmtId="0" fontId="23" fillId="11" borderId="360" xfId="3" applyFont="1" applyFill="1" applyBorder="1" applyAlignment="1">
      <alignment horizontal="center" vertical="center"/>
    </xf>
    <xf numFmtId="0" fontId="24" fillId="11" borderId="361" xfId="3" applyFont="1" applyFill="1" applyBorder="1" applyAlignment="1">
      <alignment horizontal="center" vertical="center"/>
    </xf>
    <xf numFmtId="0" fontId="24" fillId="11" borderId="359" xfId="3" applyFont="1" applyFill="1" applyBorder="1" applyAlignment="1">
      <alignment horizontal="center" vertical="center"/>
    </xf>
    <xf numFmtId="0" fontId="24" fillId="11" borderId="362" xfId="3" applyFont="1" applyFill="1" applyBorder="1" applyAlignment="1">
      <alignment horizontal="center" vertical="center"/>
    </xf>
    <xf numFmtId="0" fontId="24" fillId="11" borderId="363" xfId="3" applyFont="1" applyFill="1" applyBorder="1" applyAlignment="1">
      <alignment horizontal="center" vertical="center"/>
    </xf>
    <xf numFmtId="0" fontId="24" fillId="11" borderId="364" xfId="3" applyFont="1" applyFill="1" applyBorder="1" applyAlignment="1">
      <alignment horizontal="center" vertical="center"/>
    </xf>
    <xf numFmtId="0" fontId="22" fillId="2" borderId="391" xfId="3" applyFont="1" applyFill="1" applyBorder="1" applyAlignment="1">
      <alignment horizontal="left" vertical="center"/>
    </xf>
    <xf numFmtId="0" fontId="23" fillId="11" borderId="393" xfId="3" applyFont="1" applyFill="1" applyBorder="1" applyAlignment="1">
      <alignment horizontal="center" vertical="center"/>
    </xf>
    <xf numFmtId="0" fontId="23" fillId="11" borderId="394" xfId="3" applyFont="1" applyFill="1" applyBorder="1" applyAlignment="1">
      <alignment horizontal="center" vertical="center"/>
    </xf>
    <xf numFmtId="0" fontId="24" fillId="11" borderId="395" xfId="3" applyFont="1" applyFill="1" applyBorder="1" applyAlignment="1">
      <alignment horizontal="center" vertical="center"/>
    </xf>
    <xf numFmtId="0" fontId="24" fillId="11" borderId="393" xfId="3" applyFont="1" applyFill="1" applyBorder="1" applyAlignment="1">
      <alignment horizontal="center" vertical="center"/>
    </xf>
    <xf numFmtId="0" fontId="24" fillId="11" borderId="394" xfId="3" applyFont="1" applyFill="1" applyBorder="1" applyAlignment="1">
      <alignment horizontal="center" vertical="center"/>
    </xf>
    <xf numFmtId="0" fontId="24" fillId="11" borderId="396" xfId="3" applyFont="1" applyFill="1" applyBorder="1" applyAlignment="1">
      <alignment horizontal="center" vertical="center"/>
    </xf>
    <xf numFmtId="0" fontId="22" fillId="2" borderId="414" xfId="3" applyFont="1" applyFill="1" applyBorder="1" applyAlignment="1">
      <alignment horizontal="left" vertical="center"/>
    </xf>
    <xf numFmtId="0" fontId="23" fillId="11" borderId="416" xfId="3" applyFont="1" applyFill="1" applyBorder="1" applyAlignment="1">
      <alignment horizontal="center" vertical="center"/>
    </xf>
    <xf numFmtId="0" fontId="23" fillId="11" borderId="417" xfId="3" applyFont="1" applyFill="1" applyBorder="1" applyAlignment="1">
      <alignment horizontal="center" vertical="center"/>
    </xf>
    <xf numFmtId="0" fontId="24" fillId="11" borderId="418" xfId="3" applyFont="1" applyFill="1" applyBorder="1" applyAlignment="1">
      <alignment horizontal="center" vertical="center"/>
    </xf>
    <xf numFmtId="0" fontId="24" fillId="11" borderId="416" xfId="3" applyFont="1" applyFill="1" applyBorder="1" applyAlignment="1">
      <alignment horizontal="center" vertical="center"/>
    </xf>
    <xf numFmtId="0" fontId="24" fillId="11" borderId="417" xfId="3" applyFont="1" applyFill="1" applyBorder="1" applyAlignment="1">
      <alignment horizontal="center" vertical="center"/>
    </xf>
    <xf numFmtId="0" fontId="31" fillId="0" borderId="0" xfId="3" quotePrefix="1" applyFont="1" applyAlignment="1">
      <alignment horizontal="left" vertical="top" wrapText="1"/>
    </xf>
    <xf numFmtId="0" fontId="31" fillId="0" borderId="0" xfId="3" applyFont="1" applyAlignment="1">
      <alignment horizontal="left" vertical="top" wrapText="1"/>
    </xf>
    <xf numFmtId="0" fontId="33" fillId="0" borderId="0" xfId="3" quotePrefix="1" applyFont="1" applyAlignment="1">
      <alignment horizontal="left" vertical="top" wrapText="1"/>
    </xf>
    <xf numFmtId="0" fontId="22" fillId="2" borderId="448" xfId="3" applyFont="1" applyFill="1" applyBorder="1" applyAlignment="1">
      <alignment horizontal="left" vertical="center"/>
    </xf>
    <xf numFmtId="0" fontId="23" fillId="11" borderId="450" xfId="3" applyFont="1" applyFill="1" applyBorder="1" applyAlignment="1">
      <alignment horizontal="center" vertical="center"/>
    </xf>
    <xf numFmtId="0" fontId="23" fillId="11" borderId="449" xfId="3" applyFont="1" applyFill="1" applyBorder="1" applyAlignment="1">
      <alignment horizontal="center" vertical="center"/>
    </xf>
    <xf numFmtId="0" fontId="24" fillId="11" borderId="451" xfId="3" applyFont="1" applyFill="1" applyBorder="1" applyAlignment="1">
      <alignment horizontal="center" vertical="center"/>
    </xf>
    <xf numFmtId="0" fontId="24" fillId="11" borderId="450" xfId="3" applyFont="1" applyFill="1" applyBorder="1" applyAlignment="1">
      <alignment horizontal="center" vertical="center"/>
    </xf>
    <xf numFmtId="0" fontId="24" fillId="11" borderId="452" xfId="3" applyFont="1" applyFill="1" applyBorder="1" applyAlignment="1">
      <alignment horizontal="center" vertical="center"/>
    </xf>
    <xf numFmtId="0" fontId="24" fillId="11" borderId="453" xfId="3" applyFont="1" applyFill="1" applyBorder="1" applyAlignment="1">
      <alignment horizontal="center" vertical="center"/>
    </xf>
    <xf numFmtId="0" fontId="17" fillId="10" borderId="470" xfId="3" applyFont="1" applyFill="1" applyBorder="1" applyAlignment="1">
      <alignment horizontal="center" vertical="center"/>
    </xf>
    <xf numFmtId="0" fontId="17" fillId="10" borderId="471" xfId="3" applyFont="1" applyFill="1" applyBorder="1" applyAlignment="1">
      <alignment horizontal="center" vertical="center"/>
    </xf>
    <xf numFmtId="0" fontId="16" fillId="10" borderId="472" xfId="3" applyFont="1" applyFill="1" applyBorder="1" applyAlignment="1">
      <alignment horizontal="center" vertical="center"/>
    </xf>
    <xf numFmtId="0" fontId="16" fillId="10" borderId="470" xfId="3" applyFont="1" applyFill="1" applyBorder="1" applyAlignment="1">
      <alignment horizontal="center" vertical="center"/>
    </xf>
    <xf numFmtId="0" fontId="16" fillId="10" borderId="473" xfId="3" applyFont="1" applyFill="1" applyBorder="1" applyAlignment="1">
      <alignment horizontal="center" vertical="center"/>
    </xf>
    <xf numFmtId="0" fontId="16" fillId="10" borderId="474" xfId="3" applyFont="1" applyFill="1" applyBorder="1" applyAlignment="1">
      <alignment horizontal="center" vertical="center"/>
    </xf>
    <xf numFmtId="0" fontId="44" fillId="0" borderId="0" xfId="3" applyFont="1" applyAlignment="1">
      <alignment horizontal="left" vertical="center"/>
    </xf>
    <xf numFmtId="0" fontId="17" fillId="10" borderId="495" xfId="3" applyFont="1" applyFill="1" applyBorder="1" applyAlignment="1">
      <alignment horizontal="center" vertical="center"/>
    </xf>
    <xf numFmtId="0" fontId="16" fillId="10" borderId="496" xfId="3" applyFont="1" applyFill="1" applyBorder="1" applyAlignment="1">
      <alignment horizontal="center" vertical="center"/>
    </xf>
    <xf numFmtId="0" fontId="16" fillId="10" borderId="497" xfId="3" applyFont="1" applyFill="1" applyBorder="1" applyAlignment="1">
      <alignment horizontal="center" vertical="center"/>
    </xf>
    <xf numFmtId="0" fontId="16" fillId="10" borderId="498" xfId="3" applyFont="1" applyFill="1" applyBorder="1" applyAlignment="1">
      <alignment horizontal="center" vertical="center"/>
    </xf>
    <xf numFmtId="0" fontId="48" fillId="0" borderId="0" xfId="3" quotePrefix="1" applyFont="1" applyAlignment="1" applyProtection="1">
      <alignment horizontal="left" vertical="center"/>
      <protection locked="0"/>
    </xf>
    <xf numFmtId="0" fontId="44" fillId="0" borderId="0" xfId="3" quotePrefix="1" applyFont="1" applyAlignment="1" applyProtection="1">
      <alignment horizontal="left" vertical="center"/>
      <protection locked="0"/>
    </xf>
    <xf numFmtId="0" fontId="22" fillId="2" borderId="279" xfId="3" applyFont="1" applyFill="1" applyBorder="1" applyAlignment="1" applyProtection="1">
      <alignment horizontal="left" vertical="center"/>
      <protection locked="0"/>
    </xf>
    <xf numFmtId="0" fontId="17" fillId="10" borderId="512" xfId="3" applyFont="1" applyFill="1" applyBorder="1" applyAlignment="1" applyProtection="1">
      <alignment horizontal="center" vertical="center"/>
      <protection locked="0"/>
    </xf>
    <xf numFmtId="0" fontId="17" fillId="10" borderId="513" xfId="3" applyFont="1" applyFill="1" applyBorder="1" applyAlignment="1" applyProtection="1">
      <alignment horizontal="center" vertical="center"/>
      <protection locked="0"/>
    </xf>
    <xf numFmtId="0" fontId="16" fillId="10" borderId="514" xfId="3" applyFont="1" applyFill="1" applyBorder="1" applyAlignment="1" applyProtection="1">
      <alignment horizontal="center" vertical="center"/>
      <protection locked="0"/>
    </xf>
    <xf numFmtId="0" fontId="16" fillId="10" borderId="512" xfId="3" applyFont="1" applyFill="1" applyBorder="1" applyAlignment="1" applyProtection="1">
      <alignment horizontal="center" vertical="center"/>
      <protection locked="0"/>
    </xf>
    <xf numFmtId="0" fontId="16" fillId="10" borderId="515" xfId="3" applyFont="1" applyFill="1" applyBorder="1" applyAlignment="1" applyProtection="1">
      <alignment horizontal="center" vertical="center"/>
      <protection locked="0"/>
    </xf>
    <xf numFmtId="0" fontId="16" fillId="11" borderId="516" xfId="3" applyFont="1" applyFill="1" applyBorder="1" applyAlignment="1" applyProtection="1">
      <alignment horizontal="center" vertical="center"/>
      <protection locked="0"/>
    </xf>
    <xf numFmtId="0" fontId="16" fillId="11" borderId="517" xfId="3" applyFont="1" applyFill="1" applyBorder="1" applyAlignment="1" applyProtection="1">
      <alignment horizontal="center" vertical="center"/>
      <protection locked="0"/>
    </xf>
    <xf numFmtId="0" fontId="16" fillId="11" borderId="512" xfId="3" applyFont="1" applyFill="1" applyBorder="1" applyAlignment="1" applyProtection="1">
      <alignment horizontal="center" vertical="center"/>
      <protection locked="0"/>
    </xf>
    <xf numFmtId="0" fontId="23" fillId="12" borderId="544" xfId="3" applyFont="1" applyFill="1" applyBorder="1" applyAlignment="1">
      <alignment horizontal="center" vertical="center"/>
    </xf>
    <xf numFmtId="0" fontId="23" fillId="12" borderId="545" xfId="3" applyFont="1" applyFill="1" applyBorder="1" applyAlignment="1">
      <alignment horizontal="center" vertical="center"/>
    </xf>
    <xf numFmtId="0" fontId="24" fillId="12" borderId="546" xfId="3" applyFont="1" applyFill="1" applyBorder="1" applyAlignment="1">
      <alignment horizontal="center" vertical="center"/>
    </xf>
    <xf numFmtId="0" fontId="24" fillId="12" borderId="544" xfId="3" applyFont="1" applyFill="1" applyBorder="1" applyAlignment="1">
      <alignment horizontal="center" vertical="center"/>
    </xf>
    <xf numFmtId="0" fontId="24" fillId="12" borderId="547" xfId="3" applyFont="1" applyFill="1" applyBorder="1" applyAlignment="1">
      <alignment horizontal="center" vertical="center"/>
    </xf>
    <xf numFmtId="0" fontId="24" fillId="12" borderId="548" xfId="3" applyFont="1" applyFill="1" applyBorder="1" applyAlignment="1">
      <alignment horizontal="center" vertical="center"/>
    </xf>
    <xf numFmtId="0" fontId="24" fillId="12" borderId="549" xfId="3" applyFont="1" applyFill="1" applyBorder="1" applyAlignment="1">
      <alignment horizontal="center" vertical="center"/>
    </xf>
    <xf numFmtId="0" fontId="24" fillId="12" borderId="394" xfId="3" applyFont="1" applyFill="1" applyBorder="1" applyAlignment="1">
      <alignment horizontal="center" vertical="center"/>
    </xf>
    <xf numFmtId="0" fontId="22" fillId="2" borderId="569" xfId="3" applyFont="1" applyFill="1" applyBorder="1" applyAlignment="1">
      <alignment horizontal="left" vertical="center"/>
    </xf>
    <xf numFmtId="0" fontId="22" fillId="2" borderId="21" xfId="3" applyFont="1" applyFill="1" applyBorder="1" applyAlignment="1">
      <alignment horizontal="left" vertical="center"/>
    </xf>
    <xf numFmtId="183" fontId="23" fillId="0" borderId="577" xfId="3" applyNumberFormat="1" applyFont="1" applyBorder="1" applyAlignment="1">
      <alignment horizontal="center" vertical="center"/>
    </xf>
    <xf numFmtId="183" fontId="23" fillId="0" borderId="576" xfId="3" applyNumberFormat="1" applyFont="1" applyBorder="1" applyAlignment="1">
      <alignment horizontal="center" vertical="center"/>
    </xf>
    <xf numFmtId="183" fontId="24" fillId="0" borderId="577" xfId="3" applyNumberFormat="1" applyFont="1" applyBorder="1" applyAlignment="1">
      <alignment horizontal="center" vertical="center"/>
    </xf>
    <xf numFmtId="183" fontId="24" fillId="0" borderId="23" xfId="3" applyNumberFormat="1" applyFont="1" applyBorder="1" applyAlignment="1">
      <alignment horizontal="center" vertical="center"/>
    </xf>
    <xf numFmtId="183" fontId="24" fillId="0" borderId="578" xfId="3" applyNumberFormat="1" applyFont="1" applyBorder="1" applyAlignment="1">
      <alignment horizontal="center" vertical="center"/>
    </xf>
    <xf numFmtId="0" fontId="31" fillId="0" borderId="0" xfId="3" applyFont="1" applyAlignment="1">
      <alignment horizontal="left" vertical="center" wrapText="1"/>
    </xf>
    <xf numFmtId="0" fontId="23" fillId="12" borderId="592" xfId="3" applyFont="1" applyFill="1" applyBorder="1" applyAlignment="1">
      <alignment horizontal="center" vertical="center"/>
    </xf>
    <xf numFmtId="0" fontId="23" fillId="12" borderId="591" xfId="3" applyFont="1" applyFill="1" applyBorder="1" applyAlignment="1">
      <alignment horizontal="center" vertical="center"/>
    </xf>
    <xf numFmtId="0" fontId="24" fillId="12" borderId="593" xfId="3" applyFont="1" applyFill="1" applyBorder="1" applyAlignment="1">
      <alignment horizontal="center" vertical="center"/>
    </xf>
    <xf numFmtId="0" fontId="24" fillId="12" borderId="592" xfId="3" applyFont="1" applyFill="1" applyBorder="1" applyAlignment="1">
      <alignment horizontal="center" vertical="center"/>
    </xf>
    <xf numFmtId="0" fontId="24" fillId="12" borderId="591" xfId="3" applyFont="1" applyFill="1" applyBorder="1" applyAlignment="1">
      <alignment horizontal="center" vertical="center"/>
    </xf>
    <xf numFmtId="0" fontId="24" fillId="12" borderId="475" xfId="3" applyFont="1" applyFill="1" applyBorder="1" applyAlignment="1">
      <alignment horizontal="center" vertical="center"/>
    </xf>
    <xf numFmtId="0" fontId="33" fillId="0" borderId="0" xfId="3" applyFont="1" applyAlignment="1">
      <alignment horizontal="left" vertical="center"/>
    </xf>
    <xf numFmtId="0" fontId="23" fillId="12" borderId="608" xfId="3" applyFont="1" applyFill="1" applyBorder="1" applyAlignment="1">
      <alignment horizontal="center" vertical="center"/>
    </xf>
    <xf numFmtId="0" fontId="23" fillId="12" borderId="607" xfId="3" applyFont="1" applyFill="1" applyBorder="1" applyAlignment="1">
      <alignment horizontal="center" vertical="center"/>
    </xf>
    <xf numFmtId="0" fontId="24" fillId="12" borderId="609" xfId="3" applyFont="1" applyFill="1" applyBorder="1" applyAlignment="1">
      <alignment horizontal="center" vertical="center"/>
    </xf>
    <xf numFmtId="0" fontId="24" fillId="12" borderId="608" xfId="3" applyFont="1" applyFill="1" applyBorder="1" applyAlignment="1">
      <alignment horizontal="center" vertical="center"/>
    </xf>
    <xf numFmtId="0" fontId="24" fillId="12" borderId="607" xfId="3" applyFont="1" applyFill="1" applyBorder="1" applyAlignment="1">
      <alignment horizontal="center" vertical="center"/>
    </xf>
    <xf numFmtId="0" fontId="24" fillId="12" borderId="610" xfId="3" applyFont="1" applyFill="1" applyBorder="1" applyAlignment="1">
      <alignment horizontal="center" vertical="center"/>
    </xf>
    <xf numFmtId="0" fontId="22" fillId="2" borderId="628" xfId="3" applyFont="1" applyFill="1" applyBorder="1" applyAlignment="1">
      <alignment horizontal="left" vertical="center"/>
    </xf>
    <xf numFmtId="0" fontId="23" fillId="12" borderId="630" xfId="3" applyFont="1" applyFill="1" applyBorder="1" applyAlignment="1">
      <alignment horizontal="center" vertical="center"/>
    </xf>
    <xf numFmtId="0" fontId="23" fillId="12" borderId="394" xfId="3" applyFont="1" applyFill="1" applyBorder="1" applyAlignment="1">
      <alignment horizontal="center" vertical="center"/>
    </xf>
    <xf numFmtId="0" fontId="24" fillId="12" borderId="631" xfId="3" applyFont="1" applyFill="1" applyBorder="1" applyAlignment="1">
      <alignment horizontal="center" vertical="center"/>
    </xf>
    <xf numFmtId="0" fontId="24" fillId="12" borderId="630" xfId="3" applyFont="1" applyFill="1" applyBorder="1" applyAlignment="1">
      <alignment horizontal="center" vertical="center"/>
    </xf>
    <xf numFmtId="0" fontId="24" fillId="12" borderId="632" xfId="3" applyFont="1" applyFill="1" applyBorder="1" applyAlignment="1">
      <alignment horizontal="center" vertical="center"/>
    </xf>
    <xf numFmtId="0" fontId="22" fillId="2" borderId="645" xfId="3" applyFont="1" applyFill="1" applyBorder="1" applyAlignment="1">
      <alignment horizontal="left" vertical="center"/>
    </xf>
    <xf numFmtId="183" fontId="23" fillId="0" borderId="647" xfId="3" applyNumberFormat="1" applyFont="1" applyBorder="1" applyAlignment="1">
      <alignment horizontal="center" vertical="center" wrapText="1"/>
    </xf>
    <xf numFmtId="183" fontId="23" fillId="0" borderId="648" xfId="3" applyNumberFormat="1" applyFont="1" applyBorder="1" applyAlignment="1">
      <alignment horizontal="center" vertical="center" wrapText="1"/>
    </xf>
    <xf numFmtId="183" fontId="23" fillId="0" borderId="646" xfId="3" applyNumberFormat="1" applyFont="1" applyBorder="1" applyAlignment="1">
      <alignment horizontal="center" vertical="center" wrapText="1"/>
    </xf>
    <xf numFmtId="183" fontId="24" fillId="0" borderId="647" xfId="3" applyNumberFormat="1" applyFont="1" applyBorder="1" applyAlignment="1">
      <alignment horizontal="center" vertical="center" wrapText="1"/>
    </xf>
    <xf numFmtId="183" fontId="24" fillId="0" borderId="648" xfId="3" applyNumberFormat="1" applyFont="1" applyBorder="1" applyAlignment="1">
      <alignment horizontal="center" vertical="center" wrapText="1"/>
    </xf>
    <xf numFmtId="183" fontId="24" fillId="0" borderId="646" xfId="3" applyNumberFormat="1" applyFont="1" applyBorder="1" applyAlignment="1">
      <alignment horizontal="center" vertical="center" wrapText="1"/>
    </xf>
    <xf numFmtId="0" fontId="22" fillId="2" borderId="676" xfId="3" applyFont="1" applyFill="1" applyBorder="1" applyAlignment="1">
      <alignment horizontal="left" vertical="center"/>
    </xf>
    <xf numFmtId="0" fontId="30" fillId="0" borderId="0" xfId="3" quotePrefix="1" applyFont="1" applyAlignment="1">
      <alignment horizontal="left" vertical="center"/>
    </xf>
    <xf numFmtId="0" fontId="22" fillId="2" borderId="718" xfId="3" applyFont="1" applyFill="1" applyBorder="1" applyAlignment="1">
      <alignment horizontal="left" vertical="center"/>
    </xf>
    <xf numFmtId="0" fontId="40" fillId="0" borderId="720" xfId="3" applyFont="1" applyBorder="1" applyAlignment="1">
      <alignment horizontal="center" vertical="center"/>
    </xf>
    <xf numFmtId="0" fontId="40" fillId="0" borderId="721" xfId="3" applyFont="1" applyBorder="1" applyAlignment="1">
      <alignment horizontal="center" vertical="center"/>
    </xf>
    <xf numFmtId="15" fontId="24" fillId="0" borderId="722" xfId="3" applyNumberFormat="1" applyFont="1" applyBorder="1" applyAlignment="1">
      <alignment horizontal="center" vertical="center" wrapText="1"/>
    </xf>
    <xf numFmtId="0" fontId="40" fillId="0" borderId="719" xfId="3" applyFont="1" applyBorder="1" applyAlignment="1">
      <alignment horizontal="center" vertical="center"/>
    </xf>
    <xf numFmtId="0" fontId="24" fillId="0" borderId="723" xfId="3" applyFont="1" applyBorder="1" applyAlignment="1">
      <alignment horizontal="center" vertical="center" wrapText="1"/>
    </xf>
    <xf numFmtId="0" fontId="24" fillId="0" borderId="719" xfId="3" applyFont="1" applyBorder="1" applyAlignment="1">
      <alignment horizontal="center" vertical="center" wrapText="1"/>
    </xf>
    <xf numFmtId="0" fontId="24" fillId="0" borderId="720" xfId="3" applyFont="1" applyBorder="1" applyAlignment="1">
      <alignment horizontal="center" vertical="center"/>
    </xf>
    <xf numFmtId="0" fontId="22" fillId="2" borderId="743" xfId="3" applyFont="1" applyFill="1" applyBorder="1" applyAlignment="1">
      <alignment horizontal="left" vertical="center"/>
    </xf>
    <xf numFmtId="0" fontId="17" fillId="0" borderId="745" xfId="3" applyFont="1" applyBorder="1" applyAlignment="1" applyProtection="1">
      <alignment horizontal="center" vertical="center"/>
      <protection locked="0"/>
    </xf>
    <xf numFmtId="0" fontId="17" fillId="0" borderId="744" xfId="3" applyFont="1" applyBorder="1" applyAlignment="1" applyProtection="1">
      <alignment horizontal="center" vertical="center"/>
      <protection locked="0"/>
    </xf>
    <xf numFmtId="15" fontId="24" fillId="0" borderId="746" xfId="3" quotePrefix="1" applyNumberFormat="1" applyFont="1" applyBorder="1" applyAlignment="1">
      <alignment horizontal="center" vertical="center"/>
    </xf>
    <xf numFmtId="15" fontId="24" fillId="0" borderId="745" xfId="3" quotePrefix="1" applyNumberFormat="1" applyFont="1" applyBorder="1" applyAlignment="1">
      <alignment horizontal="center" vertical="center"/>
    </xf>
    <xf numFmtId="15" fontId="24" fillId="0" borderId="747" xfId="3" quotePrefix="1" applyNumberFormat="1" applyFont="1" applyBorder="1" applyAlignment="1">
      <alignment horizontal="center" vertical="center"/>
    </xf>
    <xf numFmtId="15" fontId="24" fillId="0" borderId="748" xfId="3" quotePrefix="1" applyNumberFormat="1" applyFont="1" applyBorder="1" applyAlignment="1">
      <alignment horizontal="center" vertical="center"/>
    </xf>
    <xf numFmtId="0" fontId="22" fillId="2" borderId="769" xfId="3" applyFont="1" applyFill="1" applyBorder="1" applyAlignment="1">
      <alignment horizontal="left" vertical="center"/>
    </xf>
    <xf numFmtId="0" fontId="17" fillId="10" borderId="771" xfId="3" applyFont="1" applyFill="1" applyBorder="1" applyAlignment="1">
      <alignment horizontal="center" vertical="center"/>
    </xf>
    <xf numFmtId="0" fontId="17" fillId="10" borderId="770" xfId="3" applyFont="1" applyFill="1" applyBorder="1" applyAlignment="1">
      <alignment horizontal="center" vertical="center"/>
    </xf>
    <xf numFmtId="0" fontId="16" fillId="10" borderId="772" xfId="3" applyFont="1" applyFill="1" applyBorder="1" applyAlignment="1">
      <alignment horizontal="center" vertical="center"/>
    </xf>
    <xf numFmtId="0" fontId="16" fillId="10" borderId="771" xfId="3" applyFont="1" applyFill="1" applyBorder="1" applyAlignment="1">
      <alignment horizontal="center" vertical="center"/>
    </xf>
    <xf numFmtId="0" fontId="16" fillId="10" borderId="773" xfId="3" applyFont="1" applyFill="1" applyBorder="1" applyAlignment="1">
      <alignment horizontal="center" vertical="center"/>
    </xf>
    <xf numFmtId="0" fontId="16" fillId="10" borderId="475" xfId="3" applyFont="1" applyFill="1" applyBorder="1" applyAlignment="1">
      <alignment horizontal="center" vertical="center"/>
    </xf>
    <xf numFmtId="0" fontId="30" fillId="0" borderId="0" xfId="3" applyFont="1" applyAlignment="1">
      <alignment horizontal="left" wrapText="1"/>
    </xf>
    <xf numFmtId="0" fontId="23" fillId="10" borderId="450" xfId="3" applyFont="1" applyFill="1" applyBorder="1" applyAlignment="1">
      <alignment horizontal="center" vertical="center"/>
    </xf>
    <xf numFmtId="0" fontId="23" fillId="10" borderId="793" xfId="3" applyFont="1" applyFill="1" applyBorder="1" applyAlignment="1">
      <alignment horizontal="center" vertical="center"/>
    </xf>
    <xf numFmtId="0" fontId="24" fillId="10" borderId="794" xfId="3" applyFont="1" applyFill="1" applyBorder="1" applyAlignment="1">
      <alignment horizontal="center" vertical="center"/>
    </xf>
    <xf numFmtId="0" fontId="24" fillId="10" borderId="450" xfId="3" applyFont="1" applyFill="1" applyBorder="1" applyAlignment="1">
      <alignment horizontal="center" vertical="center"/>
    </xf>
    <xf numFmtId="0" fontId="24" fillId="10" borderId="793" xfId="3" applyFont="1" applyFill="1" applyBorder="1" applyAlignment="1">
      <alignment horizontal="center" vertical="center"/>
    </xf>
    <xf numFmtId="0" fontId="24" fillId="10" borderId="449" xfId="3" applyFont="1" applyFill="1" applyBorder="1" applyAlignment="1">
      <alignment horizontal="center" vertical="center"/>
    </xf>
    <xf numFmtId="0" fontId="22" fillId="2" borderId="803" xfId="3" applyFont="1" applyFill="1" applyBorder="1" applyAlignment="1">
      <alignment horizontal="left" vertical="center"/>
    </xf>
    <xf numFmtId="0" fontId="23" fillId="6" borderId="805" xfId="3" applyFont="1" applyFill="1" applyBorder="1" applyAlignment="1">
      <alignment horizontal="center" vertical="center"/>
    </xf>
    <xf numFmtId="0" fontId="23" fillId="6" borderId="804" xfId="3" applyFont="1" applyFill="1" applyBorder="1" applyAlignment="1">
      <alignment horizontal="center" vertical="center"/>
    </xf>
    <xf numFmtId="0" fontId="24" fillId="6" borderId="806" xfId="3" applyFont="1" applyFill="1" applyBorder="1" applyAlignment="1">
      <alignment horizontal="center" vertical="center"/>
    </xf>
    <xf numFmtId="0" fontId="24" fillId="6" borderId="805" xfId="3" applyFont="1" applyFill="1" applyBorder="1" applyAlignment="1">
      <alignment horizontal="center" vertical="center"/>
    </xf>
    <xf numFmtId="0" fontId="24" fillId="6" borderId="804" xfId="3" applyFont="1" applyFill="1" applyBorder="1" applyAlignment="1">
      <alignment horizontal="center" vertical="center"/>
    </xf>
    <xf numFmtId="0" fontId="24" fillId="6" borderId="807" xfId="3" applyFont="1" applyFill="1" applyBorder="1" applyAlignment="1">
      <alignment horizontal="center" vertical="center"/>
    </xf>
    <xf numFmtId="0" fontId="53" fillId="0" borderId="279" xfId="3" applyFont="1" applyBorder="1" applyAlignment="1">
      <alignment horizontal="left" vertical="center"/>
    </xf>
    <xf numFmtId="0" fontId="53" fillId="0" borderId="830" xfId="3" applyFont="1" applyBorder="1" applyAlignment="1">
      <alignment horizontal="center" vertical="center"/>
    </xf>
    <xf numFmtId="0" fontId="53" fillId="0" borderId="831" xfId="3" applyFont="1" applyBorder="1" applyAlignment="1">
      <alignment horizontal="center" vertical="center"/>
    </xf>
    <xf numFmtId="0" fontId="48" fillId="0" borderId="832" xfId="3" applyFont="1" applyBorder="1" applyAlignment="1">
      <alignment horizontal="center" vertical="center"/>
    </xf>
    <xf numFmtId="0" fontId="48" fillId="0" borderId="833" xfId="3" applyFont="1" applyBorder="1" applyAlignment="1">
      <alignment horizontal="center" vertical="center"/>
    </xf>
    <xf numFmtId="0" fontId="48" fillId="0" borderId="139" xfId="3" applyFont="1" applyBorder="1" applyAlignment="1">
      <alignment horizontal="center" vertical="center"/>
    </xf>
    <xf numFmtId="0" fontId="48" fillId="0" borderId="834" xfId="3" applyFont="1" applyBorder="1" applyAlignment="1">
      <alignment horizontal="center" vertical="center"/>
    </xf>
    <xf numFmtId="0" fontId="33" fillId="0" borderId="834" xfId="3" applyFont="1" applyBorder="1" applyAlignment="1">
      <alignment horizontal="center" vertical="center"/>
    </xf>
    <xf numFmtId="0" fontId="33" fillId="0" borderId="835" xfId="3" applyFont="1" applyBorder="1" applyAlignment="1">
      <alignment horizontal="center" vertical="center"/>
    </xf>
    <xf numFmtId="0" fontId="33" fillId="0" borderId="833" xfId="3" applyFont="1" applyBorder="1" applyAlignment="1">
      <alignment horizontal="center" vertical="center"/>
    </xf>
    <xf numFmtId="0" fontId="31" fillId="0" borderId="0" xfId="33" quotePrefix="1" applyFont="1" applyAlignment="1">
      <alignment vertical="center"/>
    </xf>
    <xf numFmtId="0" fontId="31" fillId="0" borderId="0" xfId="33" applyFont="1" applyAlignment="1">
      <alignment vertical="center"/>
    </xf>
    <xf numFmtId="0" fontId="53" fillId="0" borderId="855" xfId="3" applyFont="1" applyBorder="1" applyAlignment="1">
      <alignment horizontal="center" vertical="center"/>
    </xf>
    <xf numFmtId="0" fontId="53" fillId="0" borderId="856" xfId="3" applyFont="1" applyBorder="1" applyAlignment="1">
      <alignment horizontal="center" vertical="center"/>
    </xf>
    <xf numFmtId="0" fontId="48" fillId="0" borderId="857" xfId="3" applyFont="1" applyBorder="1" applyAlignment="1">
      <alignment horizontal="center" vertical="center"/>
    </xf>
    <xf numFmtId="0" fontId="48" fillId="0" borderId="843" xfId="3" applyFont="1" applyBorder="1" applyAlignment="1">
      <alignment horizontal="center" vertical="center"/>
    </xf>
    <xf numFmtId="0" fontId="48" fillId="0" borderId="858" xfId="3" applyFont="1" applyBorder="1" applyAlignment="1">
      <alignment horizontal="center" vertical="center"/>
    </xf>
    <xf numFmtId="0" fontId="33" fillId="0" borderId="858" xfId="3" applyFont="1" applyBorder="1" applyAlignment="1">
      <alignment horizontal="center" vertical="center"/>
    </xf>
    <xf numFmtId="0" fontId="33" fillId="0" borderId="859" xfId="3" applyFont="1" applyBorder="1" applyAlignment="1">
      <alignment horizontal="center" vertical="center"/>
    </xf>
    <xf numFmtId="0" fontId="33" fillId="0" borderId="843" xfId="3" applyFont="1" applyBorder="1" applyAlignment="1">
      <alignment horizontal="center" vertical="center"/>
    </xf>
    <xf numFmtId="0" fontId="24" fillId="0" borderId="0" xfId="3" applyFont="1" applyAlignment="1">
      <alignment horizontal="left" vertical="center"/>
    </xf>
    <xf numFmtId="0" fontId="23" fillId="0" borderId="877" xfId="3" applyFont="1" applyBorder="1" applyAlignment="1">
      <alignment horizontal="left" vertical="center"/>
    </xf>
    <xf numFmtId="0" fontId="17" fillId="12" borderId="879" xfId="3" applyFont="1" applyFill="1" applyBorder="1" applyAlignment="1">
      <alignment horizontal="center" vertical="center"/>
    </xf>
    <xf numFmtId="0" fontId="17" fillId="12" borderId="878" xfId="3" applyFont="1" applyFill="1" applyBorder="1" applyAlignment="1">
      <alignment horizontal="center" vertical="center"/>
    </xf>
    <xf numFmtId="0" fontId="16" fillId="12" borderId="880" xfId="3" applyFont="1" applyFill="1" applyBorder="1" applyAlignment="1">
      <alignment horizontal="center" vertical="center"/>
    </xf>
    <xf numFmtId="0" fontId="16" fillId="12" borderId="879" xfId="3" applyFont="1" applyFill="1" applyBorder="1" applyAlignment="1">
      <alignment horizontal="center" vertical="center"/>
    </xf>
    <xf numFmtId="0" fontId="16" fillId="12" borderId="878" xfId="3" applyFont="1" applyFill="1" applyBorder="1" applyAlignment="1">
      <alignment horizontal="center" vertical="center"/>
    </xf>
    <xf numFmtId="0" fontId="16" fillId="12" borderId="881" xfId="3" applyFont="1" applyFill="1" applyBorder="1" applyAlignment="1">
      <alignment horizontal="center" vertical="center"/>
    </xf>
    <xf numFmtId="0" fontId="16" fillId="12" borderId="882" xfId="3" applyFont="1" applyFill="1" applyBorder="1" applyAlignment="1">
      <alignment horizontal="center" vertical="center"/>
    </xf>
    <xf numFmtId="0" fontId="22" fillId="2" borderId="901" xfId="34" applyFont="1" applyFill="1" applyBorder="1" applyAlignment="1">
      <alignment horizontal="left" vertical="center"/>
    </xf>
    <xf numFmtId="0" fontId="23" fillId="0" borderId="902" xfId="16" applyFont="1" applyBorder="1" applyAlignment="1">
      <alignment horizontal="left" vertical="center"/>
    </xf>
    <xf numFmtId="0" fontId="23" fillId="9" borderId="904" xfId="34" applyFont="1" applyFill="1" applyBorder="1" applyAlignment="1">
      <alignment horizontal="center" vertical="center"/>
    </xf>
    <xf numFmtId="0" fontId="23" fillId="9" borderId="903" xfId="34" applyFont="1" applyFill="1" applyBorder="1" applyAlignment="1">
      <alignment horizontal="center" vertical="center"/>
    </xf>
    <xf numFmtId="0" fontId="24" fillId="9" borderId="905" xfId="34" applyFont="1" applyFill="1" applyBorder="1" applyAlignment="1">
      <alignment horizontal="center" vertical="center"/>
    </xf>
    <xf numFmtId="0" fontId="24" fillId="9" borderId="904" xfId="34" applyFont="1" applyFill="1" applyBorder="1" applyAlignment="1">
      <alignment horizontal="center" vertical="center"/>
    </xf>
    <xf numFmtId="0" fontId="24" fillId="9" borderId="903" xfId="34" applyFont="1" applyFill="1" applyBorder="1" applyAlignment="1">
      <alignment horizontal="center" vertical="center"/>
    </xf>
    <xf numFmtId="0" fontId="24" fillId="9" borderId="906" xfId="34" applyFont="1" applyFill="1" applyBorder="1" applyAlignment="1">
      <alignment horizontal="center" vertical="center"/>
    </xf>
    <xf numFmtId="0" fontId="24" fillId="9" borderId="907" xfId="34" applyFont="1" applyFill="1" applyBorder="1" applyAlignment="1">
      <alignment horizontal="center" vertical="center"/>
    </xf>
    <xf numFmtId="0" fontId="22" fillId="2" borderId="940" xfId="34" applyFont="1" applyFill="1" applyBorder="1" applyAlignment="1">
      <alignment horizontal="left" vertical="center"/>
    </xf>
    <xf numFmtId="0" fontId="23" fillId="0" borderId="902" xfId="36" applyFont="1" applyBorder="1" applyAlignment="1">
      <alignment horizontal="left" vertical="center"/>
    </xf>
    <xf numFmtId="0" fontId="24" fillId="9" borderId="942" xfId="34" applyFont="1" applyFill="1" applyBorder="1" applyAlignment="1">
      <alignment horizontal="center" vertical="center"/>
    </xf>
    <xf numFmtId="0" fontId="24" fillId="9" borderId="943" xfId="34" applyFont="1" applyFill="1" applyBorder="1" applyAlignment="1">
      <alignment horizontal="center" vertical="center"/>
    </xf>
    <xf numFmtId="0" fontId="24" fillId="9" borderId="944" xfId="34" applyFont="1" applyFill="1" applyBorder="1" applyAlignment="1">
      <alignment horizontal="center" vertical="center"/>
    </xf>
    <xf numFmtId="0" fontId="24" fillId="9" borderId="941" xfId="34" applyFont="1" applyFill="1" applyBorder="1" applyAlignment="1">
      <alignment horizontal="center" vertical="center"/>
    </xf>
    <xf numFmtId="0" fontId="24" fillId="9" borderId="945" xfId="34" applyFont="1" applyFill="1" applyBorder="1" applyAlignment="1">
      <alignment horizontal="center" vertical="center"/>
    </xf>
    <xf numFmtId="0" fontId="24" fillId="9" borderId="946" xfId="34" applyFont="1" applyFill="1" applyBorder="1" applyAlignment="1">
      <alignment horizontal="center" vertical="center"/>
    </xf>
  </cellXfs>
  <cellStyles count="38">
    <cellStyle name="Comma 10 10" xfId="26" xr:uid="{95C8C513-10EE-46D1-8D7E-8AECA4AA2054}"/>
    <cellStyle name="Comma 106" xfId="4" xr:uid="{A36B4B04-FB9C-4ABD-931B-6B565063D1E1}"/>
    <cellStyle name="Comma 106 2" xfId="17" xr:uid="{7B0385E0-B2DC-4071-A8FD-1BB9E5F5F025}"/>
    <cellStyle name="Comma 106 3 2" xfId="29" xr:uid="{5275EA2A-4113-438C-8977-FE1903B4EE14}"/>
    <cellStyle name="Comma 106 6" xfId="20" xr:uid="{EF9ACEB3-CE23-407E-B457-3C602E46BBE0}"/>
    <cellStyle name="Comma 11 6" xfId="23" xr:uid="{EA272B19-CFAB-4C81-9CCF-6A89415A7C17}"/>
    <cellStyle name="Comma 17 4" xfId="19" xr:uid="{145FC6DB-2AC5-4C0C-A6E9-7650D831162E}"/>
    <cellStyle name="Comma 2 3 5" xfId="22" xr:uid="{80E00E29-CB28-4B10-A6A2-18C8645E018B}"/>
    <cellStyle name="Comma 2 5 2 2" xfId="32" xr:uid="{5F398909-8B57-44E0-9675-721EAC5B3E9F}"/>
    <cellStyle name="Comma 2 5 4" xfId="30" xr:uid="{B59D5B7B-0B7F-44BC-9941-F3BEE732A045}"/>
    <cellStyle name="Comma 2 60" xfId="35" xr:uid="{DC611918-0408-4AE5-8673-808AC3A74252}"/>
    <cellStyle name="Comma 21 4" xfId="31" xr:uid="{3A1EB9AA-09F8-456E-82F1-C399B90F748D}"/>
    <cellStyle name="Comma 5 6" xfId="27" xr:uid="{AD4E4E5E-2B61-45AC-A336-22024F7381A4}"/>
    <cellStyle name="Comma 7 6" xfId="24" xr:uid="{3B9BE522-4437-4EB5-9A30-C3F7CFEE2ED8}"/>
    <cellStyle name="Comma 8 2 4" xfId="28" xr:uid="{A5ED434F-42DE-4FDA-B1A3-4F1CDB8E28C4}"/>
    <cellStyle name="Comma 8 7" xfId="21" xr:uid="{A59FE73C-9A8D-4DAC-BD98-DAE615512AC5}"/>
    <cellStyle name="Comma 9 9" xfId="25" xr:uid="{2ACEC15E-41B6-413F-B108-5E56D0C61388}"/>
    <cellStyle name="Hyperlink" xfId="2" builtinId="8"/>
    <cellStyle name="Normal" xfId="0" builtinId="0"/>
    <cellStyle name="Normal 12" xfId="37" xr:uid="{9CC76B1E-0DA8-4B76-BC21-3D505FBA7305}"/>
    <cellStyle name="Normal 13" xfId="3" xr:uid="{2B302132-1426-4264-849D-19D5C94F3882}"/>
    <cellStyle name="Normal 13 10" xfId="16" xr:uid="{63ECFADE-F75B-43B1-B193-E7E16D5225BF}"/>
    <cellStyle name="Normal 13 6" xfId="5" xr:uid="{8F161B25-1AB2-480F-82F9-89400CF9F70A}"/>
    <cellStyle name="Normal 13 7" xfId="18" xr:uid="{3F991114-A9CF-4A6B-89AA-0BA5B1093DA0}"/>
    <cellStyle name="Normal 13 8" xfId="15" xr:uid="{A9ABF767-BED4-475D-A5B7-C95BCCF5B2C5}"/>
    <cellStyle name="Normal 13 9" xfId="36" xr:uid="{DE99DE95-50BF-402C-A4C4-378323A3E5DC}"/>
    <cellStyle name="Normal 2 3 3" xfId="34" xr:uid="{4FC64075-2D59-437C-BB18-B774FDBCD90B}"/>
    <cellStyle name="Normal 50" xfId="33" xr:uid="{47A38892-28C5-4FD7-9449-B5CE263C8AD8}"/>
    <cellStyle name="Normal 51" xfId="6" xr:uid="{1A6F9DC4-20E2-41D2-B27A-D6418255C6FB}"/>
    <cellStyle name="Normal 52" xfId="7" xr:uid="{9447E233-9CCB-487B-89B9-0B7D25D7ED6B}"/>
    <cellStyle name="Normal 53" xfId="8" xr:uid="{2021C6F7-24E4-4900-94A7-36B30F406C93}"/>
    <cellStyle name="Normal 54" xfId="9" xr:uid="{0B13C061-E1A0-4B8E-9B14-B45DE48DBAE2}"/>
    <cellStyle name="Normal 55" xfId="10" xr:uid="{2AF95323-67F4-4F2F-820A-BD9FA11E3B76}"/>
    <cellStyle name="Normal 56" xfId="12" xr:uid="{7C3E2E5D-EE1B-47CA-BDAF-4F24BA3738A3}"/>
    <cellStyle name="Normal 57" xfId="11" xr:uid="{DDD1E8A4-2391-4F63-8BCE-AB1ECDFAE3E5}"/>
    <cellStyle name="Normal 58" xfId="13" xr:uid="{6CF79C3E-7DDB-4FAA-8B7F-3D94BA8B8C11}"/>
    <cellStyle name="Normal 59" xfId="14" xr:uid="{3EF728DD-D9DC-4C76-95D4-E83C729EF25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632923</xdr:colOff>
      <xdr:row>2</xdr:row>
      <xdr:rowOff>129269</xdr:rowOff>
    </xdr:from>
    <xdr:to>
      <xdr:col>7</xdr:col>
      <xdr:colOff>78465</xdr:colOff>
      <xdr:row>7</xdr:row>
      <xdr:rowOff>84819</xdr:rowOff>
    </xdr:to>
    <xdr:pic>
      <xdr:nvPicPr>
        <xdr:cNvPr id="2" name="Picture 1">
          <a:extLst>
            <a:ext uri="{FF2B5EF4-FFF2-40B4-BE49-F238E27FC236}">
              <a16:creationId xmlns:a16="http://schemas.microsoft.com/office/drawing/2014/main" id="{5C2FBDD8-A11F-4337-91F8-E55AD4189B0D}"/>
            </a:ext>
          </a:extLst>
        </xdr:cNvPr>
        <xdr:cNvPicPr>
          <a:picLocks noChangeAspect="1"/>
        </xdr:cNvPicPr>
      </xdr:nvPicPr>
      <xdr:blipFill>
        <a:blip xmlns:r="http://schemas.openxmlformats.org/officeDocument/2006/relationships" r:embed="rId1"/>
        <a:stretch>
          <a:fillRect/>
        </a:stretch>
      </xdr:blipFill>
      <xdr:spPr>
        <a:xfrm>
          <a:off x="636098" y="497569"/>
          <a:ext cx="4481092" cy="914400"/>
        </a:xfrm>
        <a:prstGeom prst="rect">
          <a:avLst/>
        </a:prstGeom>
      </xdr:spPr>
    </xdr:pic>
    <xdr:clientData/>
  </xdr:twoCellAnchor>
  <xdr:twoCellAnchor>
    <xdr:from>
      <xdr:col>0</xdr:col>
      <xdr:colOff>27214</xdr:colOff>
      <xdr:row>0</xdr:row>
      <xdr:rowOff>27214</xdr:rowOff>
    </xdr:from>
    <xdr:to>
      <xdr:col>17</xdr:col>
      <xdr:colOff>0</xdr:colOff>
      <xdr:row>34</xdr:row>
      <xdr:rowOff>163286</xdr:rowOff>
    </xdr:to>
    <xdr:sp macro="" textlink="" fLocksText="0">
      <xdr:nvSpPr>
        <xdr:cNvPr id="3" name="Rectangle 2">
          <a:extLst>
            <a:ext uri="{FF2B5EF4-FFF2-40B4-BE49-F238E27FC236}">
              <a16:creationId xmlns:a16="http://schemas.microsoft.com/office/drawing/2014/main" id="{C0ADFB91-C37C-451C-9119-E34AB8BBCEC9}"/>
            </a:ext>
          </a:extLst>
        </xdr:cNvPr>
        <xdr:cNvSpPr/>
      </xdr:nvSpPr>
      <xdr:spPr>
        <a:xfrm>
          <a:off x="30389" y="30389"/>
          <a:ext cx="11390086" cy="8854622"/>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CA"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otiabank-my.sharepoint.com/personal/christina_wang_scotiabank_com/Documents/Desktop/SFI%20Macro/SFI_Template_v4.0.xlsm" TargetMode="External"/><Relationship Id="rId1" Type="http://schemas.openxmlformats.org/officeDocument/2006/relationships/externalLinkPath" Target="https://scotiabank-my.sharepoint.com/personal/christina_wang_scotiabank_com/Documents/Desktop/SFI%20Macro/SFI_Template_v4.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ver"/>
      <sheetName val="ToC"/>
      <sheetName val="Notes_1"/>
      <sheetName val="Notes_2"/>
      <sheetName val="Notes_3"/>
      <sheetName val="EDTF"/>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s>
    <sheetDataSet>
      <sheetData sheetId="0">
        <row r="7">
          <cell r="D7" t="str">
            <v>FY2025</v>
          </cell>
        </row>
        <row r="8">
          <cell r="D8" t="str">
            <v>Q3 2025</v>
          </cell>
        </row>
        <row r="20">
          <cell r="I20" t="str">
            <v>ENGLISH</v>
          </cell>
        </row>
        <row r="21">
          <cell r="I21" t="str">
            <v>FRENCH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2007 - 2010">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eny.grauman@scotiabank.com"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C3CE-B91A-454C-89B0-10FE07C6D2EF}">
  <sheetPr codeName="Sheet5">
    <pageSetUpPr fitToPage="1"/>
  </sheetPr>
  <dimension ref="B1:P34"/>
  <sheetViews>
    <sheetView showGridLines="0" tabSelected="1" zoomScaleNormal="100" workbookViewId="0"/>
  </sheetViews>
  <sheetFormatPr defaultColWidth="9.21875" defaultRowHeight="15" customHeight="1" x14ac:dyDescent="0.3"/>
  <cols>
    <col min="1" max="1" width="20.77734375" customWidth="1"/>
    <col min="2" max="2" width="5.77734375" customWidth="1"/>
    <col min="3" max="17" width="9.21875" customWidth="1"/>
    <col min="18" max="18" width="3" customWidth="1"/>
  </cols>
  <sheetData>
    <row r="1" spans="2:16" ht="14.4" x14ac:dyDescent="0.3"/>
    <row r="2" spans="2:16" ht="15" customHeight="1" x14ac:dyDescent="0.3">
      <c r="B2" s="1"/>
      <c r="C2" s="2"/>
      <c r="D2" s="2"/>
      <c r="E2" s="3"/>
      <c r="F2" s="3"/>
      <c r="G2" s="3"/>
      <c r="H2" s="3"/>
      <c r="I2" s="3"/>
      <c r="J2" s="3"/>
      <c r="K2" s="3"/>
      <c r="L2" s="3"/>
      <c r="M2" s="3"/>
      <c r="N2" s="3"/>
      <c r="O2" s="3"/>
      <c r="P2" s="3"/>
    </row>
    <row r="3" spans="2:16" ht="15" customHeight="1" x14ac:dyDescent="0.3">
      <c r="B3" s="1"/>
      <c r="C3" s="2"/>
      <c r="D3" s="2"/>
      <c r="E3" s="3"/>
      <c r="F3" s="3"/>
      <c r="G3" s="3"/>
      <c r="H3" s="3"/>
      <c r="I3" s="3"/>
      <c r="J3" s="3"/>
      <c r="K3" s="3"/>
      <c r="L3" s="3"/>
      <c r="M3" s="3"/>
      <c r="N3" s="3"/>
      <c r="O3" s="3"/>
      <c r="P3" s="3"/>
    </row>
    <row r="4" spans="2:16" ht="15" customHeight="1" x14ac:dyDescent="0.3">
      <c r="B4" s="1"/>
      <c r="C4" s="2"/>
      <c r="D4" s="2"/>
      <c r="E4" s="3"/>
      <c r="F4" s="3"/>
      <c r="G4" s="3"/>
      <c r="H4" s="3"/>
      <c r="I4" s="3"/>
      <c r="J4" s="3"/>
      <c r="K4" s="3"/>
      <c r="L4" s="3"/>
      <c r="M4" s="3"/>
      <c r="N4" s="3"/>
      <c r="O4" s="3"/>
      <c r="P4" s="3"/>
    </row>
    <row r="5" spans="2:16" ht="15" customHeight="1" x14ac:dyDescent="0.3">
      <c r="B5" s="1"/>
      <c r="C5" s="2"/>
      <c r="D5" s="2"/>
      <c r="E5" s="3"/>
      <c r="F5" s="3"/>
      <c r="G5" s="3"/>
      <c r="H5" s="3"/>
      <c r="I5" s="3"/>
      <c r="J5" s="3"/>
      <c r="K5" s="3"/>
      <c r="L5" s="3"/>
      <c r="M5" s="3"/>
      <c r="N5" s="3"/>
      <c r="O5" s="3"/>
      <c r="P5" s="3"/>
    </row>
    <row r="6" spans="2:16" ht="15" customHeight="1" x14ac:dyDescent="0.3">
      <c r="B6" s="1"/>
      <c r="C6" s="2"/>
      <c r="D6" s="2"/>
      <c r="E6" s="3"/>
      <c r="F6" s="3"/>
      <c r="G6" s="3"/>
      <c r="H6" s="3"/>
      <c r="I6" s="3"/>
      <c r="J6" s="3"/>
      <c r="K6" s="3"/>
      <c r="L6" s="3"/>
      <c r="M6" s="3"/>
      <c r="N6" s="3"/>
      <c r="O6" s="3"/>
      <c r="P6" s="3"/>
    </row>
    <row r="7" spans="2:16" ht="15" customHeight="1" x14ac:dyDescent="0.3">
      <c r="B7" s="1"/>
      <c r="C7" s="2"/>
      <c r="D7" s="2"/>
      <c r="E7" s="3"/>
      <c r="F7" s="3"/>
      <c r="G7" s="3"/>
      <c r="H7" s="3"/>
      <c r="I7" s="3"/>
      <c r="J7" s="3"/>
      <c r="K7" s="3"/>
      <c r="L7" s="3"/>
      <c r="M7" s="3"/>
      <c r="N7" s="3"/>
      <c r="O7" s="3"/>
      <c r="P7" s="3"/>
    </row>
    <row r="8" spans="2:16" ht="15" customHeight="1" x14ac:dyDescent="0.3">
      <c r="B8" s="1"/>
      <c r="C8" s="2"/>
      <c r="D8" s="2"/>
      <c r="E8" s="3"/>
      <c r="F8" s="3"/>
      <c r="G8" s="3"/>
      <c r="H8" s="3"/>
      <c r="I8" s="3"/>
      <c r="J8" s="3"/>
      <c r="K8" s="3"/>
      <c r="L8" s="3"/>
      <c r="M8" s="3"/>
      <c r="N8" s="3"/>
      <c r="O8" s="3"/>
      <c r="P8" s="3"/>
    </row>
    <row r="9" spans="2:16" ht="15" customHeight="1" x14ac:dyDescent="0.3">
      <c r="B9" s="1"/>
      <c r="C9" s="2"/>
      <c r="D9" s="2"/>
      <c r="E9" s="3"/>
      <c r="F9" s="3"/>
      <c r="G9" s="3"/>
      <c r="H9" s="3"/>
      <c r="I9" s="3"/>
      <c r="J9" s="3"/>
      <c r="K9" s="3"/>
      <c r="L9" s="3"/>
      <c r="M9" s="3"/>
      <c r="N9" s="3"/>
      <c r="O9" s="3"/>
      <c r="P9" s="3"/>
    </row>
    <row r="10" spans="2:16" ht="15" customHeight="1" x14ac:dyDescent="0.3">
      <c r="B10" s="1"/>
      <c r="C10" s="2"/>
      <c r="D10" s="2"/>
      <c r="E10" s="3"/>
      <c r="F10" s="3"/>
      <c r="G10" s="3"/>
      <c r="H10" s="3"/>
      <c r="I10" s="3"/>
      <c r="J10" s="3"/>
      <c r="K10" s="3"/>
      <c r="L10" s="3"/>
      <c r="M10" s="3"/>
      <c r="N10" s="3"/>
      <c r="O10" s="3"/>
      <c r="P10" s="3"/>
    </row>
    <row r="11" spans="2:16" ht="15" customHeight="1" x14ac:dyDescent="0.3">
      <c r="B11" s="1"/>
      <c r="C11" s="2"/>
      <c r="D11" s="2"/>
      <c r="E11" s="3"/>
      <c r="F11" s="3"/>
      <c r="G11" s="3"/>
      <c r="H11" s="3"/>
      <c r="I11" s="3"/>
      <c r="J11" s="3"/>
      <c r="K11" s="3"/>
      <c r="L11" s="3"/>
      <c r="M11" s="3"/>
      <c r="N11" s="3"/>
      <c r="O11" s="3"/>
      <c r="P11" s="3"/>
    </row>
    <row r="12" spans="2:16" ht="15" customHeight="1" x14ac:dyDescent="0.3">
      <c r="B12" s="1"/>
      <c r="C12" s="2"/>
      <c r="D12" s="2"/>
      <c r="E12" s="3"/>
      <c r="F12" s="3"/>
      <c r="G12" s="3"/>
      <c r="H12" s="3"/>
      <c r="I12" s="3"/>
      <c r="J12" s="3"/>
      <c r="K12" s="3"/>
      <c r="L12" s="3"/>
      <c r="M12" s="3"/>
      <c r="N12" s="3"/>
      <c r="O12" s="3"/>
      <c r="P12" s="3"/>
    </row>
    <row r="13" spans="2:16" ht="15" customHeight="1" x14ac:dyDescent="0.3">
      <c r="B13" s="1"/>
      <c r="C13" s="2"/>
      <c r="D13" s="2"/>
      <c r="E13" s="3"/>
      <c r="F13" s="3"/>
      <c r="G13" s="3"/>
      <c r="H13" s="3"/>
      <c r="I13" s="3"/>
      <c r="J13" s="3"/>
      <c r="K13" s="3"/>
      <c r="L13" s="3"/>
      <c r="M13" s="3"/>
      <c r="N13" s="3"/>
      <c r="O13" s="3"/>
      <c r="P13" s="3"/>
    </row>
    <row r="14" spans="2:16" ht="15" customHeight="1" x14ac:dyDescent="0.3">
      <c r="B14" s="2"/>
      <c r="C14" s="3"/>
      <c r="D14" s="3"/>
      <c r="E14" s="3"/>
      <c r="F14" s="3"/>
      <c r="G14" s="3"/>
      <c r="H14" s="3"/>
      <c r="I14" s="3"/>
      <c r="J14" s="3"/>
      <c r="K14" s="3"/>
      <c r="L14" s="3"/>
      <c r="M14" s="3"/>
      <c r="N14" s="3"/>
      <c r="O14" s="3"/>
      <c r="P14" s="3"/>
    </row>
    <row r="15" spans="2:16" ht="15" customHeight="1" x14ac:dyDescent="0.3">
      <c r="B15" s="2"/>
      <c r="C15" s="3"/>
      <c r="D15" s="3"/>
      <c r="E15" s="3"/>
      <c r="F15" s="3"/>
      <c r="G15" s="3"/>
      <c r="H15" s="3"/>
      <c r="I15" s="3"/>
      <c r="J15" s="3"/>
      <c r="K15" s="3"/>
      <c r="L15" s="3"/>
      <c r="M15" s="3"/>
      <c r="N15" s="3"/>
      <c r="O15" s="3"/>
      <c r="P15" s="3"/>
    </row>
    <row r="16" spans="2:16" ht="15" customHeight="1" x14ac:dyDescent="0.3">
      <c r="B16" s="2"/>
      <c r="C16" s="3"/>
      <c r="D16" s="3"/>
      <c r="E16" s="3"/>
      <c r="F16" s="3"/>
      <c r="G16" s="3"/>
      <c r="H16" s="3"/>
      <c r="I16" s="3"/>
      <c r="J16" s="3"/>
      <c r="K16" s="3"/>
      <c r="L16" s="3"/>
      <c r="M16" s="3"/>
      <c r="N16" s="3"/>
      <c r="O16" s="3"/>
      <c r="P16" s="3"/>
    </row>
    <row r="17" spans="2:16" ht="79.5" customHeight="1" x14ac:dyDescent="0.3">
      <c r="B17" s="1"/>
      <c r="C17" s="3424" t="s">
        <v>0</v>
      </c>
      <c r="D17" s="3424"/>
      <c r="E17" s="3424"/>
      <c r="F17" s="3424"/>
      <c r="G17" s="3424"/>
      <c r="H17" s="3424"/>
      <c r="I17" s="3424"/>
      <c r="J17" s="3424"/>
      <c r="K17" s="3424"/>
      <c r="L17" s="3424"/>
      <c r="M17" s="3424"/>
      <c r="N17" s="3424"/>
      <c r="O17" s="3424"/>
      <c r="P17" s="3424"/>
    </row>
    <row r="18" spans="2:16" ht="79.5" customHeight="1" x14ac:dyDescent="1.4">
      <c r="B18" s="1"/>
      <c r="C18" s="3425" t="s">
        <v>1</v>
      </c>
      <c r="D18" s="3425"/>
      <c r="E18" s="3425"/>
      <c r="F18" s="3425"/>
      <c r="G18" s="3425"/>
      <c r="H18" s="3425"/>
      <c r="I18" s="3425"/>
      <c r="J18" s="3425"/>
      <c r="K18" s="3425"/>
      <c r="L18" s="3425"/>
      <c r="M18" s="3425"/>
      <c r="N18" s="3425"/>
      <c r="O18" s="3425"/>
      <c r="P18" s="3425"/>
    </row>
    <row r="19" spans="2:16" ht="15" customHeight="1" x14ac:dyDescent="1.1499999999999999">
      <c r="B19" s="1"/>
      <c r="C19" s="3426"/>
      <c r="D19" s="3426"/>
      <c r="E19" s="3426"/>
      <c r="F19" s="3426"/>
      <c r="G19" s="3426"/>
      <c r="H19" s="3426"/>
      <c r="I19" s="3426"/>
      <c r="J19" s="3426"/>
      <c r="K19" s="3426"/>
      <c r="L19" s="3426"/>
      <c r="M19" s="3426"/>
      <c r="N19" s="3426"/>
      <c r="O19" s="3426"/>
      <c r="P19" s="3426"/>
    </row>
    <row r="20" spans="2:16" ht="36" customHeight="1" x14ac:dyDescent="0.3">
      <c r="B20" s="1"/>
      <c r="C20" s="3427" t="s">
        <v>2</v>
      </c>
      <c r="D20" s="3427"/>
      <c r="E20" s="3427"/>
      <c r="F20" s="3427"/>
      <c r="G20" s="3427"/>
      <c r="H20" s="3427"/>
      <c r="I20" s="3427"/>
      <c r="J20" s="3427"/>
      <c r="K20" s="3427"/>
      <c r="L20" s="3427"/>
      <c r="M20" s="3427"/>
      <c r="N20" s="3427"/>
      <c r="O20" s="3427"/>
      <c r="P20" s="3427"/>
    </row>
    <row r="21" spans="2:16" ht="32.1" customHeight="1" x14ac:dyDescent="0.3">
      <c r="B21" s="1"/>
      <c r="C21" s="3428" t="s">
        <v>3</v>
      </c>
      <c r="D21" s="3428"/>
      <c r="E21" s="3428"/>
      <c r="F21" s="3428"/>
      <c r="G21" s="3428"/>
      <c r="H21" s="3428"/>
      <c r="I21" s="3428"/>
      <c r="J21" s="3428"/>
      <c r="K21" s="3428"/>
      <c r="L21" s="3428"/>
      <c r="M21" s="3428"/>
      <c r="N21" s="3428"/>
      <c r="O21" s="3428"/>
      <c r="P21" s="3428"/>
    </row>
    <row r="22" spans="2:16" ht="15" customHeight="1" x14ac:dyDescent="0.3">
      <c r="B22" s="1"/>
      <c r="C22" s="3"/>
      <c r="D22" s="3"/>
      <c r="E22" s="3"/>
      <c r="F22" s="3"/>
      <c r="G22" s="3"/>
      <c r="H22" s="3"/>
      <c r="I22" s="3"/>
      <c r="J22" s="3"/>
      <c r="K22" s="3"/>
      <c r="L22" s="3"/>
      <c r="M22" s="3"/>
      <c r="N22" s="3"/>
      <c r="O22" s="3"/>
      <c r="P22" s="3"/>
    </row>
    <row r="23" spans="2:16" ht="15" customHeight="1" x14ac:dyDescent="0.3">
      <c r="B23" s="1"/>
      <c r="C23" s="3"/>
      <c r="D23" s="3"/>
      <c r="E23" s="3"/>
      <c r="F23" s="3"/>
      <c r="G23" s="3"/>
      <c r="H23" s="3"/>
      <c r="I23" s="3"/>
      <c r="J23" s="3"/>
      <c r="K23" s="3"/>
      <c r="L23" s="3"/>
      <c r="M23" s="3"/>
      <c r="N23" s="3"/>
      <c r="O23" s="3"/>
      <c r="P23" s="3"/>
    </row>
    <row r="24" spans="2:16" ht="15" customHeight="1" x14ac:dyDescent="0.3">
      <c r="B24" s="1"/>
      <c r="C24" s="3"/>
      <c r="D24" s="3"/>
      <c r="E24" s="3"/>
      <c r="F24" s="3"/>
      <c r="G24" s="3"/>
      <c r="H24" s="3"/>
      <c r="I24" s="3"/>
      <c r="J24" s="3"/>
      <c r="K24" s="3"/>
      <c r="L24" s="3"/>
      <c r="M24" s="3"/>
      <c r="N24" s="3"/>
      <c r="O24" s="3"/>
      <c r="P24" s="3"/>
    </row>
    <row r="25" spans="2:16" ht="15" customHeight="1" x14ac:dyDescent="0.3">
      <c r="B25" s="1"/>
      <c r="C25" s="3"/>
      <c r="D25" s="3"/>
      <c r="E25" s="3"/>
      <c r="F25" s="3"/>
      <c r="G25" s="3"/>
      <c r="H25" s="3"/>
      <c r="I25" s="3"/>
      <c r="J25" s="3"/>
      <c r="K25" s="3"/>
      <c r="L25" s="3"/>
      <c r="M25" s="3"/>
      <c r="N25" s="3"/>
      <c r="O25" s="3"/>
      <c r="P25" s="3"/>
    </row>
    <row r="26" spans="2:16" ht="15" customHeight="1" x14ac:dyDescent="0.3">
      <c r="B26" s="1"/>
      <c r="C26" s="3"/>
      <c r="D26" s="3"/>
      <c r="E26" s="3"/>
      <c r="F26" s="3"/>
      <c r="G26" s="3"/>
      <c r="H26" s="3"/>
      <c r="I26" s="3"/>
      <c r="J26" s="3"/>
      <c r="K26" s="3"/>
      <c r="L26" s="3"/>
      <c r="M26" s="3"/>
      <c r="N26" s="3"/>
      <c r="O26" s="3"/>
      <c r="P26" s="3"/>
    </row>
    <row r="27" spans="2:16" ht="15" customHeight="1" x14ac:dyDescent="0.3">
      <c r="B27" s="1"/>
      <c r="C27" s="3"/>
      <c r="D27" s="3"/>
      <c r="E27" s="3"/>
      <c r="F27" s="3"/>
      <c r="G27" s="3"/>
      <c r="H27" s="3"/>
      <c r="I27" s="3"/>
      <c r="J27" s="3"/>
      <c r="K27" s="3"/>
      <c r="L27" s="3"/>
      <c r="M27" s="3"/>
      <c r="N27" s="3"/>
      <c r="O27" s="3"/>
      <c r="P27" s="3"/>
    </row>
    <row r="28" spans="2:16" ht="15" customHeight="1" x14ac:dyDescent="0.3">
      <c r="B28" s="1"/>
      <c r="C28" s="3"/>
      <c r="D28" s="3"/>
      <c r="E28" s="3"/>
      <c r="F28" s="3"/>
      <c r="G28" s="3"/>
      <c r="H28" s="3"/>
      <c r="I28" s="3"/>
      <c r="J28" s="3"/>
      <c r="K28" s="3"/>
      <c r="L28" s="3"/>
      <c r="M28" s="3"/>
      <c r="N28" s="3"/>
      <c r="O28" s="3"/>
      <c r="P28" s="3"/>
    </row>
    <row r="29" spans="2:16" ht="20.100000000000001" customHeight="1" x14ac:dyDescent="0.3">
      <c r="B29" s="1"/>
      <c r="C29" s="3423"/>
      <c r="D29" s="3423"/>
      <c r="E29" s="3423"/>
      <c r="F29" s="3423"/>
      <c r="G29" s="3423"/>
      <c r="H29" s="3423"/>
      <c r="I29" s="3423"/>
      <c r="J29" s="3423"/>
      <c r="K29" s="3423"/>
      <c r="L29" s="3423"/>
      <c r="M29" s="3423"/>
      <c r="N29" s="3423"/>
      <c r="O29" s="3423"/>
      <c r="P29" s="3423"/>
    </row>
    <row r="30" spans="2:16" ht="20.100000000000001" customHeight="1" x14ac:dyDescent="0.45">
      <c r="B30" s="1"/>
      <c r="C30" s="3421" t="s">
        <v>4</v>
      </c>
      <c r="D30" s="3421"/>
      <c r="E30" s="3421"/>
      <c r="F30" s="3421"/>
      <c r="G30" s="3421"/>
      <c r="H30" s="3421"/>
      <c r="I30" s="3421"/>
      <c r="J30" s="3421"/>
      <c r="K30" s="3421"/>
      <c r="L30" s="3421"/>
      <c r="M30" s="3421"/>
      <c r="N30" s="3421"/>
      <c r="O30" s="3421"/>
      <c r="P30" s="3421"/>
    </row>
    <row r="31" spans="2:16" ht="15" customHeight="1" x14ac:dyDescent="0.3">
      <c r="B31" s="1"/>
      <c r="C31" s="3422"/>
      <c r="D31" s="3422"/>
      <c r="E31" s="3422"/>
      <c r="F31" s="3422"/>
      <c r="G31" s="3422"/>
      <c r="H31" s="3422"/>
      <c r="I31" s="3422"/>
      <c r="J31" s="3422"/>
      <c r="K31" s="3422"/>
      <c r="L31" s="3422"/>
      <c r="M31" s="3422"/>
      <c r="N31" s="3422"/>
      <c r="O31" s="3422"/>
      <c r="P31" s="3422"/>
    </row>
    <row r="32" spans="2:16" ht="15" customHeight="1" x14ac:dyDescent="0.3">
      <c r="B32" s="1"/>
      <c r="C32" s="3422" t="s">
        <v>5</v>
      </c>
      <c r="D32" s="3422"/>
      <c r="E32" s="3422"/>
      <c r="F32" s="3422"/>
      <c r="G32" s="3422"/>
      <c r="H32" s="3422"/>
      <c r="I32" s="3422"/>
      <c r="J32" s="3422"/>
      <c r="K32" s="3422"/>
      <c r="L32" s="3422"/>
      <c r="M32" s="3422"/>
      <c r="N32" s="3422"/>
      <c r="O32" s="3422"/>
      <c r="P32" s="3422"/>
    </row>
    <row r="33" spans="2:16" ht="15" customHeight="1" x14ac:dyDescent="0.3">
      <c r="B33" s="1"/>
      <c r="C33" s="3422" t="s">
        <v>6</v>
      </c>
      <c r="D33" s="3422"/>
      <c r="E33" s="3422"/>
      <c r="F33" s="3422"/>
      <c r="G33" s="3422"/>
      <c r="H33" s="3422"/>
      <c r="I33" s="3422"/>
      <c r="J33" s="3422"/>
      <c r="K33" s="3422"/>
      <c r="L33" s="3422"/>
      <c r="M33" s="3422"/>
      <c r="N33" s="3422"/>
      <c r="O33" s="3422"/>
      <c r="P33" s="3422"/>
    </row>
    <row r="34" spans="2:16" ht="15" customHeight="1" x14ac:dyDescent="0.3">
      <c r="B34" s="1"/>
      <c r="C34" s="3422"/>
      <c r="D34" s="3422"/>
      <c r="E34" s="3422"/>
      <c r="F34" s="3422"/>
      <c r="G34" s="3422"/>
      <c r="H34" s="3422"/>
      <c r="I34" s="3422"/>
      <c r="J34" s="3422"/>
      <c r="K34" s="3422"/>
      <c r="L34" s="3422"/>
      <c r="M34" s="3422"/>
      <c r="N34" s="3422"/>
      <c r="O34" s="3422"/>
      <c r="P34" s="3422"/>
    </row>
  </sheetData>
  <mergeCells count="11">
    <mergeCell ref="C29:P29"/>
    <mergeCell ref="C17:P17"/>
    <mergeCell ref="C18:P18"/>
    <mergeCell ref="C19:P19"/>
    <mergeCell ref="C20:P20"/>
    <mergeCell ref="C21:P21"/>
    <mergeCell ref="C30:P30"/>
    <mergeCell ref="C31:P31"/>
    <mergeCell ref="C32:P32"/>
    <mergeCell ref="C33:P33"/>
    <mergeCell ref="C34:P34"/>
  </mergeCells>
  <hyperlinks>
    <hyperlink ref="C32" r:id="rId1" display="meny.grauman@scotiabank.com" xr:uid="{96A85F58-3123-4625-AF7A-17F60E86D44E}"/>
  </hyperlinks>
  <pageMargins left="0.5" right="0.5" top="0.5" bottom="0.5" header="0.25" footer="0.25"/>
  <pageSetup scale="77" firstPageNumber="6" orientation="landscape" useFirstPageNumber="1"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012F-7F8B-42E4-9876-ED8AE744DD19}">
  <sheetPr codeName="Sheet7">
    <pageSetUpPr fitToPage="1"/>
  </sheetPr>
  <dimension ref="A2:B50"/>
  <sheetViews>
    <sheetView showGridLines="0" topLeftCell="A2" zoomScale="85" zoomScaleNormal="85" workbookViewId="0">
      <selection activeCell="A2" sqref="A2"/>
    </sheetView>
  </sheetViews>
  <sheetFormatPr defaultRowHeight="15" customHeight="1" x14ac:dyDescent="0.3"/>
  <cols>
    <col min="1" max="1" width="158" customWidth="1"/>
    <col min="2" max="2" width="11.88671875" customWidth="1"/>
  </cols>
  <sheetData>
    <row r="2" spans="1:2" ht="18" customHeight="1" x14ac:dyDescent="0.3">
      <c r="A2" s="4" t="s">
        <v>7</v>
      </c>
      <c r="B2" s="5" t="s">
        <v>8</v>
      </c>
    </row>
    <row r="3" spans="1:2" ht="20.100000000000001" customHeight="1" x14ac:dyDescent="0.3">
      <c r="A3" s="6" t="str">
        <f>Cover!C21</f>
        <v>For the period ended: July 31, 2025</v>
      </c>
      <c r="B3" s="7"/>
    </row>
    <row r="4" spans="1:2" ht="15" customHeight="1" x14ac:dyDescent="0.3">
      <c r="A4" s="8"/>
      <c r="B4" s="7"/>
    </row>
    <row r="5" spans="1:2" ht="15" customHeight="1" x14ac:dyDescent="0.3">
      <c r="A5" s="9" t="str">
        <f>HYPERLINK("#" &amp; "Notes_1!A2", "Notes ")</f>
        <v xml:space="preserve">Notes </v>
      </c>
      <c r="B5" s="10" t="str">
        <f>HYPERLINK("#" &amp; "Notes_1!A2", "Notes")</f>
        <v>Notes</v>
      </c>
    </row>
    <row r="6" spans="1:2" ht="15" customHeight="1" x14ac:dyDescent="0.3">
      <c r="A6" s="9" t="str">
        <f>HYPERLINK("#" &amp; "EDTF!A2", "Enhanced Disclosure Task Force (EDTF) Recommendations")</f>
        <v>Enhanced Disclosure Task Force (EDTF) Recommendations</v>
      </c>
      <c r="B6" s="10" t="str">
        <f>HYPERLINK("#" &amp; "EDTF!A2", "EDTF")</f>
        <v>EDTF</v>
      </c>
    </row>
    <row r="7" spans="1:2" ht="15" customHeight="1" x14ac:dyDescent="0.3">
      <c r="A7" s="9" t="str">
        <f>HYPERLINK("#" &amp; "1!A2", "Highlights")</f>
        <v>Highlights</v>
      </c>
      <c r="B7" s="10" t="str">
        <f>HYPERLINK("#" &amp; "1!A2", "1")</f>
        <v>1</v>
      </c>
    </row>
    <row r="8" spans="1:2" ht="15" customHeight="1" x14ac:dyDescent="0.3">
      <c r="A8" s="9" t="str">
        <f>HYPERLINK("#" &amp; "2!A2", "Common Share and Other Information")</f>
        <v>Common Share and Other Information</v>
      </c>
      <c r="B8" s="10" t="str">
        <f>HYPERLINK("#" &amp; "2!A2", "2")</f>
        <v>2</v>
      </c>
    </row>
    <row r="9" spans="1:2" ht="15" customHeight="1" x14ac:dyDescent="0.3">
      <c r="A9" s="9" t="str">
        <f>HYPERLINK("#" &amp; "3!A2", "Consolidated Statement of Income")</f>
        <v>Consolidated Statement of Income</v>
      </c>
      <c r="B9" s="10" t="str">
        <f>HYPERLINK("#" &amp; "3!A2", "3")</f>
        <v>3</v>
      </c>
    </row>
    <row r="10" spans="1:2" ht="15" customHeight="1" x14ac:dyDescent="0.3">
      <c r="A10" s="11"/>
      <c r="B10" s="12"/>
    </row>
    <row r="11" spans="1:2" ht="15" customHeight="1" x14ac:dyDescent="0.3">
      <c r="A11" s="13" t="s">
        <v>9</v>
      </c>
      <c r="B11" s="14"/>
    </row>
    <row r="12" spans="1:2" ht="15" customHeight="1" x14ac:dyDescent="0.3">
      <c r="A12" s="15" t="str">
        <f>HYPERLINK("#" &amp; "4!A2", "• Canadian Banking")</f>
        <v>• Canadian Banking</v>
      </c>
      <c r="B12" s="10" t="str">
        <f>HYPERLINK("#" &amp; "4!A2", "4")</f>
        <v>4</v>
      </c>
    </row>
    <row r="13" spans="1:2" ht="15" customHeight="1" x14ac:dyDescent="0.3">
      <c r="A13" s="15" t="str">
        <f>HYPERLINK("#" &amp; "5!A2", "• International Banking")</f>
        <v>• International Banking</v>
      </c>
      <c r="B13" s="10" t="str">
        <f>HYPERLINK("#" &amp; "5!A2", "5")</f>
        <v>5</v>
      </c>
    </row>
    <row r="14" spans="1:2" ht="15" customHeight="1" x14ac:dyDescent="0.3">
      <c r="A14" s="15" t="str">
        <f>HYPERLINK("#" &amp; "6!A2", "• International Banking (Constant Dollar)")</f>
        <v>• International Banking (Constant Dollar)</v>
      </c>
      <c r="B14" s="10" t="str">
        <f>HYPERLINK("#" &amp; "6!A2", "6")</f>
        <v>6</v>
      </c>
    </row>
    <row r="15" spans="1:2" ht="15" customHeight="1" x14ac:dyDescent="0.3">
      <c r="A15" s="15" t="str">
        <f>HYPERLINK("#" &amp; "7!A2", "• Global Wealth Management")</f>
        <v>• Global Wealth Management</v>
      </c>
      <c r="B15" s="10" t="str">
        <f>HYPERLINK("#" &amp; "7!A2", "7")</f>
        <v>7</v>
      </c>
    </row>
    <row r="16" spans="1:2" ht="15" customHeight="1" x14ac:dyDescent="0.3">
      <c r="A16" s="15" t="str">
        <f>HYPERLINK("#" &amp; "8!A2", "• Global Banking and Markets")</f>
        <v>• Global Banking and Markets</v>
      </c>
      <c r="B16" s="10" t="str">
        <f>HYPERLINK("#" &amp; "8!A2", "8")</f>
        <v>8</v>
      </c>
    </row>
    <row r="17" spans="1:2" ht="15" customHeight="1" x14ac:dyDescent="0.3">
      <c r="A17" s="15" t="str">
        <f>HYPERLINK("#" &amp; "9!A2", "• Other")</f>
        <v>• Other</v>
      </c>
      <c r="B17" s="10" t="str">
        <f>HYPERLINK("#" &amp; "9!A2", "9")</f>
        <v>9</v>
      </c>
    </row>
    <row r="18" spans="1:2" ht="15" customHeight="1" x14ac:dyDescent="0.3">
      <c r="A18" s="15"/>
      <c r="B18" s="16"/>
    </row>
    <row r="19" spans="1:2" ht="15" customHeight="1" x14ac:dyDescent="0.3">
      <c r="A19" s="9" t="str">
        <f>HYPERLINK("#" &amp; "10!A2", "Non-Interest Income")</f>
        <v>Non-Interest Income</v>
      </c>
      <c r="B19" s="10" t="str">
        <f>HYPERLINK("#" &amp; "10!A2", "10")</f>
        <v>10</v>
      </c>
    </row>
    <row r="20" spans="1:2" ht="15" customHeight="1" x14ac:dyDescent="0.3">
      <c r="A20" s="9" t="str">
        <f>HYPERLINK("#" &amp; "11!A2", "Revenue from Trading-Related Activities and Assets Under Administration and Management")</f>
        <v>Revenue from Trading-Related Activities and Assets Under Administration and Management</v>
      </c>
      <c r="B20" s="10" t="str">
        <f>HYPERLINK("#" &amp; "11!A2", "11")</f>
        <v>11</v>
      </c>
    </row>
    <row r="21" spans="1:2" ht="15" customHeight="1" x14ac:dyDescent="0.3">
      <c r="A21" s="9" t="str">
        <f>HYPERLINK("#" &amp; "12!A2", "Operating Expenses")</f>
        <v>Operating Expenses</v>
      </c>
      <c r="B21" s="10" t="str">
        <f>HYPERLINK("#" &amp; "12!A2", "12")</f>
        <v>12</v>
      </c>
    </row>
    <row r="22" spans="1:2" ht="15" customHeight="1" x14ac:dyDescent="0.3">
      <c r="A22" s="9" t="str">
        <f>HYPERLINK("#" &amp; "13!A2", "Consolidated Statement of Financial Position — Assets (Spot Balances)")</f>
        <v>Consolidated Statement of Financial Position — Assets (Spot Balances)</v>
      </c>
      <c r="B22" s="10" t="str">
        <f>HYPERLINK("#" &amp; "13!A2", "13")</f>
        <v>13</v>
      </c>
    </row>
    <row r="23" spans="1:2" ht="15" customHeight="1" x14ac:dyDescent="0.3">
      <c r="A23" s="9" t="str">
        <f>HYPERLINK("#" &amp; "14!A2", "Consolidated Statement of Financial Position  — Liabilities and Equity (Spot Balances)")</f>
        <v>Consolidated Statement of Financial Position  — Liabilities and Equity (Spot Balances)</v>
      </c>
      <c r="B23" s="10" t="str">
        <f>HYPERLINK("#" &amp; "14!A2", "14")</f>
        <v>14</v>
      </c>
    </row>
    <row r="24" spans="1:2" ht="15" customHeight="1" x14ac:dyDescent="0.3">
      <c r="A24" s="9" t="str">
        <f>HYPERLINK("#" &amp; "15!A2", "Average Balance Sheet")</f>
        <v>Average Balance Sheet</v>
      </c>
      <c r="B24" s="10" t="str">
        <f>HYPERLINK("#" &amp; "15!A2", "15")</f>
        <v>15</v>
      </c>
    </row>
    <row r="25" spans="1:2" ht="15" customHeight="1" x14ac:dyDescent="0.3">
      <c r="A25" s="9" t="str">
        <f>HYPERLINK("#" &amp; "16!A2", "Consolidated Statement of Changes in Equity")</f>
        <v>Consolidated Statement of Changes in Equity</v>
      </c>
      <c r="B25" s="10" t="str">
        <f>HYPERLINK("#" &amp; "16!A2", "16")</f>
        <v>16</v>
      </c>
    </row>
    <row r="26" spans="1:2" ht="15" customHeight="1" x14ac:dyDescent="0.3">
      <c r="A26" s="9" t="str">
        <f>HYPERLINK("#" &amp; "17!A2", "Consolidated Statement of Changes in Equity (Continued)")</f>
        <v>Consolidated Statement of Changes in Equity (Continued)</v>
      </c>
      <c r="B26" s="10" t="str">
        <f>HYPERLINK("#" &amp; "17!A2", "17")</f>
        <v>17</v>
      </c>
    </row>
    <row r="27" spans="1:2" ht="15" customHeight="1" x14ac:dyDescent="0.3">
      <c r="A27" s="11"/>
      <c r="B27" s="12"/>
    </row>
    <row r="28" spans="1:2" ht="15" customHeight="1" x14ac:dyDescent="0.3">
      <c r="A28" s="17" t="s">
        <v>10</v>
      </c>
      <c r="B28" s="18"/>
    </row>
    <row r="29" spans="1:2" ht="15" customHeight="1" x14ac:dyDescent="0.3">
      <c r="A29" s="15" t="str">
        <f>HYPERLINK("#" &amp; "18!A2", "• Customer Loans and Acceptances by Type of Borrower")</f>
        <v>• Customer Loans and Acceptances by Type of Borrower</v>
      </c>
      <c r="B29" s="10" t="str">
        <f>HYPERLINK("#" &amp; "18!A2", "18")</f>
        <v>18</v>
      </c>
    </row>
    <row r="30" spans="1:2" ht="15" customHeight="1" x14ac:dyDescent="0.3">
      <c r="A30" s="15" t="str">
        <f>HYPERLINK("#" &amp; "19!A2", "• Impaired Loans by Business Segment")</f>
        <v>• Impaired Loans by Business Segment</v>
      </c>
      <c r="B30" s="10" t="str">
        <f>HYPERLINK("#" &amp; "19!A2", "19")</f>
        <v>19</v>
      </c>
    </row>
    <row r="31" spans="1:2" ht="15" customHeight="1" x14ac:dyDescent="0.3">
      <c r="A31" s="15" t="str">
        <f>HYPERLINK("#" &amp; "20!A2", "• Changes in Gross Impaired Loans by Business Segment")</f>
        <v>• Changes in Gross Impaired Loans by Business Segment</v>
      </c>
      <c r="B31" s="10" t="str">
        <f>HYPERLINK("#" &amp; "20!A2", "20")</f>
        <v>20</v>
      </c>
    </row>
    <row r="32" spans="1:2" ht="15" customHeight="1" x14ac:dyDescent="0.3">
      <c r="A32" s="15" t="str">
        <f>HYPERLINK("#" &amp; "21!A2", "• Allowance for Credit Losses &amp; Other Reserves")</f>
        <v>• Allowance for Credit Losses &amp; Other Reserves</v>
      </c>
      <c r="B32" s="10" t="str">
        <f>HYPERLINK("#" &amp; "21!A2", "21")</f>
        <v>21</v>
      </c>
    </row>
    <row r="33" spans="1:2" ht="15" customHeight="1" x14ac:dyDescent="0.3">
      <c r="A33" s="15" t="str">
        <f>HYPERLINK("#" &amp; "22!A2", "• Impaired Loans by Type of Borrower")</f>
        <v>• Impaired Loans by Type of Borrower</v>
      </c>
      <c r="B33" s="10" t="str">
        <f>HYPERLINK("#" &amp; "22!A2", "22")</f>
        <v>22</v>
      </c>
    </row>
    <row r="34" spans="1:2" ht="15" customHeight="1" x14ac:dyDescent="0.3">
      <c r="A34" s="15" t="str">
        <f>HYPERLINK("#" &amp; "23!A2", "• Provision for Credit Losses by Business Line")</f>
        <v>• Provision for Credit Losses by Business Line</v>
      </c>
      <c r="B34" s="10" t="str">
        <f>HYPERLINK("#" &amp; "23!A2", "23")</f>
        <v>23</v>
      </c>
    </row>
    <row r="35" spans="1:2" ht="15" customHeight="1" x14ac:dyDescent="0.3">
      <c r="A35" s="15" t="str">
        <f>HYPERLINK("#" &amp; "24!A2", "• Provision for Credit Losses by Type of Borrower")</f>
        <v>• Provision for Credit Losses by Type of Borrower</v>
      </c>
      <c r="B35" s="10" t="str">
        <f>HYPERLINK("#" &amp; "24!A2", "24")</f>
        <v>24</v>
      </c>
    </row>
    <row r="36" spans="1:2" ht="15" customHeight="1" x14ac:dyDescent="0.3">
      <c r="A36" s="15"/>
      <c r="B36" s="16"/>
    </row>
    <row r="37" spans="1:2" ht="15" customHeight="1" x14ac:dyDescent="0.3">
      <c r="A37" s="9" t="str">
        <f>HYPERLINK("#" &amp; "25!A2", "Financial Investments - Unrealized Gains (Losses)")</f>
        <v>Financial Investments - Unrealized Gains (Losses)</v>
      </c>
      <c r="B37" s="10" t="str">
        <f>HYPERLINK("#" &amp; "25!A2", "25")</f>
        <v>25</v>
      </c>
    </row>
    <row r="38" spans="1:2" ht="15" customHeight="1" x14ac:dyDescent="0.3">
      <c r="A38" s="9" t="str">
        <f>HYPERLINK("#" &amp; "26!A2", "Regulatory Capital Highlights")</f>
        <v>Regulatory Capital Highlights</v>
      </c>
      <c r="B38" s="10" t="str">
        <f>HYPERLINK("#" &amp; "26!A2", "26")</f>
        <v>26</v>
      </c>
    </row>
    <row r="39" spans="1:2" ht="15" customHeight="1" x14ac:dyDescent="0.3">
      <c r="A39" s="9"/>
      <c r="B39" s="10"/>
    </row>
    <row r="40" spans="1:2" ht="15" customHeight="1" x14ac:dyDescent="0.3">
      <c r="A40" s="9" t="str">
        <f>HYPERLINK("#" &amp; "27!A2", "Appendix 1: Global Banking and Markets (Reported Including International Banking)")</f>
        <v>Appendix 1: Global Banking and Markets (Reported Including International Banking)</v>
      </c>
      <c r="B40" s="10" t="str">
        <f>HYPERLINK("#" &amp; "27!A2", "27")</f>
        <v>27</v>
      </c>
    </row>
    <row r="41" spans="1:2" ht="15" customHeight="1" x14ac:dyDescent="0.3">
      <c r="A41" s="9" t="str">
        <f>HYPERLINK("#" &amp; "28!A2", "Appendix 2: International Banking by Region — Latin America")</f>
        <v>Appendix 2: International Banking by Region — Latin America</v>
      </c>
      <c r="B41" s="10" t="str">
        <f>HYPERLINK("#" &amp; "28!A2", "28")</f>
        <v>28</v>
      </c>
    </row>
    <row r="42" spans="1:2" ht="15" customHeight="1" x14ac:dyDescent="0.3">
      <c r="A42" s="9" t="str">
        <f>HYPERLINK("#" &amp; "29!A2", "                                                                               — Caribbean")</f>
        <v xml:space="preserve">                                                                               — Caribbean</v>
      </c>
      <c r="B42" s="10" t="str">
        <f>HYPERLINK("#" &amp; "29!A2", "29")</f>
        <v>29</v>
      </c>
    </row>
    <row r="43" spans="1:2" ht="15" customHeight="1" x14ac:dyDescent="0.3">
      <c r="A43" s="9" t="str">
        <f>HYPERLINK("#" &amp; "30!A2", "                                                                               — Central America")</f>
        <v xml:space="preserve">                                                                               — Central America</v>
      </c>
      <c r="B43" s="10" t="str">
        <f>HYPERLINK("#" &amp; "30!A2", "30")</f>
        <v>30</v>
      </c>
    </row>
    <row r="44" spans="1:2" ht="15" customHeight="1" x14ac:dyDescent="0.3">
      <c r="A44" s="9" t="str">
        <f>HYPERLINK("#" &amp; "31!A2", "Appendix 3: Reconciliation of non-GAAP Financial Measures — Reported and adjusted results")</f>
        <v>Appendix 3: Reconciliation of non-GAAP Financial Measures — Reported and adjusted results</v>
      </c>
      <c r="B44" s="10" t="str">
        <f>HYPERLINK("#" &amp; "31!A2", "31")</f>
        <v>31</v>
      </c>
    </row>
    <row r="45" spans="1:2" ht="15" customHeight="1" x14ac:dyDescent="0.3">
      <c r="A45" s="9" t="str">
        <f>HYPERLINK("#" &amp; "32!A2", "                                                                                                           — Reported and adjusted diluted earnings per common share")</f>
        <v xml:space="preserve">                                                                                                           — Reported and adjusted diluted earnings per common share</v>
      </c>
      <c r="B45" s="10" t="str">
        <f>HYPERLINK("#" &amp; "32!A2", "32")</f>
        <v>32</v>
      </c>
    </row>
    <row r="46" spans="1:2" ht="15" customHeight="1" x14ac:dyDescent="0.3">
      <c r="A46" s="9" t="str">
        <f>HYPERLINK("#" &amp; "33!A2", "                                                                                                           — Return on equity reported and adjusted results by operating segment")</f>
        <v xml:space="preserve">                                                                                                           — Return on equity reported and adjusted results by operating segment</v>
      </c>
      <c r="B46" s="10" t="str">
        <f>HYPERLINK("#" &amp; "33!A2", "33")</f>
        <v>33</v>
      </c>
    </row>
    <row r="47" spans="1:2" ht="15" customHeight="1" x14ac:dyDescent="0.3">
      <c r="A47" s="9" t="str">
        <f>HYPERLINK("#" &amp; "34!A2", "                                                                                                           — Net Interest Margin by operating segment")</f>
        <v xml:space="preserve">                                                                                                           — Net Interest Margin by operating segment</v>
      </c>
      <c r="B47" s="10" t="str">
        <f>HYPERLINK("#" &amp; "34!A2", "34")</f>
        <v>34</v>
      </c>
    </row>
    <row r="48" spans="1:2" ht="15" customHeight="1" x14ac:dyDescent="0.3">
      <c r="A48" s="9" t="str">
        <f>HYPERLINK("#" &amp; "35!A2", "                                                                                                           — Net Interest Margin by operating segment (Continued)")</f>
        <v xml:space="preserve">                                                                                                           — Net Interest Margin by operating segment (Continued)</v>
      </c>
      <c r="B48" s="10" t="str">
        <f>HYPERLINK("#" &amp; "35!A2", "35")</f>
        <v>35</v>
      </c>
    </row>
    <row r="49" spans="1:2" ht="15" customHeight="1" x14ac:dyDescent="0.3">
      <c r="A49" s="19"/>
      <c r="B49" s="20"/>
    </row>
    <row r="50" spans="1:2" ht="15" customHeight="1" x14ac:dyDescent="0.3">
      <c r="A50" s="3429" t="s">
        <v>11</v>
      </c>
      <c r="B50" s="3429"/>
    </row>
  </sheetData>
  <mergeCells count="1">
    <mergeCell ref="A50:B50"/>
  </mergeCells>
  <hyperlinks>
    <hyperlink ref="A8:B8" location="'2'!A1" display="Common Share and Other Information" xr:uid="{A4861E87-CD33-44E0-944F-952C3F392B1F}"/>
    <hyperlink ref="A9:B9" location="'3'!A1" display="Consolidated Statement of Income" xr:uid="{2E49D5A5-5CD1-413C-9460-9670106C6642}"/>
    <hyperlink ref="A12:B12" location="'4'!A1" display="• Canadian Banking" xr:uid="{AD85092D-1FB0-43AA-AA49-ECD13352506F}"/>
    <hyperlink ref="A13:B13" location="'5'!A1" display="• International Banking" xr:uid="{110F7834-B519-454C-8923-905962E90EE2}"/>
    <hyperlink ref="A15:B15" location="'6'!A1" display="• Global Wealth Management" xr:uid="{553E959B-D705-46F0-9A25-5134AF6FC866}"/>
    <hyperlink ref="A16:B16" location="'7'!A1" display="• Global Banking and Markets" xr:uid="{23CE2278-A404-4470-97AE-914874433BE4}"/>
    <hyperlink ref="A17:B17" location="'8'!A1" display="• Other" xr:uid="{9156803F-C4D7-4BB5-8806-98F0EE093EDF}"/>
    <hyperlink ref="A19:B19" location="'9'!A1" display="Non-Interest Income" xr:uid="{45D0A9D4-9346-4E05-93C4-88C540D197A4}"/>
    <hyperlink ref="A20:B20" location="'10'!A1" display="Revenue from Trading-Related Activities and Assets Under Administration and Management" xr:uid="{68F98205-060E-441E-A802-892D7869B1E9}"/>
    <hyperlink ref="A21:B21" location="'11'!A1" display="Operating Expenses" xr:uid="{A648F416-70EE-44C3-AF0A-E3859E0ACE3B}"/>
    <hyperlink ref="A22:B22" location="'12'!A1" display="Consolidated Statement of Financial Position — Assets (Spot Balances)" xr:uid="{63C2CB86-EB3E-4743-8FC0-BC6E21116305}"/>
    <hyperlink ref="A23:B23" location="'13'!A1" display="Consolidated Statement of Financial Position  — Liabilities and Equity (Spot Balances)" xr:uid="{C9D42A88-F49B-4E2F-8731-2AD67C9F76DA}"/>
    <hyperlink ref="A6" location="EDTF!A2" display="Enhanced Disclosure Task Force (EDTF) Recommendations" xr:uid="{D59BC1E9-0CAA-4C65-8FCE-B50E63881F59}"/>
    <hyperlink ref="A24" location="'15'!A2" display="Average Balance Sheet" xr:uid="{54F60A12-7428-4BD7-9522-8852BE3CB51C}"/>
    <hyperlink ref="A29" location="'18'!A2" display="• Customer Loans and Acceptances by Type of Borrower" xr:uid="{895024CA-58E0-4190-AEFE-0F4393F42D58}"/>
    <hyperlink ref="A30" location="'19'!A2" display="• Impaired Loans by Business Segment" xr:uid="{EE10D907-9394-4C5B-9C7C-D87ECCC1FE25}"/>
    <hyperlink ref="A31" location="'20'!A2" display="• Changes in Gross Impaired Loans by Business Segment" xr:uid="{AE87DB4C-B0A2-427F-9CDE-549817FA8A82}"/>
    <hyperlink ref="A32" location="'21'!A2" display="• Allowance for Credit Losses &amp; Other Reserves" xr:uid="{8D25ADFB-10A0-4CCE-9433-E5D99568E940}"/>
    <hyperlink ref="A33" location="'22'!A2" display="• Impaired Loans by Type of Borrower" xr:uid="{9DBCE4B5-2604-4C58-AD07-A692F7D8DA91}"/>
    <hyperlink ref="A34" location="'23'!A2" display="• Provision for Credit Losses by Business Line" xr:uid="{2E91D098-4C00-4EF6-ABF1-853F8E922B9B}"/>
    <hyperlink ref="A35" location="'24'!A2" display="• Provision for Credit Losses by Type of Borrower" xr:uid="{809BB21D-64A7-4D74-99AD-C1F68B72ADF2}"/>
    <hyperlink ref="A5" location="Notes_1!A1" display="Notes — Adoption of Non-GAAP Measures" xr:uid="{7DDB9EE2-C4DE-4F9A-84DC-0E7E4FD4244E}"/>
    <hyperlink ref="A25" location="'16'!A2" display="Consolidated Statement of Changes in Equity" xr:uid="{647E778E-F428-44D1-AD51-2443CBF2E432}"/>
    <hyperlink ref="B24" location="'15'!A2" display="'15'!A2" xr:uid="{6DA395B6-B949-413F-8CC5-3688302782A2}"/>
    <hyperlink ref="B29" location="'18'!A2" display="'18'!A2" xr:uid="{8EA96814-A7C8-4CD6-BFDA-85B515F6E880}"/>
    <hyperlink ref="B30" location="'19'!A2" display="'19'!A2" xr:uid="{47F12875-BD60-42D0-8981-9A825459DB27}"/>
    <hyperlink ref="B31" location="'20'!A2" display="'20'!A2" xr:uid="{B7F0B0E7-2D30-4177-AF77-405307087860}"/>
    <hyperlink ref="B32" location="'21'!A2" display="'21'!A2" xr:uid="{C3BA9A88-C1ED-4EA8-A9B8-24A4621A9CEA}"/>
    <hyperlink ref="B33" location="'22'!A2" display="'22'!A2" xr:uid="{BB6CFAE3-E8DE-497D-992E-761527D06E25}"/>
    <hyperlink ref="B34" location="'23'!A2" display="'23'!A2" xr:uid="{15CF26E2-5E2A-48B9-866F-9AC42AEAA84B}"/>
    <hyperlink ref="B35" location="'24'!A2" display="'24'!A2" xr:uid="{98DFF3C0-2E07-497E-A180-FEA9F3276701}"/>
    <hyperlink ref="A26" location="'17'!A2" display="Consolidated Statement of Changes in Equity (Continued)" xr:uid="{8986B088-F1F8-471E-82E9-E4FA06E3EADD}"/>
    <hyperlink ref="B14" location="'6'!A2" display="'6'!A2" xr:uid="{0E34F1E2-87ED-484D-B550-88E1FB5F209B}"/>
    <hyperlink ref="B15" location="'7'!A2" display="'7'!A2" xr:uid="{9E229271-F838-4F51-84C7-4F725D5B65F8}"/>
    <hyperlink ref="B16" location="'8'!A2" display="'8'!A2" xr:uid="{3A8AF68C-B8A7-4C3C-B3B9-40E1CE31419A}"/>
    <hyperlink ref="B17" location="'9'!A2" display="'9'!A2" xr:uid="{925DA116-8DA2-41D7-A3E4-942BF4DF10AB}"/>
    <hyperlink ref="B26" location="'17'!A2" display="'17'!A2" xr:uid="{81606DFE-F8AC-4CED-A2F3-DA921F8CF385}"/>
    <hyperlink ref="B25" location="'16'!A2" display="'16'!A2" xr:uid="{09154EB3-37BF-4AEB-9858-0354AE9C8984}"/>
    <hyperlink ref="B23" location="'14'!A2" display="'14'!A2" xr:uid="{E3D222DC-6F27-488B-9F3F-608C91C522EA}"/>
    <hyperlink ref="B22" location="'13'!A2" display="'13'!A2" xr:uid="{D1D9569E-A83E-49A2-AAD9-21C8932CC317}"/>
    <hyperlink ref="B21" location="'12'!A2" display="'12'!A2" xr:uid="{58599968-D7DF-4B88-93BD-73B9CD9F64AB}"/>
    <hyperlink ref="B20" location="'11'!A2" display="'11'!A2" xr:uid="{8B084527-3BE1-43A1-8202-85C4EB385234}"/>
    <hyperlink ref="B19" location="'10'!A2" display="'10'!A2" xr:uid="{7545B6D5-6071-474E-A96A-A5565B5E4316}"/>
    <hyperlink ref="B5" location="Notes_1!A1" display="Notes" xr:uid="{879DFA65-6DB6-4637-B16D-3405F2C22196}"/>
    <hyperlink ref="B6" location="EDTF!A2" display="Enhanced Disclosure Task Force (EDTF) Recommendations" xr:uid="{7C5BD355-22D0-43D9-B693-C63F5225FC77}"/>
    <hyperlink ref="B7" location="'1'!A2" display="'1'!A2" xr:uid="{C1579DF5-FA63-41E1-AAE3-9EC0FBB7C88B}"/>
    <hyperlink ref="A8" location="'2'!A2" display="Common Share and Other Information" xr:uid="{E53E3D74-1350-4235-8842-5408DB54612E}"/>
    <hyperlink ref="B8" location="'2'!A2" display="'2'!A2" xr:uid="{D6DDBADF-E160-478D-8E16-0494E0D08812}"/>
    <hyperlink ref="A9" location="'3'!A2" display="Consolidated Statement of Income" xr:uid="{A6960EAB-B002-45C6-A345-D8311931E08B}"/>
    <hyperlink ref="B9" location="'3'!A2" display="'3'!A2" xr:uid="{898C4BDF-BF4D-446F-90E4-5C2FE7472C39}"/>
    <hyperlink ref="A12" location="'4'!A2" display="• Canadian Banking" xr:uid="{D252C5F6-AE8A-4885-AE00-9FABD6F76920}"/>
    <hyperlink ref="B12" location="'4'!A2" display="'4'!A2" xr:uid="{D3BECF3A-5302-4352-A85D-EF84B3B0ADEE}"/>
    <hyperlink ref="A13" location="'5'!A2" display="• International Banking" xr:uid="{411A5459-90C3-4F5A-9C95-5EB4BB9E0E68}"/>
    <hyperlink ref="B13" location="'5'!A2" display="'5'!A2" xr:uid="{A3521C69-BF20-41FE-B67E-2C6771B30F56}"/>
    <hyperlink ref="A14" location="'6'!A2" display="• International Banking (Constant Dollar)" xr:uid="{D3DD70F7-6483-4FEA-BF91-926C697F1DC3}"/>
    <hyperlink ref="A15" location="'7'!A2" display="• Global Wealth Management" xr:uid="{7695D907-DA37-4573-8BFB-66A5256FA731}"/>
    <hyperlink ref="A16" location="'8'!A2" display="• Global Banking and Markets" xr:uid="{C832E0FE-C33E-4A40-9439-B3B4D8DF246A}"/>
    <hyperlink ref="A17" location="'9'!A2" display="• Other" xr:uid="{17F7C74B-40F9-4884-AEF3-383FD867CFEA}"/>
    <hyperlink ref="A19" location="'10'!A2" display="Non-Interest Income" xr:uid="{9D1777D3-935B-4D6E-BAD0-AD2E0FE7E53F}"/>
    <hyperlink ref="A20" location="'11'!A2" display="Revenue from Trading-Related Activities and Assets Under Administration and Management" xr:uid="{15B91232-3867-49B6-A58F-82A7F5783CAC}"/>
    <hyperlink ref="A21" location="'12'!A2" display="Operating Expenses" xr:uid="{50EA9260-51F7-4118-81C9-D9159BB9D44A}"/>
    <hyperlink ref="A22" location="'13'!A2" display="Consolidated Statement of Financial Position — Assets (Spot Balances)" xr:uid="{44FF87A0-1863-4FC3-BAB2-1B4A64BDC3DC}"/>
    <hyperlink ref="A23" location="'14'!A2" display="Consolidated Statement of Financial Position  — Liabilities and Equity (Spot Balances)" xr:uid="{467EE58F-D592-46A1-ACE5-16ACFEED4ABC}"/>
    <hyperlink ref="A7" location="'1'!A2" display="'1'!A2" xr:uid="{65EB93DF-677E-4BDD-B307-EDBB0FAAD876}"/>
  </hyperlinks>
  <pageMargins left="0.5" right="0.5" top="0.5" bottom="0.5" header="0.25" footer="0.25"/>
  <pageSetup scale="70" firstPageNumber="6" orientation="landscape" useFirstPageNumber="1" r:id="rId1"/>
  <headerFooter>
    <oddFooter>&amp;L&amp;G&amp;C&amp;"Scotia,Regular"&amp;9Supplementary Financial Information (SFI)&amp;RToC&amp;"Scotia,Regular"&amp;7</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7CEF2-88B4-4FD0-9EC5-585E4B15DD97}">
  <dimension ref="A1:S26"/>
  <sheetViews>
    <sheetView showGridLines="0" zoomScaleNormal="100" workbookViewId="0"/>
  </sheetViews>
  <sheetFormatPr defaultColWidth="8.77734375" defaultRowHeight="13.2" x14ac:dyDescent="0.25"/>
  <cols>
    <col min="1" max="1" width="88.5546875" style="22" customWidth="1"/>
    <col min="2" max="18" width="7.21875" style="22" customWidth="1"/>
    <col min="19" max="19" width="5" style="22" customWidth="1"/>
    <col min="20" max="16384" width="8.77734375" style="22"/>
  </cols>
  <sheetData>
    <row r="1" spans="1:19" ht="19.95" customHeight="1" x14ac:dyDescent="0.25">
      <c r="A1" s="21" t="s">
        <v>12</v>
      </c>
    </row>
    <row r="2" spans="1:19" ht="25.05" customHeight="1" x14ac:dyDescent="0.25">
      <c r="A2" s="3438" t="s">
        <v>13</v>
      </c>
      <c r="B2" s="3438" t="s">
        <v>14</v>
      </c>
      <c r="C2" s="3438" t="s">
        <v>14</v>
      </c>
      <c r="D2" s="3438" t="s">
        <v>14</v>
      </c>
      <c r="E2" s="3438" t="s">
        <v>14</v>
      </c>
      <c r="F2" s="3438" t="s">
        <v>14</v>
      </c>
      <c r="G2" s="3438" t="s">
        <v>14</v>
      </c>
      <c r="H2" s="3438" t="s">
        <v>14</v>
      </c>
      <c r="I2" s="3438" t="s">
        <v>14</v>
      </c>
      <c r="J2" s="3438" t="s">
        <v>14</v>
      </c>
      <c r="K2" s="3438" t="s">
        <v>14</v>
      </c>
      <c r="L2" s="3438" t="s">
        <v>14</v>
      </c>
      <c r="M2" s="3438" t="s">
        <v>14</v>
      </c>
      <c r="N2" s="3438" t="s">
        <v>14</v>
      </c>
      <c r="O2" s="3438" t="s">
        <v>14</v>
      </c>
      <c r="P2" s="3438" t="s">
        <v>14</v>
      </c>
      <c r="Q2" s="3438" t="s">
        <v>14</v>
      </c>
      <c r="R2" s="3438" t="s">
        <v>14</v>
      </c>
      <c r="S2" s="3438" t="s">
        <v>14</v>
      </c>
    </row>
    <row r="3" spans="1:19" ht="30" customHeight="1" x14ac:dyDescent="0.3">
      <c r="A3" s="3435" t="s">
        <v>15</v>
      </c>
      <c r="B3" s="3435" t="s">
        <v>14</v>
      </c>
      <c r="C3" s="3435" t="s">
        <v>14</v>
      </c>
      <c r="D3" s="3435" t="s">
        <v>14</v>
      </c>
      <c r="E3" s="3435" t="s">
        <v>14</v>
      </c>
      <c r="F3" s="3435" t="s">
        <v>14</v>
      </c>
      <c r="G3" s="3435" t="s">
        <v>14</v>
      </c>
      <c r="H3" s="3435" t="s">
        <v>14</v>
      </c>
      <c r="I3" s="3435" t="s">
        <v>14</v>
      </c>
      <c r="J3" s="3435" t="s">
        <v>14</v>
      </c>
      <c r="K3" s="3435" t="s">
        <v>14</v>
      </c>
      <c r="L3" s="3435" t="s">
        <v>14</v>
      </c>
      <c r="M3" s="3435" t="s">
        <v>14</v>
      </c>
      <c r="N3" s="3435" t="s">
        <v>14</v>
      </c>
      <c r="O3" s="3435" t="s">
        <v>14</v>
      </c>
      <c r="P3" s="3435" t="s">
        <v>14</v>
      </c>
      <c r="Q3" s="3435" t="s">
        <v>14</v>
      </c>
      <c r="R3" s="3435" t="s">
        <v>14</v>
      </c>
      <c r="S3" s="3435" t="s">
        <v>14</v>
      </c>
    </row>
    <row r="4" spans="1:19" ht="25.05" customHeight="1" x14ac:dyDescent="0.3">
      <c r="A4" s="3435" t="s">
        <v>16</v>
      </c>
      <c r="B4" s="3435" t="s">
        <v>14</v>
      </c>
      <c r="C4" s="3435" t="s">
        <v>14</v>
      </c>
      <c r="D4" s="3435" t="s">
        <v>14</v>
      </c>
      <c r="E4" s="3435" t="s">
        <v>14</v>
      </c>
      <c r="F4" s="3435" t="s">
        <v>14</v>
      </c>
      <c r="G4" s="3435" t="s">
        <v>14</v>
      </c>
      <c r="H4" s="3435" t="s">
        <v>14</v>
      </c>
      <c r="I4" s="3435" t="s">
        <v>14</v>
      </c>
      <c r="J4" s="3435" t="s">
        <v>14</v>
      </c>
      <c r="K4" s="3435" t="s">
        <v>14</v>
      </c>
      <c r="L4" s="3435" t="s">
        <v>14</v>
      </c>
      <c r="M4" s="3435" t="s">
        <v>14</v>
      </c>
      <c r="N4" s="3435" t="s">
        <v>14</v>
      </c>
      <c r="O4" s="3435" t="s">
        <v>14</v>
      </c>
      <c r="P4" s="3435" t="s">
        <v>14</v>
      </c>
      <c r="Q4" s="3435" t="s">
        <v>14</v>
      </c>
      <c r="R4" s="3435" t="s">
        <v>14</v>
      </c>
      <c r="S4" s="3435" t="s">
        <v>14</v>
      </c>
    </row>
    <row r="5" spans="1:19" ht="64.5" customHeight="1" x14ac:dyDescent="0.25">
      <c r="A5" s="3436" t="s">
        <v>17</v>
      </c>
      <c r="B5" s="3436" t="s">
        <v>14</v>
      </c>
      <c r="C5" s="3436" t="s">
        <v>14</v>
      </c>
      <c r="D5" s="3436" t="s">
        <v>14</v>
      </c>
      <c r="E5" s="3436" t="s">
        <v>14</v>
      </c>
      <c r="F5" s="3436" t="s">
        <v>14</v>
      </c>
      <c r="G5" s="3436" t="s">
        <v>14</v>
      </c>
      <c r="H5" s="3436" t="s">
        <v>14</v>
      </c>
      <c r="I5" s="3436" t="s">
        <v>14</v>
      </c>
      <c r="J5" s="3436" t="s">
        <v>14</v>
      </c>
      <c r="K5" s="3436" t="s">
        <v>14</v>
      </c>
      <c r="L5" s="3436" t="s">
        <v>14</v>
      </c>
      <c r="M5" s="3436" t="s">
        <v>14</v>
      </c>
      <c r="N5" s="3436" t="s">
        <v>14</v>
      </c>
      <c r="O5" s="3436" t="s">
        <v>14</v>
      </c>
      <c r="P5" s="3436" t="s">
        <v>14</v>
      </c>
      <c r="Q5" s="3436" t="s">
        <v>14</v>
      </c>
      <c r="R5" s="3436" t="s">
        <v>14</v>
      </c>
      <c r="S5" s="3436" t="s">
        <v>14</v>
      </c>
    </row>
    <row r="6" spans="1:19" ht="25.05" customHeight="1" x14ac:dyDescent="0.3">
      <c r="A6" s="3435" t="s">
        <v>18</v>
      </c>
      <c r="B6" s="3435" t="s">
        <v>14</v>
      </c>
      <c r="C6" s="3435" t="s">
        <v>14</v>
      </c>
      <c r="D6" s="3435" t="s">
        <v>14</v>
      </c>
      <c r="E6" s="3435" t="s">
        <v>14</v>
      </c>
      <c r="F6" s="3435" t="s">
        <v>14</v>
      </c>
      <c r="G6" s="3435" t="s">
        <v>14</v>
      </c>
      <c r="H6" s="3435" t="s">
        <v>14</v>
      </c>
      <c r="I6" s="3435" t="s">
        <v>14</v>
      </c>
      <c r="J6" s="3435" t="s">
        <v>14</v>
      </c>
      <c r="K6" s="3435" t="s">
        <v>14</v>
      </c>
      <c r="L6" s="3435" t="s">
        <v>14</v>
      </c>
      <c r="M6" s="3435" t="s">
        <v>14</v>
      </c>
      <c r="N6" s="3435" t="s">
        <v>14</v>
      </c>
      <c r="O6" s="3435" t="s">
        <v>14</v>
      </c>
      <c r="P6" s="3435" t="s">
        <v>14</v>
      </c>
      <c r="Q6" s="3435" t="s">
        <v>14</v>
      </c>
      <c r="R6" s="3435" t="s">
        <v>14</v>
      </c>
      <c r="S6" s="3435" t="s">
        <v>14</v>
      </c>
    </row>
    <row r="7" spans="1:19" ht="48.6" customHeight="1" x14ac:dyDescent="0.25">
      <c r="A7" s="3436" t="s">
        <v>19</v>
      </c>
      <c r="B7" s="3436" t="s">
        <v>14</v>
      </c>
      <c r="C7" s="3436" t="s">
        <v>14</v>
      </c>
      <c r="D7" s="3436" t="s">
        <v>14</v>
      </c>
      <c r="E7" s="3436" t="s">
        <v>14</v>
      </c>
      <c r="F7" s="3436" t="s">
        <v>14</v>
      </c>
      <c r="G7" s="3436" t="s">
        <v>14</v>
      </c>
      <c r="H7" s="3436" t="s">
        <v>14</v>
      </c>
      <c r="I7" s="3436" t="s">
        <v>14</v>
      </c>
      <c r="J7" s="3436" t="s">
        <v>14</v>
      </c>
      <c r="K7" s="3436" t="s">
        <v>14</v>
      </c>
      <c r="L7" s="3436" t="s">
        <v>14</v>
      </c>
      <c r="M7" s="3436" t="s">
        <v>14</v>
      </c>
      <c r="N7" s="3436" t="s">
        <v>14</v>
      </c>
      <c r="O7" s="3436" t="s">
        <v>14</v>
      </c>
      <c r="P7" s="3436" t="s">
        <v>14</v>
      </c>
      <c r="Q7" s="3436" t="s">
        <v>14</v>
      </c>
      <c r="R7" s="3436" t="s">
        <v>14</v>
      </c>
      <c r="S7" s="3436" t="s">
        <v>14</v>
      </c>
    </row>
    <row r="8" spans="1:19" ht="28.5" customHeight="1" x14ac:dyDescent="0.3">
      <c r="A8" s="3435" t="s">
        <v>20</v>
      </c>
      <c r="B8" s="3435" t="s">
        <v>14</v>
      </c>
      <c r="C8" s="3435" t="s">
        <v>14</v>
      </c>
      <c r="D8" s="3435" t="s">
        <v>14</v>
      </c>
      <c r="E8" s="3435" t="s">
        <v>14</v>
      </c>
      <c r="F8" s="3435" t="s">
        <v>14</v>
      </c>
      <c r="G8" s="3435" t="s">
        <v>14</v>
      </c>
      <c r="H8" s="3435" t="s">
        <v>14</v>
      </c>
      <c r="I8" s="3435" t="s">
        <v>14</v>
      </c>
      <c r="J8" s="3435" t="s">
        <v>14</v>
      </c>
      <c r="K8" s="3435" t="s">
        <v>14</v>
      </c>
      <c r="L8" s="3435" t="s">
        <v>14</v>
      </c>
      <c r="M8" s="3435" t="s">
        <v>14</v>
      </c>
      <c r="N8" s="3435" t="s">
        <v>14</v>
      </c>
      <c r="O8" s="3435" t="s">
        <v>14</v>
      </c>
      <c r="P8" s="3435" t="s">
        <v>14</v>
      </c>
      <c r="Q8" s="3435" t="s">
        <v>14</v>
      </c>
      <c r="R8" s="3435" t="s">
        <v>14</v>
      </c>
      <c r="S8" s="3435" t="s">
        <v>14</v>
      </c>
    </row>
    <row r="9" spans="1:19" ht="1.5" customHeight="1" x14ac:dyDescent="0.25">
      <c r="A9" s="3436"/>
      <c r="B9" s="3436" t="s">
        <v>14</v>
      </c>
      <c r="C9" s="3436" t="s">
        <v>14</v>
      </c>
      <c r="D9" s="3436" t="s">
        <v>14</v>
      </c>
      <c r="E9" s="3436" t="s">
        <v>14</v>
      </c>
      <c r="F9" s="3436" t="s">
        <v>14</v>
      </c>
      <c r="G9" s="3436" t="s">
        <v>14</v>
      </c>
      <c r="H9" s="3436" t="s">
        <v>14</v>
      </c>
      <c r="I9" s="3436" t="s">
        <v>14</v>
      </c>
      <c r="J9" s="3436" t="s">
        <v>14</v>
      </c>
      <c r="K9" s="3436" t="s">
        <v>14</v>
      </c>
      <c r="L9" s="3436" t="s">
        <v>14</v>
      </c>
      <c r="M9" s="3436" t="s">
        <v>14</v>
      </c>
      <c r="N9" s="3436" t="s">
        <v>14</v>
      </c>
      <c r="O9" s="3436" t="s">
        <v>14</v>
      </c>
      <c r="P9" s="3436" t="s">
        <v>14</v>
      </c>
      <c r="Q9" s="3436" t="s">
        <v>14</v>
      </c>
      <c r="R9" s="3436" t="s">
        <v>14</v>
      </c>
      <c r="S9" s="3436" t="s">
        <v>14</v>
      </c>
    </row>
    <row r="10" spans="1:19" ht="22.5" customHeight="1" x14ac:dyDescent="0.25">
      <c r="A10" s="3437" t="s">
        <v>21</v>
      </c>
      <c r="B10" s="3437" t="s">
        <v>14</v>
      </c>
      <c r="C10" s="3437" t="s">
        <v>14</v>
      </c>
      <c r="D10" s="3437" t="s">
        <v>14</v>
      </c>
      <c r="E10" s="3437" t="s">
        <v>14</v>
      </c>
      <c r="F10" s="3437" t="s">
        <v>14</v>
      </c>
      <c r="G10" s="3437" t="s">
        <v>14</v>
      </c>
      <c r="H10" s="3437" t="s">
        <v>14</v>
      </c>
      <c r="I10" s="3437" t="s">
        <v>14</v>
      </c>
      <c r="J10" s="3437" t="s">
        <v>14</v>
      </c>
      <c r="K10" s="3437" t="s">
        <v>14</v>
      </c>
      <c r="L10" s="3437" t="s">
        <v>14</v>
      </c>
      <c r="M10" s="3437" t="s">
        <v>14</v>
      </c>
      <c r="N10" s="3437" t="s">
        <v>14</v>
      </c>
      <c r="O10" s="3437" t="s">
        <v>14</v>
      </c>
      <c r="P10" s="3437" t="s">
        <v>14</v>
      </c>
      <c r="Q10" s="3437" t="s">
        <v>14</v>
      </c>
      <c r="R10" s="3437" t="s">
        <v>14</v>
      </c>
      <c r="S10" s="3437" t="s">
        <v>14</v>
      </c>
    </row>
    <row r="11" spans="1:19" ht="169.05" customHeight="1" x14ac:dyDescent="0.25">
      <c r="A11" s="3431" t="s">
        <v>22</v>
      </c>
      <c r="B11" s="3431" t="s">
        <v>14</v>
      </c>
      <c r="C11" s="3431" t="s">
        <v>14</v>
      </c>
      <c r="D11" s="3431" t="s">
        <v>14</v>
      </c>
      <c r="E11" s="3431" t="s">
        <v>14</v>
      </c>
      <c r="F11" s="3431" t="s">
        <v>14</v>
      </c>
      <c r="G11" s="3431" t="s">
        <v>14</v>
      </c>
      <c r="H11" s="3431" t="s">
        <v>14</v>
      </c>
      <c r="I11" s="3431" t="s">
        <v>14</v>
      </c>
      <c r="J11" s="3431" t="s">
        <v>14</v>
      </c>
      <c r="K11" s="3431" t="s">
        <v>14</v>
      </c>
      <c r="L11" s="3431" t="s">
        <v>14</v>
      </c>
      <c r="M11" s="3431" t="s">
        <v>14</v>
      </c>
      <c r="N11" s="3431" t="s">
        <v>14</v>
      </c>
      <c r="O11" s="3431" t="s">
        <v>14</v>
      </c>
      <c r="P11" s="3431" t="s">
        <v>14</v>
      </c>
      <c r="Q11" s="3431" t="s">
        <v>14</v>
      </c>
      <c r="R11" s="3431" t="s">
        <v>14</v>
      </c>
      <c r="S11" s="3431" t="s">
        <v>14</v>
      </c>
    </row>
    <row r="12" spans="1:19" ht="18" customHeight="1" x14ac:dyDescent="0.25">
      <c r="A12" s="3437" t="s">
        <v>23</v>
      </c>
      <c r="B12" s="3437" t="s">
        <v>14</v>
      </c>
      <c r="C12" s="3437" t="s">
        <v>14</v>
      </c>
      <c r="D12" s="3437" t="s">
        <v>14</v>
      </c>
      <c r="E12" s="3437" t="s">
        <v>14</v>
      </c>
      <c r="F12" s="3437" t="s">
        <v>14</v>
      </c>
      <c r="G12" s="3437" t="s">
        <v>14</v>
      </c>
      <c r="H12" s="3437" t="s">
        <v>14</v>
      </c>
      <c r="I12" s="3437" t="s">
        <v>14</v>
      </c>
      <c r="J12" s="3437" t="s">
        <v>14</v>
      </c>
      <c r="K12" s="3437" t="s">
        <v>14</v>
      </c>
      <c r="L12" s="3437" t="s">
        <v>14</v>
      </c>
      <c r="M12" s="3437" t="s">
        <v>14</v>
      </c>
      <c r="N12" s="3437" t="s">
        <v>14</v>
      </c>
      <c r="O12" s="3437" t="s">
        <v>14</v>
      </c>
      <c r="P12" s="3437" t="s">
        <v>14</v>
      </c>
      <c r="Q12" s="3437" t="s">
        <v>14</v>
      </c>
      <c r="R12" s="3437" t="s">
        <v>14</v>
      </c>
      <c r="S12" s="3437" t="s">
        <v>14</v>
      </c>
    </row>
    <row r="13" spans="1:19" ht="33.75" customHeight="1" x14ac:dyDescent="0.25">
      <c r="A13" s="3431" t="s">
        <v>24</v>
      </c>
      <c r="B13" s="3431" t="s">
        <v>14</v>
      </c>
      <c r="C13" s="3431" t="s">
        <v>14</v>
      </c>
      <c r="D13" s="3431" t="s">
        <v>14</v>
      </c>
      <c r="E13" s="3431" t="s">
        <v>14</v>
      </c>
      <c r="F13" s="3431" t="s">
        <v>14</v>
      </c>
      <c r="G13" s="3431" t="s">
        <v>14</v>
      </c>
      <c r="H13" s="3431" t="s">
        <v>14</v>
      </c>
      <c r="I13" s="3431" t="s">
        <v>14</v>
      </c>
      <c r="J13" s="3431" t="s">
        <v>14</v>
      </c>
      <c r="K13" s="3431" t="s">
        <v>14</v>
      </c>
      <c r="L13" s="3431" t="s">
        <v>14</v>
      </c>
      <c r="M13" s="3431" t="s">
        <v>14</v>
      </c>
      <c r="N13" s="3431" t="s">
        <v>14</v>
      </c>
      <c r="O13" s="3431" t="s">
        <v>14</v>
      </c>
      <c r="P13" s="3431" t="s">
        <v>14</v>
      </c>
      <c r="Q13" s="3431" t="s">
        <v>14</v>
      </c>
      <c r="R13" s="3431" t="s">
        <v>14</v>
      </c>
      <c r="S13" s="3431" t="s">
        <v>14</v>
      </c>
    </row>
    <row r="14" spans="1:19" ht="18" customHeight="1" x14ac:dyDescent="0.25">
      <c r="A14" s="3430" t="s">
        <v>25</v>
      </c>
      <c r="B14" s="3430" t="s">
        <v>14</v>
      </c>
      <c r="C14" s="3430" t="s">
        <v>14</v>
      </c>
      <c r="D14" s="3430" t="s">
        <v>14</v>
      </c>
      <c r="E14" s="3430" t="s">
        <v>14</v>
      </c>
      <c r="F14" s="3430" t="s">
        <v>14</v>
      </c>
      <c r="G14" s="3430" t="s">
        <v>14</v>
      </c>
      <c r="H14" s="3430" t="s">
        <v>14</v>
      </c>
      <c r="I14" s="3430" t="s">
        <v>14</v>
      </c>
      <c r="J14" s="3430" t="s">
        <v>14</v>
      </c>
      <c r="K14" s="3430" t="s">
        <v>14</v>
      </c>
      <c r="L14" s="3430" t="s">
        <v>14</v>
      </c>
      <c r="M14" s="3430" t="s">
        <v>14</v>
      </c>
      <c r="N14" s="3430" t="s">
        <v>14</v>
      </c>
      <c r="O14" s="3430" t="s">
        <v>14</v>
      </c>
      <c r="P14" s="3430" t="s">
        <v>14</v>
      </c>
      <c r="Q14" s="3430" t="s">
        <v>14</v>
      </c>
      <c r="R14" s="3430" t="s">
        <v>14</v>
      </c>
      <c r="S14" s="3430" t="s">
        <v>14</v>
      </c>
    </row>
    <row r="15" spans="1:19" ht="49.5" customHeight="1" x14ac:dyDescent="0.25">
      <c r="A15" s="3431" t="s">
        <v>26</v>
      </c>
      <c r="B15" s="3431" t="s">
        <v>14</v>
      </c>
      <c r="C15" s="3431" t="s">
        <v>14</v>
      </c>
      <c r="D15" s="3431" t="s">
        <v>14</v>
      </c>
      <c r="E15" s="3431" t="s">
        <v>14</v>
      </c>
      <c r="F15" s="3431" t="s">
        <v>14</v>
      </c>
      <c r="G15" s="3431" t="s">
        <v>14</v>
      </c>
      <c r="H15" s="3431" t="s">
        <v>14</v>
      </c>
      <c r="I15" s="3431" t="s">
        <v>14</v>
      </c>
      <c r="J15" s="3431" t="s">
        <v>14</v>
      </c>
      <c r="K15" s="3431" t="s">
        <v>14</v>
      </c>
      <c r="L15" s="3431" t="s">
        <v>14</v>
      </c>
      <c r="M15" s="3431" t="s">
        <v>14</v>
      </c>
      <c r="N15" s="3431" t="s">
        <v>14</v>
      </c>
      <c r="O15" s="3431" t="s">
        <v>14</v>
      </c>
      <c r="P15" s="3431" t="s">
        <v>14</v>
      </c>
      <c r="Q15" s="3431" t="s">
        <v>14</v>
      </c>
      <c r="R15" s="3431" t="s">
        <v>14</v>
      </c>
      <c r="S15" s="3431" t="s">
        <v>14</v>
      </c>
    </row>
    <row r="16" spans="1:19" ht="16.5" customHeight="1" x14ac:dyDescent="0.25">
      <c r="A16" s="3430" t="s">
        <v>27</v>
      </c>
      <c r="B16" s="3430" t="s">
        <v>14</v>
      </c>
      <c r="C16" s="3430" t="s">
        <v>14</v>
      </c>
      <c r="D16" s="3430" t="s">
        <v>14</v>
      </c>
      <c r="E16" s="3430" t="s">
        <v>14</v>
      </c>
      <c r="F16" s="3430" t="s">
        <v>14</v>
      </c>
      <c r="G16" s="3430" t="s">
        <v>14</v>
      </c>
      <c r="H16" s="3430" t="s">
        <v>14</v>
      </c>
      <c r="I16" s="3430" t="s">
        <v>14</v>
      </c>
      <c r="J16" s="3430" t="s">
        <v>14</v>
      </c>
      <c r="K16" s="3430" t="s">
        <v>14</v>
      </c>
      <c r="L16" s="3430" t="s">
        <v>14</v>
      </c>
      <c r="M16" s="3430" t="s">
        <v>14</v>
      </c>
      <c r="N16" s="3430" t="s">
        <v>14</v>
      </c>
      <c r="O16" s="3430" t="s">
        <v>14</v>
      </c>
      <c r="P16" s="3430" t="s">
        <v>14</v>
      </c>
      <c r="Q16" s="3430" t="s">
        <v>14</v>
      </c>
      <c r="R16" s="3430" t="s">
        <v>14</v>
      </c>
      <c r="S16" s="3430" t="s">
        <v>14</v>
      </c>
    </row>
    <row r="17" spans="1:19" ht="67.5" customHeight="1" x14ac:dyDescent="0.25">
      <c r="A17" s="3431" t="s">
        <v>28</v>
      </c>
      <c r="B17" s="3431" t="s">
        <v>14</v>
      </c>
      <c r="C17" s="3431" t="s">
        <v>14</v>
      </c>
      <c r="D17" s="3431" t="s">
        <v>14</v>
      </c>
      <c r="E17" s="3431" t="s">
        <v>14</v>
      </c>
      <c r="F17" s="3431" t="s">
        <v>14</v>
      </c>
      <c r="G17" s="3431" t="s">
        <v>14</v>
      </c>
      <c r="H17" s="3431" t="s">
        <v>14</v>
      </c>
      <c r="I17" s="3431" t="s">
        <v>14</v>
      </c>
      <c r="J17" s="3431" t="s">
        <v>14</v>
      </c>
      <c r="K17" s="3431" t="s">
        <v>14</v>
      </c>
      <c r="L17" s="3431" t="s">
        <v>14</v>
      </c>
      <c r="M17" s="3431" t="s">
        <v>14</v>
      </c>
      <c r="N17" s="3431" t="s">
        <v>14</v>
      </c>
      <c r="O17" s="3431" t="s">
        <v>14</v>
      </c>
      <c r="P17" s="3431" t="s">
        <v>14</v>
      </c>
      <c r="Q17" s="3431" t="s">
        <v>14</v>
      </c>
      <c r="R17" s="3431" t="s">
        <v>14</v>
      </c>
      <c r="S17" s="3431" t="s">
        <v>14</v>
      </c>
    </row>
    <row r="18" spans="1:19" ht="16.5" customHeight="1" x14ac:dyDescent="0.25">
      <c r="A18" s="3437" t="s">
        <v>29</v>
      </c>
      <c r="B18" s="3437" t="s">
        <v>14</v>
      </c>
      <c r="C18" s="3437" t="s">
        <v>14</v>
      </c>
      <c r="D18" s="3437" t="s">
        <v>14</v>
      </c>
      <c r="E18" s="3437" t="s">
        <v>14</v>
      </c>
      <c r="F18" s="3437" t="s">
        <v>14</v>
      </c>
      <c r="G18" s="3437" t="s">
        <v>14</v>
      </c>
      <c r="H18" s="3437" t="s">
        <v>14</v>
      </c>
      <c r="I18" s="3437" t="s">
        <v>14</v>
      </c>
      <c r="J18" s="3437" t="s">
        <v>14</v>
      </c>
      <c r="K18" s="3437" t="s">
        <v>14</v>
      </c>
      <c r="L18" s="3437" t="s">
        <v>14</v>
      </c>
      <c r="M18" s="3437" t="s">
        <v>14</v>
      </c>
      <c r="N18" s="3437" t="s">
        <v>14</v>
      </c>
      <c r="O18" s="3437" t="s">
        <v>14</v>
      </c>
      <c r="P18" s="3437" t="s">
        <v>14</v>
      </c>
      <c r="Q18" s="3437" t="s">
        <v>14</v>
      </c>
      <c r="R18" s="3437" t="s">
        <v>14</v>
      </c>
      <c r="S18" s="3437" t="s">
        <v>14</v>
      </c>
    </row>
    <row r="19" spans="1:19" ht="30" customHeight="1" x14ac:dyDescent="0.25">
      <c r="A19" s="3431" t="s">
        <v>30</v>
      </c>
      <c r="B19" s="3431" t="s">
        <v>14</v>
      </c>
      <c r="C19" s="3431" t="s">
        <v>14</v>
      </c>
      <c r="D19" s="3431" t="s">
        <v>14</v>
      </c>
      <c r="E19" s="3431" t="s">
        <v>14</v>
      </c>
      <c r="F19" s="3431" t="s">
        <v>14</v>
      </c>
      <c r="G19" s="3431" t="s">
        <v>14</v>
      </c>
      <c r="H19" s="3431" t="s">
        <v>14</v>
      </c>
      <c r="I19" s="3431" t="s">
        <v>14</v>
      </c>
      <c r="J19" s="3431" t="s">
        <v>14</v>
      </c>
      <c r="K19" s="3431" t="s">
        <v>14</v>
      </c>
      <c r="L19" s="3431" t="s">
        <v>14</v>
      </c>
      <c r="M19" s="3431" t="s">
        <v>14</v>
      </c>
      <c r="N19" s="3431" t="s">
        <v>14</v>
      </c>
      <c r="O19" s="3431" t="s">
        <v>14</v>
      </c>
      <c r="P19" s="3431" t="s">
        <v>14</v>
      </c>
      <c r="Q19" s="3431" t="s">
        <v>14</v>
      </c>
      <c r="R19" s="3431" t="s">
        <v>14</v>
      </c>
      <c r="S19" s="3431" t="s">
        <v>14</v>
      </c>
    </row>
    <row r="20" spans="1:19" ht="18" customHeight="1" x14ac:dyDescent="0.25">
      <c r="A20" s="3430" t="s">
        <v>31</v>
      </c>
      <c r="B20" s="3430" t="s">
        <v>14</v>
      </c>
      <c r="C20" s="3430" t="s">
        <v>14</v>
      </c>
      <c r="D20" s="3430" t="s">
        <v>14</v>
      </c>
      <c r="E20" s="3430" t="s">
        <v>14</v>
      </c>
      <c r="F20" s="3430" t="s">
        <v>14</v>
      </c>
      <c r="G20" s="3430" t="s">
        <v>14</v>
      </c>
      <c r="H20" s="3430" t="s">
        <v>14</v>
      </c>
      <c r="I20" s="3430" t="s">
        <v>14</v>
      </c>
      <c r="J20" s="3430" t="s">
        <v>14</v>
      </c>
      <c r="K20" s="3430" t="s">
        <v>14</v>
      </c>
      <c r="L20" s="3430" t="s">
        <v>14</v>
      </c>
      <c r="M20" s="3430" t="s">
        <v>14</v>
      </c>
      <c r="N20" s="3430" t="s">
        <v>14</v>
      </c>
      <c r="O20" s="3430" t="s">
        <v>14</v>
      </c>
      <c r="P20" s="3430" t="s">
        <v>14</v>
      </c>
      <c r="Q20" s="3430" t="s">
        <v>14</v>
      </c>
      <c r="R20" s="3430" t="s">
        <v>14</v>
      </c>
      <c r="S20" s="3430" t="s">
        <v>14</v>
      </c>
    </row>
    <row r="21" spans="1:19" ht="18" customHeight="1" x14ac:dyDescent="0.25">
      <c r="A21" s="3431" t="s">
        <v>32</v>
      </c>
      <c r="B21" s="3431" t="s">
        <v>14</v>
      </c>
      <c r="C21" s="3431" t="s">
        <v>14</v>
      </c>
      <c r="D21" s="3431" t="s">
        <v>14</v>
      </c>
      <c r="E21" s="3431" t="s">
        <v>14</v>
      </c>
      <c r="F21" s="3431" t="s">
        <v>14</v>
      </c>
      <c r="G21" s="3431" t="s">
        <v>14</v>
      </c>
      <c r="H21" s="3431" t="s">
        <v>14</v>
      </c>
      <c r="I21" s="3431" t="s">
        <v>14</v>
      </c>
      <c r="J21" s="3431" t="s">
        <v>14</v>
      </c>
      <c r="K21" s="3431" t="s">
        <v>14</v>
      </c>
      <c r="L21" s="3431" t="s">
        <v>14</v>
      </c>
      <c r="M21" s="3431" t="s">
        <v>14</v>
      </c>
      <c r="N21" s="3431" t="s">
        <v>14</v>
      </c>
      <c r="O21" s="3431" t="s">
        <v>14</v>
      </c>
      <c r="P21" s="3431" t="s">
        <v>14</v>
      </c>
      <c r="Q21" s="3431" t="s">
        <v>14</v>
      </c>
      <c r="R21" s="3431" t="s">
        <v>14</v>
      </c>
      <c r="S21" s="3431" t="s">
        <v>14</v>
      </c>
    </row>
    <row r="22" spans="1:19" ht="17.55" customHeight="1" x14ac:dyDescent="0.25">
      <c r="A22" s="3432" t="s">
        <v>33</v>
      </c>
      <c r="B22" s="3432" t="s">
        <v>14</v>
      </c>
      <c r="C22" s="3432" t="s">
        <v>14</v>
      </c>
      <c r="D22" s="3432" t="s">
        <v>14</v>
      </c>
      <c r="E22" s="3432" t="s">
        <v>14</v>
      </c>
      <c r="F22" s="3432" t="s">
        <v>14</v>
      </c>
      <c r="G22" s="3432" t="s">
        <v>14</v>
      </c>
      <c r="H22" s="3432" t="s">
        <v>14</v>
      </c>
      <c r="I22" s="3432" t="s">
        <v>14</v>
      </c>
      <c r="J22" s="3432" t="s">
        <v>14</v>
      </c>
      <c r="K22" s="3432" t="s">
        <v>14</v>
      </c>
      <c r="L22" s="3432" t="s">
        <v>14</v>
      </c>
      <c r="M22" s="3432" t="s">
        <v>14</v>
      </c>
      <c r="N22" s="3432" t="s">
        <v>14</v>
      </c>
      <c r="O22" s="3432" t="s">
        <v>14</v>
      </c>
      <c r="P22" s="3432" t="s">
        <v>14</v>
      </c>
      <c r="Q22" s="3432" t="s">
        <v>14</v>
      </c>
      <c r="R22" s="3432" t="s">
        <v>14</v>
      </c>
      <c r="S22" s="3432" t="s">
        <v>14</v>
      </c>
    </row>
    <row r="23" spans="1:19" ht="47.55" customHeight="1" x14ac:dyDescent="0.25">
      <c r="A23" s="3433" t="s">
        <v>34</v>
      </c>
      <c r="B23" s="3433" t="s">
        <v>14</v>
      </c>
      <c r="C23" s="3433" t="s">
        <v>14</v>
      </c>
      <c r="D23" s="3433" t="s">
        <v>14</v>
      </c>
      <c r="E23" s="3433" t="s">
        <v>14</v>
      </c>
      <c r="F23" s="3433" t="s">
        <v>14</v>
      </c>
      <c r="G23" s="3433" t="s">
        <v>14</v>
      </c>
      <c r="H23" s="3433" t="s">
        <v>14</v>
      </c>
      <c r="I23" s="3433" t="s">
        <v>14</v>
      </c>
      <c r="J23" s="3433" t="s">
        <v>14</v>
      </c>
      <c r="K23" s="3433" t="s">
        <v>14</v>
      </c>
      <c r="L23" s="3433" t="s">
        <v>14</v>
      </c>
      <c r="M23" s="3433" t="s">
        <v>14</v>
      </c>
      <c r="N23" s="3433" t="s">
        <v>14</v>
      </c>
      <c r="O23" s="3433" t="s">
        <v>14</v>
      </c>
      <c r="P23" s="3433" t="s">
        <v>14</v>
      </c>
      <c r="Q23" s="3433" t="s">
        <v>14</v>
      </c>
      <c r="R23" s="3433" t="s">
        <v>14</v>
      </c>
      <c r="S23" s="3433" t="s">
        <v>14</v>
      </c>
    </row>
    <row r="24" spans="1:19" ht="23.55" customHeight="1" x14ac:dyDescent="0.25">
      <c r="A24" s="3434" t="s">
        <v>35</v>
      </c>
      <c r="B24" s="3434" t="s">
        <v>14</v>
      </c>
      <c r="C24" s="3434" t="s">
        <v>14</v>
      </c>
      <c r="D24" s="3434" t="s">
        <v>14</v>
      </c>
      <c r="E24" s="3434" t="s">
        <v>14</v>
      </c>
      <c r="F24" s="3434" t="s">
        <v>14</v>
      </c>
      <c r="G24" s="3434" t="s">
        <v>14</v>
      </c>
      <c r="H24" s="3434" t="s">
        <v>14</v>
      </c>
      <c r="I24" s="3434" t="s">
        <v>14</v>
      </c>
      <c r="J24" s="3434" t="s">
        <v>14</v>
      </c>
      <c r="K24" s="3434" t="s">
        <v>14</v>
      </c>
      <c r="L24" s="3434" t="s">
        <v>14</v>
      </c>
      <c r="M24" s="3434" t="s">
        <v>14</v>
      </c>
      <c r="N24" s="3434" t="s">
        <v>14</v>
      </c>
      <c r="O24" s="3434" t="s">
        <v>14</v>
      </c>
      <c r="P24" s="3434" t="s">
        <v>14</v>
      </c>
      <c r="Q24" s="3434" t="s">
        <v>14</v>
      </c>
      <c r="R24" s="3434" t="s">
        <v>14</v>
      </c>
      <c r="S24" s="3434" t="s">
        <v>14</v>
      </c>
    </row>
    <row r="25" spans="1:19" ht="19.05" customHeight="1" x14ac:dyDescent="0.25">
      <c r="A25" s="3432" t="s">
        <v>36</v>
      </c>
      <c r="B25" s="3432" t="s">
        <v>14</v>
      </c>
      <c r="C25" s="3432" t="s">
        <v>14</v>
      </c>
      <c r="D25" s="3432" t="s">
        <v>14</v>
      </c>
      <c r="E25" s="3432" t="s">
        <v>14</v>
      </c>
      <c r="F25" s="3432" t="s">
        <v>14</v>
      </c>
      <c r="G25" s="3432" t="s">
        <v>14</v>
      </c>
      <c r="H25" s="3432" t="s">
        <v>14</v>
      </c>
      <c r="I25" s="3432" t="s">
        <v>14</v>
      </c>
      <c r="J25" s="3432" t="s">
        <v>14</v>
      </c>
      <c r="K25" s="3432" t="s">
        <v>14</v>
      </c>
      <c r="L25" s="3432" t="s">
        <v>14</v>
      </c>
      <c r="M25" s="3432" t="s">
        <v>14</v>
      </c>
      <c r="N25" s="3432" t="s">
        <v>14</v>
      </c>
      <c r="O25" s="3432" t="s">
        <v>14</v>
      </c>
      <c r="P25" s="3432" t="s">
        <v>14</v>
      </c>
      <c r="Q25" s="3432" t="s">
        <v>14</v>
      </c>
      <c r="R25" s="3432" t="s">
        <v>14</v>
      </c>
      <c r="S25" s="3432" t="s">
        <v>14</v>
      </c>
    </row>
    <row r="26" spans="1:19" ht="58.95" customHeight="1" x14ac:dyDescent="0.25">
      <c r="A26" s="3430" t="s">
        <v>37</v>
      </c>
      <c r="B26" s="3430" t="s">
        <v>14</v>
      </c>
      <c r="C26" s="3430" t="s">
        <v>14</v>
      </c>
      <c r="D26" s="3430" t="s">
        <v>14</v>
      </c>
      <c r="E26" s="3430" t="s">
        <v>14</v>
      </c>
      <c r="F26" s="3430" t="s">
        <v>14</v>
      </c>
      <c r="G26" s="3430" t="s">
        <v>14</v>
      </c>
      <c r="H26" s="3430" t="s">
        <v>14</v>
      </c>
      <c r="I26" s="3430" t="s">
        <v>14</v>
      </c>
      <c r="J26" s="3430" t="s">
        <v>14</v>
      </c>
      <c r="K26" s="3430" t="s">
        <v>14</v>
      </c>
      <c r="L26" s="3430" t="s">
        <v>14</v>
      </c>
      <c r="M26" s="3430" t="s">
        <v>14</v>
      </c>
      <c r="N26" s="3430" t="s">
        <v>14</v>
      </c>
      <c r="O26" s="3430" t="s">
        <v>14</v>
      </c>
      <c r="P26" s="3430" t="s">
        <v>14</v>
      </c>
      <c r="Q26" s="3430" t="s">
        <v>14</v>
      </c>
      <c r="R26" s="3430" t="s">
        <v>14</v>
      </c>
      <c r="S26" s="3430" t="s">
        <v>14</v>
      </c>
    </row>
  </sheetData>
  <mergeCells count="25">
    <mergeCell ref="A7:S7"/>
    <mergeCell ref="A2:S2"/>
    <mergeCell ref="A3:S3"/>
    <mergeCell ref="A4:S4"/>
    <mergeCell ref="A5:S5"/>
    <mergeCell ref="A6:S6"/>
    <mergeCell ref="A19:S19"/>
    <mergeCell ref="A8:S8"/>
    <mergeCell ref="A9:S9"/>
    <mergeCell ref="A10:S10"/>
    <mergeCell ref="A11:S11"/>
    <mergeCell ref="A12:S12"/>
    <mergeCell ref="A13:S13"/>
    <mergeCell ref="A14:S14"/>
    <mergeCell ref="A15:S15"/>
    <mergeCell ref="A16:S16"/>
    <mergeCell ref="A17:S17"/>
    <mergeCell ref="A18:S18"/>
    <mergeCell ref="A26:S26"/>
    <mergeCell ref="A20:S20"/>
    <mergeCell ref="A21:S21"/>
    <mergeCell ref="A22:S22"/>
    <mergeCell ref="A23:S23"/>
    <mergeCell ref="A24:S24"/>
    <mergeCell ref="A25:S25"/>
  </mergeCells>
  <hyperlinks>
    <hyperlink ref="A1" location="ToC!A2" display="Back to Table of Contents" xr:uid="{AC257FF1-8056-4E4C-9FF6-35D5DE48EACE}"/>
  </hyperlinks>
  <pageMargins left="0.5" right="0.5" top="0.5" bottom="0.5" header="0.25" footer="0.25"/>
  <pageSetup scale="55" orientation="landscape" r:id="rId1"/>
  <headerFooter>
    <oddFooter>&amp;L&amp;G&amp;C&amp;"Scotia,Regular"&amp;9Supplementary Financial Information (SFI)&amp;RNotes_1&amp;"Scotia,Regular"&amp;7</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F783-0F86-4B92-993A-72A853E01F43}">
  <sheetPr>
    <pageSetUpPr fitToPage="1"/>
  </sheetPr>
  <dimension ref="A1:N41"/>
  <sheetViews>
    <sheetView showGridLines="0" zoomScaleNormal="100" workbookViewId="0"/>
  </sheetViews>
  <sheetFormatPr defaultColWidth="8.77734375" defaultRowHeight="13.2" x14ac:dyDescent="0.25"/>
  <cols>
    <col min="1" max="1" width="100.77734375" style="22" customWidth="1"/>
    <col min="2" max="14" width="10" style="22" customWidth="1"/>
    <col min="15" max="16384" width="8.77734375" style="22"/>
  </cols>
  <sheetData>
    <row r="1" spans="1:14" ht="19.95" customHeight="1" x14ac:dyDescent="0.25">
      <c r="A1" s="21" t="s">
        <v>12</v>
      </c>
    </row>
    <row r="2" spans="1:14" ht="25.5" customHeight="1" x14ac:dyDescent="0.25">
      <c r="A2" s="3438" t="s">
        <v>38</v>
      </c>
      <c r="B2" s="3438" t="s">
        <v>14</v>
      </c>
      <c r="C2" s="3438" t="s">
        <v>14</v>
      </c>
      <c r="D2" s="3438" t="s">
        <v>14</v>
      </c>
      <c r="E2" s="3438" t="s">
        <v>14</v>
      </c>
      <c r="F2" s="3438" t="s">
        <v>14</v>
      </c>
      <c r="G2" s="3438" t="s">
        <v>14</v>
      </c>
      <c r="H2" s="3438" t="s">
        <v>14</v>
      </c>
      <c r="I2" s="3438" t="s">
        <v>14</v>
      </c>
      <c r="J2" s="3438" t="s">
        <v>14</v>
      </c>
      <c r="K2" s="3438" t="s">
        <v>14</v>
      </c>
      <c r="L2" s="3438" t="s">
        <v>14</v>
      </c>
      <c r="M2" s="3438" t="s">
        <v>14</v>
      </c>
      <c r="N2" s="3438" t="s">
        <v>14</v>
      </c>
    </row>
    <row r="3" spans="1:14" ht="15" customHeight="1" x14ac:dyDescent="0.25">
      <c r="A3" s="3442"/>
      <c r="B3" s="3442" t="s">
        <v>14</v>
      </c>
      <c r="C3" s="3442" t="s">
        <v>14</v>
      </c>
      <c r="D3" s="3442" t="s">
        <v>14</v>
      </c>
      <c r="E3" s="3442" t="s">
        <v>14</v>
      </c>
      <c r="F3" s="3442" t="s">
        <v>14</v>
      </c>
      <c r="G3" s="3442" t="s">
        <v>14</v>
      </c>
      <c r="H3" s="3442" t="s">
        <v>14</v>
      </c>
      <c r="I3" s="3442" t="s">
        <v>14</v>
      </c>
      <c r="J3" s="3442" t="s">
        <v>14</v>
      </c>
      <c r="K3" s="3442" t="s">
        <v>14</v>
      </c>
      <c r="L3" s="3442" t="s">
        <v>14</v>
      </c>
      <c r="M3" s="3442" t="s">
        <v>14</v>
      </c>
      <c r="N3" s="3442" t="s">
        <v>14</v>
      </c>
    </row>
    <row r="4" spans="1:14" ht="15" customHeight="1" x14ac:dyDescent="0.25">
      <c r="A4" s="3443" t="s">
        <v>39</v>
      </c>
      <c r="B4" s="3443" t="s">
        <v>14</v>
      </c>
      <c r="C4" s="3443" t="s">
        <v>14</v>
      </c>
      <c r="D4" s="3443" t="s">
        <v>14</v>
      </c>
      <c r="E4" s="3443" t="s">
        <v>14</v>
      </c>
      <c r="F4" s="3443" t="s">
        <v>14</v>
      </c>
      <c r="G4" s="3443" t="s">
        <v>14</v>
      </c>
      <c r="H4" s="3443" t="s">
        <v>14</v>
      </c>
      <c r="I4" s="3443" t="s">
        <v>14</v>
      </c>
      <c r="J4" s="3443" t="s">
        <v>14</v>
      </c>
      <c r="K4" s="3443" t="s">
        <v>14</v>
      </c>
      <c r="L4" s="3443" t="s">
        <v>14</v>
      </c>
      <c r="M4" s="3443" t="s">
        <v>14</v>
      </c>
      <c r="N4" s="3443" t="s">
        <v>14</v>
      </c>
    </row>
    <row r="5" spans="1:14" ht="15" customHeight="1" x14ac:dyDescent="0.25">
      <c r="A5" s="23" t="s">
        <v>40</v>
      </c>
      <c r="B5" s="3444" t="s">
        <v>41</v>
      </c>
      <c r="C5" s="3444" t="s">
        <v>14</v>
      </c>
      <c r="D5" s="3445" t="s">
        <v>14</v>
      </c>
      <c r="E5" s="3446">
        <v>2024</v>
      </c>
      <c r="F5" s="3447" t="s">
        <v>14</v>
      </c>
      <c r="G5" s="3447" t="s">
        <v>14</v>
      </c>
      <c r="H5" s="3448" t="s">
        <v>14</v>
      </c>
      <c r="I5" s="3446">
        <v>2023</v>
      </c>
      <c r="J5" s="3447" t="s">
        <v>14</v>
      </c>
      <c r="K5" s="3446" t="s">
        <v>42</v>
      </c>
      <c r="L5" s="3449" t="s">
        <v>14</v>
      </c>
      <c r="M5" s="3447" t="s">
        <v>43</v>
      </c>
      <c r="N5" s="3447" t="s">
        <v>14</v>
      </c>
    </row>
    <row r="6" spans="1:14" ht="15" customHeight="1" x14ac:dyDescent="0.25">
      <c r="A6" s="24" t="s">
        <v>44</v>
      </c>
      <c r="B6" s="25" t="s">
        <v>45</v>
      </c>
      <c r="C6" s="26" t="s">
        <v>46</v>
      </c>
      <c r="D6" s="27" t="s">
        <v>47</v>
      </c>
      <c r="E6" s="28" t="s">
        <v>48</v>
      </c>
      <c r="F6" s="26" t="s">
        <v>49</v>
      </c>
      <c r="G6" s="26" t="s">
        <v>46</v>
      </c>
      <c r="H6" s="27" t="s">
        <v>47</v>
      </c>
      <c r="I6" s="28" t="s">
        <v>48</v>
      </c>
      <c r="J6" s="26" t="s">
        <v>49</v>
      </c>
      <c r="K6" s="28">
        <v>2025</v>
      </c>
      <c r="L6" s="29">
        <v>2024</v>
      </c>
      <c r="M6" s="26">
        <v>2024</v>
      </c>
      <c r="N6" s="26">
        <v>2023</v>
      </c>
    </row>
    <row r="7" spans="1:14" ht="15" customHeight="1" x14ac:dyDescent="0.25">
      <c r="A7" s="30" t="s">
        <v>50</v>
      </c>
      <c r="B7" s="31"/>
      <c r="C7" s="31"/>
      <c r="D7" s="32"/>
      <c r="E7" s="33"/>
      <c r="F7" s="34"/>
      <c r="G7" s="31"/>
      <c r="H7" s="32"/>
      <c r="I7" s="33"/>
      <c r="J7" s="34"/>
      <c r="K7" s="33"/>
      <c r="L7" s="35"/>
      <c r="M7" s="34"/>
      <c r="N7" s="34"/>
    </row>
    <row r="8" spans="1:14" ht="15" customHeight="1" x14ac:dyDescent="0.25">
      <c r="A8" s="36" t="s">
        <v>51</v>
      </c>
      <c r="B8" s="37">
        <v>25</v>
      </c>
      <c r="C8" s="37">
        <v>26</v>
      </c>
      <c r="D8" s="38">
        <v>18</v>
      </c>
      <c r="E8" s="39">
        <v>19</v>
      </c>
      <c r="F8" s="37">
        <v>17</v>
      </c>
      <c r="G8" s="37">
        <v>18</v>
      </c>
      <c r="H8" s="38">
        <v>18</v>
      </c>
      <c r="I8" s="40">
        <v>19</v>
      </c>
      <c r="J8" s="37">
        <v>20</v>
      </c>
      <c r="K8" s="40">
        <v>69</v>
      </c>
      <c r="L8" s="41">
        <v>53</v>
      </c>
      <c r="M8" s="37">
        <v>72</v>
      </c>
      <c r="N8" s="37">
        <v>81</v>
      </c>
    </row>
    <row r="9" spans="1:14" ht="15" customHeight="1" x14ac:dyDescent="0.25">
      <c r="A9" s="42" t="s">
        <v>52</v>
      </c>
      <c r="B9" s="43">
        <v>1</v>
      </c>
      <c r="C9" s="43">
        <v>1</v>
      </c>
      <c r="D9" s="44">
        <v>1</v>
      </c>
      <c r="E9" s="45">
        <v>1</v>
      </c>
      <c r="F9" s="43">
        <v>1</v>
      </c>
      <c r="G9" s="43">
        <v>1</v>
      </c>
      <c r="H9" s="44">
        <v>1</v>
      </c>
      <c r="I9" s="46">
        <v>0</v>
      </c>
      <c r="J9" s="43">
        <v>1</v>
      </c>
      <c r="K9" s="46">
        <v>3</v>
      </c>
      <c r="L9" s="47">
        <v>3</v>
      </c>
      <c r="M9" s="43">
        <v>4</v>
      </c>
      <c r="N9" s="43">
        <v>4</v>
      </c>
    </row>
    <row r="10" spans="1:14" ht="15" customHeight="1" x14ac:dyDescent="0.25">
      <c r="A10" s="42" t="s">
        <v>53</v>
      </c>
      <c r="B10" s="43">
        <v>7</v>
      </c>
      <c r="C10" s="43">
        <v>7</v>
      </c>
      <c r="D10" s="44">
        <v>8</v>
      </c>
      <c r="E10" s="45">
        <v>9</v>
      </c>
      <c r="F10" s="43">
        <v>7</v>
      </c>
      <c r="G10" s="43">
        <v>8</v>
      </c>
      <c r="H10" s="44">
        <v>8</v>
      </c>
      <c r="I10" s="46">
        <v>10</v>
      </c>
      <c r="J10" s="43">
        <v>10</v>
      </c>
      <c r="K10" s="46">
        <v>22</v>
      </c>
      <c r="L10" s="47">
        <v>23</v>
      </c>
      <c r="M10" s="43">
        <v>32</v>
      </c>
      <c r="N10" s="43">
        <v>41</v>
      </c>
    </row>
    <row r="11" spans="1:14" ht="15" customHeight="1" x14ac:dyDescent="0.25">
      <c r="A11" s="42" t="s">
        <v>54</v>
      </c>
      <c r="B11" s="43">
        <v>9</v>
      </c>
      <c r="C11" s="43">
        <v>9</v>
      </c>
      <c r="D11" s="44">
        <v>9</v>
      </c>
      <c r="E11" s="45">
        <v>9</v>
      </c>
      <c r="F11" s="43">
        <v>9</v>
      </c>
      <c r="G11" s="43">
        <v>9</v>
      </c>
      <c r="H11" s="44">
        <v>9</v>
      </c>
      <c r="I11" s="46">
        <v>9</v>
      </c>
      <c r="J11" s="43">
        <v>9</v>
      </c>
      <c r="K11" s="46">
        <v>27</v>
      </c>
      <c r="L11" s="47">
        <v>27</v>
      </c>
      <c r="M11" s="43">
        <v>36</v>
      </c>
      <c r="N11" s="43">
        <v>36</v>
      </c>
    </row>
    <row r="12" spans="1:14" ht="15" customHeight="1" x14ac:dyDescent="0.25">
      <c r="A12" s="42" t="s">
        <v>55</v>
      </c>
      <c r="B12" s="43">
        <v>8</v>
      </c>
      <c r="C12" s="43">
        <v>9</v>
      </c>
      <c r="D12" s="44">
        <v>0</v>
      </c>
      <c r="E12" s="45">
        <v>0</v>
      </c>
      <c r="F12" s="43">
        <v>0</v>
      </c>
      <c r="G12" s="43">
        <v>0</v>
      </c>
      <c r="H12" s="44">
        <v>0</v>
      </c>
      <c r="I12" s="46">
        <v>0</v>
      </c>
      <c r="J12" s="43">
        <v>0</v>
      </c>
      <c r="K12" s="46">
        <v>17</v>
      </c>
      <c r="L12" s="47">
        <v>0</v>
      </c>
      <c r="M12" s="43">
        <v>0</v>
      </c>
      <c r="N12" s="43">
        <v>0</v>
      </c>
    </row>
    <row r="13" spans="1:14" ht="15" customHeight="1" x14ac:dyDescent="0.25">
      <c r="A13" s="48" t="s">
        <v>56</v>
      </c>
      <c r="B13" s="43"/>
      <c r="C13" s="43"/>
      <c r="D13" s="44"/>
      <c r="E13" s="45"/>
      <c r="F13" s="43"/>
      <c r="G13" s="43"/>
      <c r="H13" s="44"/>
      <c r="I13" s="46"/>
      <c r="J13" s="43"/>
      <c r="K13" s="46"/>
      <c r="L13" s="47"/>
      <c r="M13" s="43"/>
      <c r="N13" s="43"/>
    </row>
    <row r="14" spans="1:14" ht="15" customHeight="1" x14ac:dyDescent="0.25">
      <c r="A14" s="36" t="s">
        <v>57</v>
      </c>
      <c r="B14" s="37">
        <v>-23</v>
      </c>
      <c r="C14" s="37">
        <v>35</v>
      </c>
      <c r="D14" s="38">
        <v>1362</v>
      </c>
      <c r="E14" s="39">
        <v>0</v>
      </c>
      <c r="F14" s="37">
        <v>136</v>
      </c>
      <c r="G14" s="37">
        <v>0</v>
      </c>
      <c r="H14" s="38">
        <v>0</v>
      </c>
      <c r="I14" s="40">
        <v>-367</v>
      </c>
      <c r="J14" s="37">
        <v>0</v>
      </c>
      <c r="K14" s="40">
        <v>1374</v>
      </c>
      <c r="L14" s="41">
        <v>136</v>
      </c>
      <c r="M14" s="37">
        <v>136</v>
      </c>
      <c r="N14" s="37">
        <v>-367</v>
      </c>
    </row>
    <row r="15" spans="1:14" ht="15" customHeight="1" x14ac:dyDescent="0.25">
      <c r="A15" s="36" t="s">
        <v>58</v>
      </c>
      <c r="B15" s="37">
        <v>0</v>
      </c>
      <c r="C15" s="37">
        <v>0</v>
      </c>
      <c r="D15" s="38">
        <v>0</v>
      </c>
      <c r="E15" s="39">
        <v>440</v>
      </c>
      <c r="F15" s="37">
        <v>0</v>
      </c>
      <c r="G15" s="37">
        <v>0</v>
      </c>
      <c r="H15" s="38">
        <v>0</v>
      </c>
      <c r="I15" s="40">
        <v>346</v>
      </c>
      <c r="J15" s="37">
        <v>0</v>
      </c>
      <c r="K15" s="40">
        <v>0</v>
      </c>
      <c r="L15" s="41">
        <v>0</v>
      </c>
      <c r="M15" s="37">
        <v>440</v>
      </c>
      <c r="N15" s="37">
        <v>346</v>
      </c>
    </row>
    <row r="16" spans="1:14" ht="15" customHeight="1" x14ac:dyDescent="0.25">
      <c r="A16" s="36" t="s">
        <v>59</v>
      </c>
      <c r="B16" s="37">
        <v>0</v>
      </c>
      <c r="C16" s="37">
        <v>0</v>
      </c>
      <c r="D16" s="38">
        <v>0</v>
      </c>
      <c r="E16" s="39">
        <v>53</v>
      </c>
      <c r="F16" s="37">
        <v>0</v>
      </c>
      <c r="G16" s="37">
        <v>0</v>
      </c>
      <c r="H16" s="38">
        <v>0</v>
      </c>
      <c r="I16" s="40">
        <v>354</v>
      </c>
      <c r="J16" s="37">
        <v>0</v>
      </c>
      <c r="K16" s="40">
        <v>0</v>
      </c>
      <c r="L16" s="41">
        <v>0</v>
      </c>
      <c r="M16" s="37">
        <v>53</v>
      </c>
      <c r="N16" s="37">
        <v>354</v>
      </c>
    </row>
    <row r="17" spans="1:14" ht="15" customHeight="1" x14ac:dyDescent="0.25">
      <c r="A17" s="36" t="s">
        <v>60</v>
      </c>
      <c r="B17" s="37">
        <v>0</v>
      </c>
      <c r="C17" s="37">
        <v>0</v>
      </c>
      <c r="D17" s="38">
        <v>0</v>
      </c>
      <c r="E17" s="39">
        <v>0</v>
      </c>
      <c r="F17" s="37">
        <v>176</v>
      </c>
      <c r="G17" s="37">
        <v>0</v>
      </c>
      <c r="H17" s="38">
        <v>0</v>
      </c>
      <c r="I17" s="40">
        <v>0</v>
      </c>
      <c r="J17" s="37">
        <v>0</v>
      </c>
      <c r="K17" s="40">
        <v>0</v>
      </c>
      <c r="L17" s="41">
        <v>176</v>
      </c>
      <c r="M17" s="37">
        <v>176</v>
      </c>
      <c r="N17" s="37">
        <v>0</v>
      </c>
    </row>
    <row r="18" spans="1:14" ht="14.1" customHeight="1" x14ac:dyDescent="0.25">
      <c r="A18" s="36" t="s">
        <v>61</v>
      </c>
      <c r="B18" s="37">
        <v>0</v>
      </c>
      <c r="C18" s="37">
        <v>0</v>
      </c>
      <c r="D18" s="38">
        <v>0</v>
      </c>
      <c r="E18" s="39">
        <v>0</v>
      </c>
      <c r="F18" s="37">
        <v>0</v>
      </c>
      <c r="G18" s="37">
        <v>0</v>
      </c>
      <c r="H18" s="38">
        <v>0</v>
      </c>
      <c r="I18" s="40">
        <v>87</v>
      </c>
      <c r="J18" s="37">
        <v>0</v>
      </c>
      <c r="K18" s="40">
        <v>0</v>
      </c>
      <c r="L18" s="41">
        <v>0</v>
      </c>
      <c r="M18" s="37">
        <v>0</v>
      </c>
      <c r="N18" s="37">
        <v>87</v>
      </c>
    </row>
    <row r="19" spans="1:14" ht="15" customHeight="1" x14ac:dyDescent="0.25">
      <c r="A19" s="49" t="s">
        <v>62</v>
      </c>
      <c r="B19" s="50">
        <v>2</v>
      </c>
      <c r="C19" s="50">
        <v>61</v>
      </c>
      <c r="D19" s="51">
        <v>1380</v>
      </c>
      <c r="E19" s="52">
        <v>512</v>
      </c>
      <c r="F19" s="50">
        <v>329</v>
      </c>
      <c r="G19" s="50">
        <v>18</v>
      </c>
      <c r="H19" s="51">
        <v>18</v>
      </c>
      <c r="I19" s="53">
        <v>439</v>
      </c>
      <c r="J19" s="50">
        <v>20</v>
      </c>
      <c r="K19" s="53">
        <v>1443</v>
      </c>
      <c r="L19" s="54">
        <v>365</v>
      </c>
      <c r="M19" s="50">
        <v>877</v>
      </c>
      <c r="N19" s="50">
        <v>501</v>
      </c>
    </row>
    <row r="20" spans="1:14" ht="15" customHeight="1" x14ac:dyDescent="0.25">
      <c r="A20" s="49"/>
      <c r="B20" s="50"/>
      <c r="C20" s="50"/>
      <c r="D20" s="51"/>
      <c r="E20" s="55"/>
      <c r="F20" s="50"/>
      <c r="G20" s="50"/>
      <c r="H20" s="51"/>
      <c r="I20" s="53"/>
      <c r="J20" s="50"/>
      <c r="K20" s="53"/>
      <c r="L20" s="54"/>
      <c r="M20" s="50"/>
      <c r="N20" s="50"/>
    </row>
    <row r="21" spans="1:14" ht="15" customHeight="1" x14ac:dyDescent="0.25">
      <c r="A21" s="24" t="s">
        <v>63</v>
      </c>
      <c r="B21" s="56"/>
      <c r="C21" s="56"/>
      <c r="D21" s="57"/>
      <c r="E21" s="55"/>
      <c r="F21" s="56"/>
      <c r="G21" s="56"/>
      <c r="H21" s="57"/>
      <c r="I21" s="58"/>
      <c r="J21" s="56"/>
      <c r="K21" s="58"/>
      <c r="L21" s="59"/>
      <c r="M21" s="56"/>
      <c r="N21" s="56"/>
    </row>
    <row r="22" spans="1:14" ht="15" customHeight="1" x14ac:dyDescent="0.25">
      <c r="A22" s="30" t="s">
        <v>50</v>
      </c>
      <c r="B22" s="60"/>
      <c r="C22" s="60"/>
      <c r="D22" s="61"/>
      <c r="E22" s="62"/>
      <c r="F22" s="60"/>
      <c r="G22" s="60"/>
      <c r="H22" s="61"/>
      <c r="I22" s="63"/>
      <c r="J22" s="60"/>
      <c r="K22" s="63"/>
      <c r="L22" s="64"/>
      <c r="M22" s="60"/>
      <c r="N22" s="60"/>
    </row>
    <row r="23" spans="1:14" ht="15" customHeight="1" x14ac:dyDescent="0.25">
      <c r="A23" s="36" t="s">
        <v>64</v>
      </c>
      <c r="B23" s="37">
        <v>20</v>
      </c>
      <c r="C23" s="37">
        <v>20</v>
      </c>
      <c r="D23" s="38">
        <v>14</v>
      </c>
      <c r="E23" s="39">
        <v>13</v>
      </c>
      <c r="F23" s="37">
        <v>13</v>
      </c>
      <c r="G23" s="37">
        <v>13</v>
      </c>
      <c r="H23" s="38">
        <v>13</v>
      </c>
      <c r="I23" s="40">
        <v>14</v>
      </c>
      <c r="J23" s="37">
        <v>15</v>
      </c>
      <c r="K23" s="40">
        <v>54</v>
      </c>
      <c r="L23" s="41">
        <v>39</v>
      </c>
      <c r="M23" s="37">
        <v>52</v>
      </c>
      <c r="N23" s="37">
        <v>59</v>
      </c>
    </row>
    <row r="24" spans="1:14" ht="15" customHeight="1" x14ac:dyDescent="0.25">
      <c r="A24" s="42" t="s">
        <v>52</v>
      </c>
      <c r="B24" s="43">
        <v>1</v>
      </c>
      <c r="C24" s="43">
        <v>0</v>
      </c>
      <c r="D24" s="44">
        <v>1</v>
      </c>
      <c r="E24" s="45">
        <v>1</v>
      </c>
      <c r="F24" s="43">
        <v>1</v>
      </c>
      <c r="G24" s="43">
        <v>0</v>
      </c>
      <c r="H24" s="44">
        <v>1</v>
      </c>
      <c r="I24" s="46">
        <v>0</v>
      </c>
      <c r="J24" s="43">
        <v>1</v>
      </c>
      <c r="K24" s="46">
        <v>2</v>
      </c>
      <c r="L24" s="47">
        <v>2</v>
      </c>
      <c r="M24" s="43">
        <v>3</v>
      </c>
      <c r="N24" s="43">
        <v>3</v>
      </c>
    </row>
    <row r="25" spans="1:14" ht="15" customHeight="1" x14ac:dyDescent="0.25">
      <c r="A25" s="42" t="s">
        <v>53</v>
      </c>
      <c r="B25" s="43">
        <v>5</v>
      </c>
      <c r="C25" s="43">
        <v>5</v>
      </c>
      <c r="D25" s="44">
        <v>6</v>
      </c>
      <c r="E25" s="45">
        <v>6</v>
      </c>
      <c r="F25" s="43">
        <v>5</v>
      </c>
      <c r="G25" s="43">
        <v>6</v>
      </c>
      <c r="H25" s="44">
        <v>6</v>
      </c>
      <c r="I25" s="46">
        <v>8</v>
      </c>
      <c r="J25" s="43">
        <v>7</v>
      </c>
      <c r="K25" s="46">
        <v>16</v>
      </c>
      <c r="L25" s="47">
        <v>17</v>
      </c>
      <c r="M25" s="43">
        <v>23</v>
      </c>
      <c r="N25" s="43">
        <v>30</v>
      </c>
    </row>
    <row r="26" spans="1:14" ht="15" customHeight="1" x14ac:dyDescent="0.25">
      <c r="A26" s="42" t="s">
        <v>54</v>
      </c>
      <c r="B26" s="43">
        <v>7</v>
      </c>
      <c r="C26" s="43">
        <v>6</v>
      </c>
      <c r="D26" s="44">
        <v>7</v>
      </c>
      <c r="E26" s="45">
        <v>6</v>
      </c>
      <c r="F26" s="43">
        <v>7</v>
      </c>
      <c r="G26" s="43">
        <v>7</v>
      </c>
      <c r="H26" s="44">
        <v>6</v>
      </c>
      <c r="I26" s="46">
        <v>6</v>
      </c>
      <c r="J26" s="43">
        <v>7</v>
      </c>
      <c r="K26" s="46">
        <v>20</v>
      </c>
      <c r="L26" s="47">
        <v>20</v>
      </c>
      <c r="M26" s="43">
        <v>26</v>
      </c>
      <c r="N26" s="43">
        <v>26</v>
      </c>
    </row>
    <row r="27" spans="1:14" ht="15" customHeight="1" x14ac:dyDescent="0.25">
      <c r="A27" s="42" t="s">
        <v>55</v>
      </c>
      <c r="B27" s="43">
        <v>7</v>
      </c>
      <c r="C27" s="43">
        <v>9</v>
      </c>
      <c r="D27" s="44">
        <v>0</v>
      </c>
      <c r="E27" s="45">
        <v>0</v>
      </c>
      <c r="F27" s="43">
        <v>0</v>
      </c>
      <c r="G27" s="43">
        <v>0</v>
      </c>
      <c r="H27" s="44">
        <v>0</v>
      </c>
      <c r="I27" s="46">
        <v>0</v>
      </c>
      <c r="J27" s="43">
        <v>0</v>
      </c>
      <c r="K27" s="46">
        <v>16</v>
      </c>
      <c r="L27" s="47">
        <v>0</v>
      </c>
      <c r="M27" s="43">
        <v>0</v>
      </c>
      <c r="N27" s="43">
        <v>0</v>
      </c>
    </row>
    <row r="28" spans="1:14" ht="15" customHeight="1" x14ac:dyDescent="0.25">
      <c r="A28" s="48" t="s">
        <v>56</v>
      </c>
      <c r="B28" s="43"/>
      <c r="C28" s="43"/>
      <c r="D28" s="44"/>
      <c r="E28" s="45"/>
      <c r="F28" s="43"/>
      <c r="G28" s="43"/>
      <c r="H28" s="44"/>
      <c r="I28" s="46"/>
      <c r="J28" s="43"/>
      <c r="K28" s="46"/>
      <c r="L28" s="47"/>
      <c r="M28" s="43"/>
      <c r="N28" s="43"/>
    </row>
    <row r="29" spans="1:14" ht="15" customHeight="1" x14ac:dyDescent="0.25">
      <c r="A29" s="36" t="s">
        <v>57</v>
      </c>
      <c r="B29" s="37">
        <v>8</v>
      </c>
      <c r="C29" s="37">
        <v>36</v>
      </c>
      <c r="D29" s="38">
        <v>1164</v>
      </c>
      <c r="E29" s="39">
        <v>0</v>
      </c>
      <c r="F29" s="37">
        <v>89</v>
      </c>
      <c r="G29" s="37">
        <v>0</v>
      </c>
      <c r="H29" s="38">
        <v>0</v>
      </c>
      <c r="I29" s="40">
        <v>-319</v>
      </c>
      <c r="J29" s="37">
        <v>0</v>
      </c>
      <c r="K29" s="40">
        <v>1208</v>
      </c>
      <c r="L29" s="41">
        <v>89</v>
      </c>
      <c r="M29" s="37">
        <v>89</v>
      </c>
      <c r="N29" s="37">
        <v>-319</v>
      </c>
    </row>
    <row r="30" spans="1:14" ht="15" customHeight="1" x14ac:dyDescent="0.25">
      <c r="A30" s="36" t="s">
        <v>58</v>
      </c>
      <c r="B30" s="65">
        <v>0</v>
      </c>
      <c r="C30" s="65">
        <v>0</v>
      </c>
      <c r="D30" s="38">
        <v>0</v>
      </c>
      <c r="E30" s="39">
        <v>379</v>
      </c>
      <c r="F30" s="37">
        <v>0</v>
      </c>
      <c r="G30" s="37">
        <v>0</v>
      </c>
      <c r="H30" s="38">
        <v>0</v>
      </c>
      <c r="I30" s="40">
        <v>272</v>
      </c>
      <c r="J30" s="37">
        <v>0</v>
      </c>
      <c r="K30" s="40">
        <v>0</v>
      </c>
      <c r="L30" s="41">
        <v>0</v>
      </c>
      <c r="M30" s="37">
        <v>379</v>
      </c>
      <c r="N30" s="37">
        <v>272</v>
      </c>
    </row>
    <row r="31" spans="1:14" ht="15" customHeight="1" x14ac:dyDescent="0.25">
      <c r="A31" s="36" t="s">
        <v>59</v>
      </c>
      <c r="B31" s="37">
        <v>0</v>
      </c>
      <c r="C31" s="37">
        <v>0</v>
      </c>
      <c r="D31" s="38">
        <v>0</v>
      </c>
      <c r="E31" s="39">
        <v>38</v>
      </c>
      <c r="F31" s="37">
        <v>0</v>
      </c>
      <c r="G31" s="37">
        <v>0</v>
      </c>
      <c r="H31" s="38">
        <v>0</v>
      </c>
      <c r="I31" s="40">
        <v>256</v>
      </c>
      <c r="J31" s="37">
        <v>0</v>
      </c>
      <c r="K31" s="40">
        <v>0</v>
      </c>
      <c r="L31" s="41">
        <v>0</v>
      </c>
      <c r="M31" s="37">
        <v>38</v>
      </c>
      <c r="N31" s="37">
        <v>256</v>
      </c>
    </row>
    <row r="32" spans="1:14" ht="15" customHeight="1" x14ac:dyDescent="0.25">
      <c r="A32" s="36" t="s">
        <v>60</v>
      </c>
      <c r="B32" s="37">
        <v>0</v>
      </c>
      <c r="C32" s="37">
        <v>0</v>
      </c>
      <c r="D32" s="38">
        <v>0</v>
      </c>
      <c r="E32" s="39">
        <v>0</v>
      </c>
      <c r="F32" s="37">
        <v>175</v>
      </c>
      <c r="G32" s="37">
        <v>0</v>
      </c>
      <c r="H32" s="38">
        <v>0</v>
      </c>
      <c r="I32" s="40">
        <v>0</v>
      </c>
      <c r="J32" s="37">
        <v>0</v>
      </c>
      <c r="K32" s="40">
        <v>0</v>
      </c>
      <c r="L32" s="41">
        <v>175</v>
      </c>
      <c r="M32" s="37">
        <v>175</v>
      </c>
      <c r="N32" s="37">
        <v>0</v>
      </c>
    </row>
    <row r="33" spans="1:14" ht="15" customHeight="1" x14ac:dyDescent="0.25">
      <c r="A33" s="36" t="s">
        <v>61</v>
      </c>
      <c r="B33" s="37">
        <v>0</v>
      </c>
      <c r="C33" s="37">
        <v>0</v>
      </c>
      <c r="D33" s="38">
        <v>0</v>
      </c>
      <c r="E33" s="39">
        <v>0</v>
      </c>
      <c r="F33" s="37">
        <v>0</v>
      </c>
      <c r="G33" s="37">
        <v>0</v>
      </c>
      <c r="H33" s="38">
        <v>0</v>
      </c>
      <c r="I33" s="40">
        <v>63</v>
      </c>
      <c r="J33" s="37">
        <v>0</v>
      </c>
      <c r="K33" s="40">
        <v>0</v>
      </c>
      <c r="L33" s="41">
        <v>0</v>
      </c>
      <c r="M33" s="37">
        <v>0</v>
      </c>
      <c r="N33" s="37">
        <v>63</v>
      </c>
    </row>
    <row r="34" spans="1:14" ht="15" customHeight="1" x14ac:dyDescent="0.25">
      <c r="A34" s="36" t="s">
        <v>65</v>
      </c>
      <c r="B34" s="37">
        <v>0</v>
      </c>
      <c r="C34" s="37">
        <v>0</v>
      </c>
      <c r="D34" s="38">
        <v>0</v>
      </c>
      <c r="E34" s="39">
        <v>0</v>
      </c>
      <c r="F34" s="37">
        <v>0</v>
      </c>
      <c r="G34" s="37">
        <v>0</v>
      </c>
      <c r="H34" s="38">
        <v>0</v>
      </c>
      <c r="I34" s="40">
        <v>0</v>
      </c>
      <c r="J34" s="37">
        <v>0</v>
      </c>
      <c r="K34" s="40">
        <v>0</v>
      </c>
      <c r="L34" s="41">
        <v>0</v>
      </c>
      <c r="M34" s="37">
        <v>0</v>
      </c>
      <c r="N34" s="37">
        <v>579</v>
      </c>
    </row>
    <row r="35" spans="1:14" ht="15" customHeight="1" x14ac:dyDescent="0.25">
      <c r="A35" s="49" t="s">
        <v>66</v>
      </c>
      <c r="B35" s="50">
        <v>28</v>
      </c>
      <c r="C35" s="50">
        <v>56</v>
      </c>
      <c r="D35" s="51">
        <v>1178</v>
      </c>
      <c r="E35" s="52">
        <v>430</v>
      </c>
      <c r="F35" s="50">
        <v>277</v>
      </c>
      <c r="G35" s="50">
        <v>13</v>
      </c>
      <c r="H35" s="51">
        <v>13</v>
      </c>
      <c r="I35" s="53">
        <v>286</v>
      </c>
      <c r="J35" s="50">
        <v>15</v>
      </c>
      <c r="K35" s="53">
        <v>1262</v>
      </c>
      <c r="L35" s="50">
        <v>303</v>
      </c>
      <c r="M35" s="53">
        <v>733</v>
      </c>
      <c r="N35" s="50">
        <v>910</v>
      </c>
    </row>
    <row r="36" spans="1:14" ht="3" customHeight="1" x14ac:dyDescent="0.25">
      <c r="A36" s="66"/>
      <c r="B36" s="67"/>
      <c r="C36" s="68"/>
      <c r="D36" s="68"/>
      <c r="E36" s="68"/>
      <c r="F36" s="68"/>
      <c r="G36" s="68"/>
      <c r="H36" s="68"/>
      <c r="I36" s="68"/>
      <c r="J36" s="68"/>
      <c r="K36" s="68"/>
      <c r="L36" s="68"/>
      <c r="M36" s="68"/>
      <c r="N36" s="68"/>
    </row>
    <row r="37" spans="1:14" ht="11.55" customHeight="1" x14ac:dyDescent="0.25">
      <c r="A37" s="3439" t="s">
        <v>67</v>
      </c>
      <c r="B37" s="3440" t="s">
        <v>14</v>
      </c>
      <c r="C37" s="3440" t="s">
        <v>14</v>
      </c>
      <c r="D37" s="3440" t="s">
        <v>14</v>
      </c>
      <c r="E37" s="3440" t="s">
        <v>14</v>
      </c>
      <c r="F37" s="3440" t="s">
        <v>14</v>
      </c>
      <c r="G37" s="3440" t="s">
        <v>14</v>
      </c>
      <c r="H37" s="3440" t="s">
        <v>14</v>
      </c>
      <c r="I37" s="3440" t="s">
        <v>14</v>
      </c>
      <c r="J37" s="3440" t="s">
        <v>14</v>
      </c>
      <c r="K37" s="3440" t="s">
        <v>14</v>
      </c>
      <c r="L37" s="3440" t="s">
        <v>14</v>
      </c>
      <c r="M37" s="3440" t="s">
        <v>14</v>
      </c>
      <c r="N37" s="3440" t="s">
        <v>14</v>
      </c>
    </row>
    <row r="38" spans="1:14" ht="11.55" customHeight="1" x14ac:dyDescent="0.25">
      <c r="A38" s="3439" t="s">
        <v>68</v>
      </c>
      <c r="B38" s="3439" t="s">
        <v>14</v>
      </c>
      <c r="C38" s="3439" t="s">
        <v>14</v>
      </c>
      <c r="D38" s="3439" t="s">
        <v>14</v>
      </c>
      <c r="E38" s="3439" t="s">
        <v>14</v>
      </c>
      <c r="F38" s="3439" t="s">
        <v>14</v>
      </c>
      <c r="G38" s="3439" t="s">
        <v>14</v>
      </c>
      <c r="H38" s="3439" t="s">
        <v>14</v>
      </c>
      <c r="I38" s="3439" t="s">
        <v>14</v>
      </c>
      <c r="J38" s="3439" t="s">
        <v>14</v>
      </c>
      <c r="K38" s="3439" t="s">
        <v>14</v>
      </c>
      <c r="L38" s="3439" t="s">
        <v>14</v>
      </c>
      <c r="M38" s="3439" t="s">
        <v>14</v>
      </c>
      <c r="N38" s="3439" t="s">
        <v>14</v>
      </c>
    </row>
    <row r="39" spans="1:14" ht="18.45" customHeight="1" x14ac:dyDescent="0.25">
      <c r="A39" s="3441" t="s">
        <v>69</v>
      </c>
      <c r="B39" s="3441" t="s">
        <v>14</v>
      </c>
      <c r="C39" s="3441" t="s">
        <v>14</v>
      </c>
      <c r="D39" s="3441" t="s">
        <v>14</v>
      </c>
      <c r="E39" s="3441" t="s">
        <v>14</v>
      </c>
      <c r="F39" s="3441" t="s">
        <v>14</v>
      </c>
      <c r="G39" s="3441" t="s">
        <v>14</v>
      </c>
      <c r="H39" s="3441" t="s">
        <v>14</v>
      </c>
      <c r="I39" s="3441" t="s">
        <v>14</v>
      </c>
      <c r="J39" s="3441" t="s">
        <v>14</v>
      </c>
      <c r="K39" s="3441" t="s">
        <v>14</v>
      </c>
      <c r="L39" s="3441" t="s">
        <v>14</v>
      </c>
      <c r="M39" s="3441" t="s">
        <v>14</v>
      </c>
      <c r="N39" s="3441" t="s">
        <v>14</v>
      </c>
    </row>
    <row r="40" spans="1:14" ht="11.55" customHeight="1" x14ac:dyDescent="0.25">
      <c r="A40" s="3439" t="s">
        <v>70</v>
      </c>
      <c r="B40" s="3440" t="s">
        <v>14</v>
      </c>
      <c r="C40" s="3440" t="s">
        <v>14</v>
      </c>
      <c r="D40" s="3440" t="s">
        <v>14</v>
      </c>
      <c r="E40" s="3440" t="s">
        <v>14</v>
      </c>
      <c r="F40" s="3440" t="s">
        <v>14</v>
      </c>
      <c r="G40" s="3440" t="s">
        <v>14</v>
      </c>
      <c r="H40" s="3440" t="s">
        <v>14</v>
      </c>
      <c r="I40" s="3440" t="s">
        <v>14</v>
      </c>
      <c r="J40" s="3440" t="s">
        <v>14</v>
      </c>
      <c r="K40" s="3440" t="s">
        <v>14</v>
      </c>
      <c r="L40" s="3440" t="s">
        <v>14</v>
      </c>
      <c r="M40" s="3440" t="s">
        <v>14</v>
      </c>
      <c r="N40" s="3440" t="s">
        <v>14</v>
      </c>
    </row>
    <row r="41" spans="1:14" ht="10.35" customHeight="1" x14ac:dyDescent="0.25">
      <c r="A41" s="3439" t="s">
        <v>71</v>
      </c>
      <c r="B41" s="3440" t="s">
        <v>14</v>
      </c>
      <c r="C41" s="3440" t="s">
        <v>14</v>
      </c>
      <c r="D41" s="3440" t="s">
        <v>14</v>
      </c>
      <c r="E41" s="3440" t="s">
        <v>14</v>
      </c>
      <c r="F41" s="3440" t="s">
        <v>14</v>
      </c>
      <c r="G41" s="3440" t="s">
        <v>14</v>
      </c>
      <c r="H41" s="3440" t="s">
        <v>14</v>
      </c>
      <c r="I41" s="3440" t="s">
        <v>14</v>
      </c>
      <c r="J41" s="3440" t="s">
        <v>14</v>
      </c>
      <c r="K41" s="3440" t="s">
        <v>14</v>
      </c>
      <c r="L41" s="3440" t="s">
        <v>14</v>
      </c>
      <c r="M41" s="3440" t="s">
        <v>14</v>
      </c>
      <c r="N41" s="3440" t="s">
        <v>14</v>
      </c>
    </row>
  </sheetData>
  <mergeCells count="13">
    <mergeCell ref="A2:N2"/>
    <mergeCell ref="A3:N3"/>
    <mergeCell ref="A4:N4"/>
    <mergeCell ref="B5:D5"/>
    <mergeCell ref="E5:H5"/>
    <mergeCell ref="I5:J5"/>
    <mergeCell ref="K5:L5"/>
    <mergeCell ref="M5:N5"/>
    <mergeCell ref="A37:N37"/>
    <mergeCell ref="A38:N38"/>
    <mergeCell ref="A39:N39"/>
    <mergeCell ref="A40:N40"/>
    <mergeCell ref="A41:N41"/>
  </mergeCells>
  <hyperlinks>
    <hyperlink ref="A1" location="ToC!A2" display="Back to Table of Contents" xr:uid="{7AAB8884-E99C-4680-9506-B5FBA36366A1}"/>
  </hyperlinks>
  <pageMargins left="0.5" right="0.5" top="0.5" bottom="0.5" header="0.25" footer="0.25"/>
  <pageSetup scale="55" orientation="landscape" r:id="rId1"/>
  <headerFooter>
    <oddFooter>&amp;L&amp;G&amp;C&amp;"Scotia,Regular"&amp;9Supplementary Financial Information (SFI)&amp;RNotes_2&amp;"Scotia,Regular"&amp;7</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9C8F-4FAD-46E4-9E74-E51E2BF7D668}">
  <sheetPr>
    <pageSetUpPr fitToPage="1"/>
  </sheetPr>
  <dimension ref="A1:N7"/>
  <sheetViews>
    <sheetView showGridLines="0" zoomScaleNormal="100" workbookViewId="0"/>
  </sheetViews>
  <sheetFormatPr defaultColWidth="8.77734375" defaultRowHeight="13.2" x14ac:dyDescent="0.25"/>
  <cols>
    <col min="1" max="1" width="86.77734375" style="22" customWidth="1"/>
    <col min="2" max="13" width="7.21875" style="22" customWidth="1"/>
    <col min="14" max="14" width="5" style="22" customWidth="1"/>
    <col min="15" max="16384" width="8.77734375" style="22"/>
  </cols>
  <sheetData>
    <row r="1" spans="1:14" ht="19.95" customHeight="1" x14ac:dyDescent="0.25">
      <c r="A1" s="21" t="s">
        <v>12</v>
      </c>
    </row>
    <row r="2" spans="1:14" ht="25.05" customHeight="1" x14ac:dyDescent="0.25">
      <c r="A2" s="3438" t="s">
        <v>38</v>
      </c>
      <c r="B2" s="3438" t="s">
        <v>14</v>
      </c>
      <c r="C2" s="3438" t="s">
        <v>14</v>
      </c>
      <c r="D2" s="3438" t="s">
        <v>14</v>
      </c>
      <c r="E2" s="3438" t="s">
        <v>14</v>
      </c>
      <c r="F2" s="3438" t="s">
        <v>14</v>
      </c>
      <c r="G2" s="3438" t="s">
        <v>14</v>
      </c>
      <c r="H2" s="3438" t="s">
        <v>14</v>
      </c>
      <c r="I2" s="3438" t="s">
        <v>14</v>
      </c>
      <c r="J2" s="3438" t="s">
        <v>14</v>
      </c>
      <c r="K2" s="3438" t="s">
        <v>14</v>
      </c>
      <c r="L2" s="3438" t="s">
        <v>14</v>
      </c>
      <c r="M2" s="3438" t="s">
        <v>14</v>
      </c>
      <c r="N2" s="3438" t="s">
        <v>14</v>
      </c>
    </row>
    <row r="3" spans="1:14" ht="30" customHeight="1" x14ac:dyDescent="0.25">
      <c r="A3" s="3450" t="s">
        <v>72</v>
      </c>
      <c r="B3" s="3450" t="s">
        <v>14</v>
      </c>
      <c r="C3" s="3450" t="s">
        <v>14</v>
      </c>
      <c r="D3" s="3450" t="s">
        <v>14</v>
      </c>
      <c r="E3" s="3450" t="s">
        <v>14</v>
      </c>
      <c r="F3" s="3450" t="s">
        <v>14</v>
      </c>
      <c r="G3" s="3450" t="s">
        <v>14</v>
      </c>
      <c r="H3" s="3450" t="s">
        <v>14</v>
      </c>
      <c r="I3" s="3450" t="s">
        <v>14</v>
      </c>
      <c r="J3" s="3450" t="s">
        <v>14</v>
      </c>
      <c r="K3" s="3450" t="s">
        <v>14</v>
      </c>
      <c r="L3" s="3450" t="s">
        <v>14</v>
      </c>
      <c r="M3" s="3450" t="s">
        <v>14</v>
      </c>
      <c r="N3" s="3450" t="s">
        <v>14</v>
      </c>
    </row>
    <row r="4" spans="1:14" ht="70.05" customHeight="1" x14ac:dyDescent="0.25">
      <c r="A4" s="3436" t="s">
        <v>73</v>
      </c>
      <c r="B4" s="3436" t="s">
        <v>14</v>
      </c>
      <c r="C4" s="3436" t="s">
        <v>14</v>
      </c>
      <c r="D4" s="3436" t="s">
        <v>14</v>
      </c>
      <c r="E4" s="3436" t="s">
        <v>14</v>
      </c>
      <c r="F4" s="3436" t="s">
        <v>14</v>
      </c>
      <c r="G4" s="3436" t="s">
        <v>14</v>
      </c>
      <c r="H4" s="3436" t="s">
        <v>14</v>
      </c>
      <c r="I4" s="3436" t="s">
        <v>14</v>
      </c>
      <c r="J4" s="3436" t="s">
        <v>14</v>
      </c>
      <c r="K4" s="3436" t="s">
        <v>14</v>
      </c>
      <c r="L4" s="3436" t="s">
        <v>14</v>
      </c>
      <c r="M4" s="3436" t="s">
        <v>14</v>
      </c>
      <c r="N4" s="3436" t="s">
        <v>14</v>
      </c>
    </row>
    <row r="5" spans="1:14" ht="137.1" customHeight="1" x14ac:dyDescent="0.25">
      <c r="A5" s="3431" t="s">
        <v>74</v>
      </c>
      <c r="B5" s="3431" t="s">
        <v>14</v>
      </c>
      <c r="C5" s="3431" t="s">
        <v>14</v>
      </c>
      <c r="D5" s="3431" t="s">
        <v>14</v>
      </c>
      <c r="E5" s="3431" t="s">
        <v>14</v>
      </c>
      <c r="F5" s="3431" t="s">
        <v>14</v>
      </c>
      <c r="G5" s="3431" t="s">
        <v>14</v>
      </c>
      <c r="H5" s="3431" t="s">
        <v>14</v>
      </c>
      <c r="I5" s="3431" t="s">
        <v>14</v>
      </c>
      <c r="J5" s="3431" t="s">
        <v>14</v>
      </c>
      <c r="K5" s="3431" t="s">
        <v>14</v>
      </c>
      <c r="L5" s="3431" t="s">
        <v>14</v>
      </c>
      <c r="M5" s="3431" t="s">
        <v>14</v>
      </c>
      <c r="N5" s="3431" t="s">
        <v>14</v>
      </c>
    </row>
    <row r="6" spans="1:14" ht="175.5" customHeight="1" x14ac:dyDescent="0.25">
      <c r="A6" s="3451" t="s">
        <v>75</v>
      </c>
      <c r="B6" s="3451" t="s">
        <v>14</v>
      </c>
      <c r="C6" s="3451" t="s">
        <v>14</v>
      </c>
      <c r="D6" s="3451" t="s">
        <v>14</v>
      </c>
      <c r="E6" s="3451" t="s">
        <v>14</v>
      </c>
      <c r="F6" s="3451" t="s">
        <v>14</v>
      </c>
      <c r="G6" s="3451" t="s">
        <v>14</v>
      </c>
      <c r="H6" s="3451" t="s">
        <v>14</v>
      </c>
      <c r="I6" s="3451" t="s">
        <v>14</v>
      </c>
      <c r="J6" s="3451" t="s">
        <v>14</v>
      </c>
      <c r="K6" s="3451" t="s">
        <v>14</v>
      </c>
      <c r="L6" s="3451" t="s">
        <v>14</v>
      </c>
      <c r="M6" s="3451" t="s">
        <v>14</v>
      </c>
      <c r="N6" s="3451" t="s">
        <v>14</v>
      </c>
    </row>
    <row r="7" spans="1:14" ht="25.05" customHeight="1" x14ac:dyDescent="0.3">
      <c r="A7" s="69"/>
      <c r="B7" s="69"/>
      <c r="C7" s="69"/>
      <c r="D7" s="69"/>
      <c r="E7" s="69"/>
      <c r="F7" s="69"/>
      <c r="G7" s="69"/>
      <c r="H7" s="69"/>
      <c r="I7" s="69"/>
      <c r="J7" s="69"/>
      <c r="K7" s="69"/>
      <c r="L7" s="69"/>
      <c r="M7" s="69"/>
      <c r="N7" s="69"/>
    </row>
  </sheetData>
  <mergeCells count="5">
    <mergeCell ref="A2:N2"/>
    <mergeCell ref="A3:N3"/>
    <mergeCell ref="A4:N4"/>
    <mergeCell ref="A5:N5"/>
    <mergeCell ref="A6:N6"/>
  </mergeCells>
  <hyperlinks>
    <hyperlink ref="A1" location="ToC!A2" display="Back to Table of Contents" xr:uid="{1C9D5CB7-C137-4368-B567-2C95EC72CE28}"/>
  </hyperlinks>
  <pageMargins left="0.5" right="0.5" top="0.5" bottom="0.5" header="0.25" footer="0.25"/>
  <pageSetup scale="71" orientation="landscape" r:id="rId1"/>
  <headerFooter>
    <oddFooter>&amp;L&amp;G&amp;C&amp;"Scotia,Regular"&amp;9Supplementary Financial Information (SFI)&amp;RNotes_3&amp;"Scotia,Regular"&amp;7</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9146-78C8-49D6-B80C-1C85B2B5F0B6}">
  <sheetPr>
    <pageSetUpPr fitToPage="1"/>
  </sheetPr>
  <dimension ref="A1:G41"/>
  <sheetViews>
    <sheetView showGridLines="0" zoomScaleNormal="100" workbookViewId="0"/>
  </sheetViews>
  <sheetFormatPr defaultColWidth="8.77734375" defaultRowHeight="13.2" x14ac:dyDescent="0.25"/>
  <cols>
    <col min="1" max="1" width="14.77734375" style="22" customWidth="1"/>
    <col min="2" max="2" width="6.77734375" style="22" customWidth="1"/>
    <col min="3" max="3" width="73.77734375" style="22" customWidth="1"/>
    <col min="4" max="4" width="17.77734375" style="22" customWidth="1"/>
    <col min="5" max="5" width="24.44140625" style="22" customWidth="1"/>
    <col min="6" max="7" width="17.77734375" style="22" customWidth="1"/>
    <col min="8" max="16384" width="8.77734375" style="22"/>
  </cols>
  <sheetData>
    <row r="1" spans="1:7" ht="19.95" customHeight="1" x14ac:dyDescent="0.25">
      <c r="A1" s="21" t="s">
        <v>12</v>
      </c>
    </row>
    <row r="2" spans="1:7" ht="24.6" customHeight="1" x14ac:dyDescent="0.25">
      <c r="A2" s="3438" t="s">
        <v>76</v>
      </c>
      <c r="B2" s="3438" t="s">
        <v>14</v>
      </c>
      <c r="C2" s="3438" t="s">
        <v>14</v>
      </c>
      <c r="D2" s="3438" t="s">
        <v>14</v>
      </c>
      <c r="E2" s="3438" t="s">
        <v>14</v>
      </c>
      <c r="F2" s="3438" t="s">
        <v>14</v>
      </c>
      <c r="G2" s="3438" t="s">
        <v>14</v>
      </c>
    </row>
    <row r="3" spans="1:7" ht="30" customHeight="1" x14ac:dyDescent="0.25">
      <c r="A3" s="3455" t="s">
        <v>77</v>
      </c>
      <c r="B3" s="3455" t="s">
        <v>14</v>
      </c>
      <c r="C3" s="3455" t="s">
        <v>14</v>
      </c>
      <c r="D3" s="3455" t="s">
        <v>14</v>
      </c>
      <c r="E3" s="3455" t="s">
        <v>14</v>
      </c>
      <c r="F3" s="3455" t="s">
        <v>14</v>
      </c>
      <c r="G3" s="3455" t="s">
        <v>14</v>
      </c>
    </row>
    <row r="4" spans="1:7" ht="12" customHeight="1" x14ac:dyDescent="0.25">
      <c r="A4" s="3456" t="s">
        <v>78</v>
      </c>
      <c r="B4" s="3456" t="s">
        <v>14</v>
      </c>
      <c r="C4" s="3456" t="s">
        <v>14</v>
      </c>
      <c r="D4" s="3456" t="s">
        <v>14</v>
      </c>
      <c r="E4" s="3456" t="s">
        <v>14</v>
      </c>
      <c r="F4" s="3456" t="s">
        <v>14</v>
      </c>
      <c r="G4" s="3456" t="s">
        <v>14</v>
      </c>
    </row>
    <row r="5" spans="1:7" ht="15" customHeight="1" x14ac:dyDescent="0.25">
      <c r="A5" s="3457" t="s">
        <v>79</v>
      </c>
      <c r="B5" s="3457" t="s">
        <v>14</v>
      </c>
      <c r="C5" s="3458" t="s">
        <v>14</v>
      </c>
      <c r="D5" s="3459" t="s">
        <v>80</v>
      </c>
      <c r="E5" s="3460" t="s">
        <v>14</v>
      </c>
      <c r="F5" s="3461" t="s">
        <v>81</v>
      </c>
      <c r="G5" s="3462" t="s">
        <v>14</v>
      </c>
    </row>
    <row r="6" spans="1:7" ht="20.100000000000001" customHeight="1" x14ac:dyDescent="0.25">
      <c r="A6" s="70" t="s">
        <v>82</v>
      </c>
      <c r="B6" s="71" t="s">
        <v>83</v>
      </c>
      <c r="C6" s="72" t="s">
        <v>84</v>
      </c>
      <c r="D6" s="73" t="s">
        <v>85</v>
      </c>
      <c r="E6" s="74" t="s">
        <v>86</v>
      </c>
      <c r="F6" s="75" t="s">
        <v>87</v>
      </c>
      <c r="G6" s="76" t="s">
        <v>88</v>
      </c>
    </row>
    <row r="7" spans="1:7" ht="15" customHeight="1" x14ac:dyDescent="0.25">
      <c r="A7" s="77" t="s">
        <v>89</v>
      </c>
      <c r="B7" s="78">
        <v>1</v>
      </c>
      <c r="C7" s="79" t="s">
        <v>90</v>
      </c>
      <c r="D7" s="3404"/>
      <c r="E7" s="3405"/>
      <c r="F7" s="3406">
        <v>16</v>
      </c>
      <c r="G7" s="3407"/>
    </row>
    <row r="8" spans="1:7" ht="15" customHeight="1" x14ac:dyDescent="0.25">
      <c r="A8" s="80"/>
      <c r="B8" s="81">
        <v>2</v>
      </c>
      <c r="C8" s="82" t="s">
        <v>91</v>
      </c>
      <c r="D8" s="3408"/>
      <c r="E8" s="3409"/>
      <c r="F8" s="3410" t="s">
        <v>92</v>
      </c>
      <c r="G8" s="3411"/>
    </row>
    <row r="9" spans="1:7" ht="15" customHeight="1" x14ac:dyDescent="0.25">
      <c r="A9" s="80"/>
      <c r="B9" s="81">
        <v>3</v>
      </c>
      <c r="C9" s="82" t="s">
        <v>93</v>
      </c>
      <c r="D9" s="3408" t="s">
        <v>94</v>
      </c>
      <c r="E9" s="3409"/>
      <c r="F9" s="3410" t="s">
        <v>95</v>
      </c>
      <c r="G9" s="3411"/>
    </row>
    <row r="10" spans="1:7" ht="19.05" customHeight="1" x14ac:dyDescent="0.25">
      <c r="A10" s="83"/>
      <c r="B10" s="84">
        <v>4</v>
      </c>
      <c r="C10" s="85" t="s">
        <v>96</v>
      </c>
      <c r="D10" s="3412" t="s">
        <v>97</v>
      </c>
      <c r="E10" s="3413"/>
      <c r="F10" s="3412" t="s">
        <v>1041</v>
      </c>
      <c r="G10" s="3414"/>
    </row>
    <row r="11" spans="1:7" ht="15" customHeight="1" x14ac:dyDescent="0.25">
      <c r="A11" s="3452" t="s">
        <v>98</v>
      </c>
      <c r="B11" s="78">
        <v>5</v>
      </c>
      <c r="C11" s="79" t="s">
        <v>99</v>
      </c>
      <c r="D11" s="3404"/>
      <c r="E11" s="3405"/>
      <c r="F11" s="3406" t="s">
        <v>100</v>
      </c>
      <c r="G11" s="3407"/>
    </row>
    <row r="12" spans="1:7" ht="15" customHeight="1" x14ac:dyDescent="0.25">
      <c r="A12" s="3453" t="s">
        <v>14</v>
      </c>
      <c r="B12" s="81">
        <v>6</v>
      </c>
      <c r="C12" s="82" t="s">
        <v>101</v>
      </c>
      <c r="D12" s="3408"/>
      <c r="E12" s="3409"/>
      <c r="F12" s="3410" t="s">
        <v>92</v>
      </c>
      <c r="G12" s="3411"/>
    </row>
    <row r="13" spans="1:7" ht="15" customHeight="1" x14ac:dyDescent="0.25">
      <c r="A13" s="3453" t="s">
        <v>14</v>
      </c>
      <c r="B13" s="81">
        <v>7</v>
      </c>
      <c r="C13" s="82" t="s">
        <v>102</v>
      </c>
      <c r="D13" s="3408"/>
      <c r="E13" s="3409"/>
      <c r="F13" s="3410">
        <v>79</v>
      </c>
      <c r="G13" s="3411"/>
    </row>
    <row r="14" spans="1:7" ht="15" customHeight="1" x14ac:dyDescent="0.25">
      <c r="A14" s="86"/>
      <c r="B14" s="84">
        <v>8</v>
      </c>
      <c r="C14" s="85" t="s">
        <v>103</v>
      </c>
      <c r="D14" s="3415"/>
      <c r="E14" s="3416"/>
      <c r="F14" s="3417" t="s">
        <v>104</v>
      </c>
      <c r="G14" s="3418"/>
    </row>
    <row r="15" spans="1:7" ht="15" customHeight="1" x14ac:dyDescent="0.25">
      <c r="A15" s="3452" t="s">
        <v>105</v>
      </c>
      <c r="B15" s="78">
        <v>9</v>
      </c>
      <c r="C15" s="79" t="s">
        <v>106</v>
      </c>
      <c r="D15" s="3404" t="s">
        <v>107</v>
      </c>
      <c r="E15" s="3419" t="s">
        <v>108</v>
      </c>
      <c r="F15" s="3406" t="s">
        <v>109</v>
      </c>
      <c r="G15" s="3407">
        <v>205</v>
      </c>
    </row>
    <row r="16" spans="1:7" ht="15" customHeight="1" x14ac:dyDescent="0.25">
      <c r="A16" s="3453" t="s">
        <v>14</v>
      </c>
      <c r="B16" s="81">
        <v>10</v>
      </c>
      <c r="C16" s="82" t="s">
        <v>110</v>
      </c>
      <c r="D16" s="3408" t="s">
        <v>111</v>
      </c>
      <c r="E16" s="3409" t="s">
        <v>112</v>
      </c>
      <c r="F16" s="3410">
        <v>59</v>
      </c>
      <c r="G16" s="3411"/>
    </row>
    <row r="17" spans="1:7" ht="15" customHeight="1" x14ac:dyDescent="0.25">
      <c r="A17" s="87"/>
      <c r="B17" s="81"/>
      <c r="C17" s="82" t="s">
        <v>113</v>
      </c>
      <c r="D17" s="3408"/>
      <c r="E17" s="3409" t="s">
        <v>114</v>
      </c>
      <c r="F17" s="3410"/>
      <c r="G17" s="3411"/>
    </row>
    <row r="18" spans="1:7" ht="15" customHeight="1" x14ac:dyDescent="0.25">
      <c r="A18" s="87"/>
      <c r="B18" s="81">
        <v>11</v>
      </c>
      <c r="C18" s="82" t="s">
        <v>115</v>
      </c>
      <c r="D18" s="3408" t="s">
        <v>107</v>
      </c>
      <c r="E18" s="3409">
        <v>93</v>
      </c>
      <c r="F18" s="3410" t="s">
        <v>116</v>
      </c>
      <c r="G18" s="3411"/>
    </row>
    <row r="19" spans="1:7" ht="15" customHeight="1" x14ac:dyDescent="0.25">
      <c r="A19" s="87"/>
      <c r="B19" s="81"/>
      <c r="C19" s="82" t="s">
        <v>117</v>
      </c>
      <c r="D19" s="3408"/>
      <c r="E19" s="3409"/>
      <c r="F19" s="3410"/>
      <c r="G19" s="3411"/>
    </row>
    <row r="20" spans="1:7" ht="15" customHeight="1" x14ac:dyDescent="0.25">
      <c r="A20" s="87"/>
      <c r="B20" s="81">
        <v>12</v>
      </c>
      <c r="C20" s="82" t="s">
        <v>118</v>
      </c>
      <c r="D20" s="3408"/>
      <c r="E20" s="3409"/>
      <c r="F20" s="3410" t="s">
        <v>109</v>
      </c>
      <c r="G20" s="3411"/>
    </row>
    <row r="21" spans="1:7" ht="15" customHeight="1" x14ac:dyDescent="0.25">
      <c r="A21" s="87"/>
      <c r="B21" s="81">
        <v>13</v>
      </c>
      <c r="C21" s="82" t="s">
        <v>119</v>
      </c>
      <c r="D21" s="3408"/>
      <c r="E21" s="3409" t="s">
        <v>120</v>
      </c>
      <c r="F21" s="3410" t="s">
        <v>121</v>
      </c>
      <c r="G21" s="3411">
        <v>174</v>
      </c>
    </row>
    <row r="22" spans="1:7" ht="15" customHeight="1" x14ac:dyDescent="0.25">
      <c r="A22" s="87"/>
      <c r="B22" s="81">
        <v>14</v>
      </c>
      <c r="C22" s="82" t="s">
        <v>122</v>
      </c>
      <c r="D22" s="3408"/>
      <c r="E22" s="3420" t="s">
        <v>123</v>
      </c>
      <c r="F22" s="3410" t="s">
        <v>124</v>
      </c>
      <c r="G22" s="3411" t="s">
        <v>125</v>
      </c>
    </row>
    <row r="23" spans="1:7" ht="15" customHeight="1" x14ac:dyDescent="0.25">
      <c r="A23" s="87"/>
      <c r="B23" s="81">
        <v>15</v>
      </c>
      <c r="C23" s="82" t="s">
        <v>126</v>
      </c>
      <c r="D23" s="3408" t="s">
        <v>127</v>
      </c>
      <c r="E23" s="3420" t="s">
        <v>128</v>
      </c>
      <c r="F23" s="3410" t="s">
        <v>124</v>
      </c>
      <c r="G23" s="3411">
        <v>224</v>
      </c>
    </row>
    <row r="24" spans="1:7" ht="15" customHeight="1" x14ac:dyDescent="0.25">
      <c r="A24" s="87"/>
      <c r="B24" s="81">
        <v>16</v>
      </c>
      <c r="C24" s="82" t="s">
        <v>129</v>
      </c>
      <c r="D24" s="3408"/>
      <c r="E24" s="3409" t="s">
        <v>130</v>
      </c>
      <c r="F24" s="3410" t="s">
        <v>124</v>
      </c>
      <c r="G24" s="3411"/>
    </row>
    <row r="25" spans="1:7" ht="15" customHeight="1" x14ac:dyDescent="0.25">
      <c r="A25" s="88"/>
      <c r="B25" s="84">
        <v>17</v>
      </c>
      <c r="C25" s="85" t="s">
        <v>131</v>
      </c>
      <c r="D25" s="3415"/>
      <c r="E25" s="3416">
        <v>100</v>
      </c>
      <c r="F25" s="3417" t="s">
        <v>132</v>
      </c>
      <c r="G25" s="3418"/>
    </row>
    <row r="26" spans="1:7" ht="15" customHeight="1" x14ac:dyDescent="0.25">
      <c r="A26" s="89" t="s">
        <v>133</v>
      </c>
      <c r="B26" s="78">
        <v>18</v>
      </c>
      <c r="C26" s="79" t="s">
        <v>134</v>
      </c>
      <c r="D26" s="3404" t="s">
        <v>135</v>
      </c>
      <c r="E26" s="3405"/>
      <c r="F26" s="3406" t="s">
        <v>136</v>
      </c>
      <c r="G26" s="3407"/>
    </row>
    <row r="27" spans="1:7" ht="15" customHeight="1" x14ac:dyDescent="0.25">
      <c r="A27" s="87"/>
      <c r="B27" s="81">
        <v>19</v>
      </c>
      <c r="C27" s="82" t="s">
        <v>137</v>
      </c>
      <c r="D27" s="3408" t="s">
        <v>135</v>
      </c>
      <c r="E27" s="3409"/>
      <c r="F27" s="3410">
        <v>100</v>
      </c>
      <c r="G27" s="3411"/>
    </row>
    <row r="28" spans="1:7" ht="20.100000000000001" customHeight="1" x14ac:dyDescent="0.25">
      <c r="A28" s="87"/>
      <c r="B28" s="81">
        <v>20</v>
      </c>
      <c r="C28" s="82" t="s">
        <v>138</v>
      </c>
      <c r="D28" s="3408" t="s">
        <v>139</v>
      </c>
      <c r="E28" s="3409"/>
      <c r="F28" s="3410" t="s">
        <v>140</v>
      </c>
      <c r="G28" s="3411"/>
    </row>
    <row r="29" spans="1:7" ht="15" customHeight="1" x14ac:dyDescent="0.25">
      <c r="A29" s="88"/>
      <c r="B29" s="84">
        <v>21</v>
      </c>
      <c r="C29" s="85" t="s">
        <v>141</v>
      </c>
      <c r="D29" s="3415" t="s">
        <v>142</v>
      </c>
      <c r="E29" s="3416"/>
      <c r="F29" s="3417" t="s">
        <v>143</v>
      </c>
      <c r="G29" s="3418"/>
    </row>
    <row r="30" spans="1:7" ht="15" customHeight="1" x14ac:dyDescent="0.25">
      <c r="A30" s="90" t="s">
        <v>144</v>
      </c>
      <c r="B30" s="78">
        <v>22</v>
      </c>
      <c r="C30" s="79" t="s">
        <v>145</v>
      </c>
      <c r="D30" s="3404">
        <v>43</v>
      </c>
      <c r="E30" s="3405"/>
      <c r="F30" s="3406">
        <v>97</v>
      </c>
      <c r="G30" s="3407"/>
    </row>
    <row r="31" spans="1:7" ht="15" customHeight="1" x14ac:dyDescent="0.25">
      <c r="A31" s="87"/>
      <c r="B31" s="81">
        <v>23</v>
      </c>
      <c r="C31" s="82" t="s">
        <v>146</v>
      </c>
      <c r="D31" s="3408" t="s">
        <v>147</v>
      </c>
      <c r="E31" s="3409"/>
      <c r="F31" s="3410" t="s">
        <v>148</v>
      </c>
      <c r="G31" s="3411" t="s">
        <v>149</v>
      </c>
    </row>
    <row r="32" spans="1:7" ht="20.100000000000001" customHeight="1" x14ac:dyDescent="0.25">
      <c r="A32" s="87"/>
      <c r="B32" s="81">
        <v>24</v>
      </c>
      <c r="C32" s="82" t="s">
        <v>150</v>
      </c>
      <c r="D32" s="3408" t="s">
        <v>1043</v>
      </c>
      <c r="E32" s="3409"/>
      <c r="F32" s="3410" t="s">
        <v>148</v>
      </c>
      <c r="G32" s="3411" t="s">
        <v>149</v>
      </c>
    </row>
    <row r="33" spans="1:7" ht="15" customHeight="1" x14ac:dyDescent="0.25">
      <c r="A33" s="88"/>
      <c r="B33" s="84">
        <v>25</v>
      </c>
      <c r="C33" s="85" t="s">
        <v>151</v>
      </c>
      <c r="D33" s="3415"/>
      <c r="E33" s="3416"/>
      <c r="F33" s="3417" t="s">
        <v>148</v>
      </c>
      <c r="G33" s="3418">
        <v>228</v>
      </c>
    </row>
    <row r="34" spans="1:7" ht="15" customHeight="1" x14ac:dyDescent="0.25">
      <c r="A34" s="89" t="s">
        <v>152</v>
      </c>
      <c r="B34" s="78">
        <v>26</v>
      </c>
      <c r="C34" s="79" t="s">
        <v>153</v>
      </c>
      <c r="D34" s="3404"/>
      <c r="E34" s="3405" t="s">
        <v>154</v>
      </c>
      <c r="F34" s="3406" t="s">
        <v>155</v>
      </c>
      <c r="G34" s="3407" t="s">
        <v>156</v>
      </c>
    </row>
    <row r="35" spans="1:7" ht="20.100000000000001" customHeight="1" x14ac:dyDescent="0.25">
      <c r="A35" s="87"/>
      <c r="B35" s="81">
        <v>27</v>
      </c>
      <c r="C35" s="82" t="s">
        <v>157</v>
      </c>
      <c r="D35" s="3408"/>
      <c r="E35" s="3409"/>
      <c r="F35" s="3410"/>
      <c r="G35" s="3411" t="s">
        <v>158</v>
      </c>
    </row>
    <row r="36" spans="1:7" ht="15" customHeight="1" x14ac:dyDescent="0.25">
      <c r="A36" s="87"/>
      <c r="B36" s="81">
        <v>28</v>
      </c>
      <c r="C36" s="82" t="s">
        <v>159</v>
      </c>
      <c r="D36" s="3408">
        <v>70</v>
      </c>
      <c r="E36" s="3409" t="s">
        <v>160</v>
      </c>
      <c r="F36" s="3410" t="s">
        <v>161</v>
      </c>
      <c r="G36" s="3411">
        <v>185</v>
      </c>
    </row>
    <row r="37" spans="1:7" ht="15" customHeight="1" x14ac:dyDescent="0.25">
      <c r="A37" s="87"/>
      <c r="B37" s="81">
        <v>29</v>
      </c>
      <c r="C37" s="82" t="s">
        <v>162</v>
      </c>
      <c r="D37" s="3408" t="s">
        <v>1042</v>
      </c>
      <c r="E37" s="3409">
        <v>101</v>
      </c>
      <c r="F37" s="3410" t="s">
        <v>163</v>
      </c>
      <c r="G37" s="3411" t="s">
        <v>164</v>
      </c>
    </row>
    <row r="38" spans="1:7" ht="15" customHeight="1" x14ac:dyDescent="0.25">
      <c r="A38" s="88"/>
      <c r="B38" s="84">
        <v>30</v>
      </c>
      <c r="C38" s="85" t="s">
        <v>165</v>
      </c>
      <c r="D38" s="3415" t="s">
        <v>127</v>
      </c>
      <c r="E38" s="3416"/>
      <c r="F38" s="3417" t="s">
        <v>166</v>
      </c>
      <c r="G38" s="3418"/>
    </row>
    <row r="39" spans="1:7" ht="15" customHeight="1" x14ac:dyDescent="0.25">
      <c r="A39" s="77" t="s">
        <v>167</v>
      </c>
      <c r="B39" s="78">
        <v>31</v>
      </c>
      <c r="C39" s="79" t="s">
        <v>168</v>
      </c>
      <c r="D39" s="3404"/>
      <c r="E39" s="3405"/>
      <c r="F39" s="3406" t="s">
        <v>169</v>
      </c>
      <c r="G39" s="3407"/>
    </row>
    <row r="40" spans="1:7" ht="15" customHeight="1" x14ac:dyDescent="0.25">
      <c r="A40" s="83"/>
      <c r="B40" s="84">
        <v>32</v>
      </c>
      <c r="C40" s="85" t="s">
        <v>170</v>
      </c>
      <c r="D40" s="3415">
        <v>54</v>
      </c>
      <c r="E40" s="3416"/>
      <c r="F40" s="3417">
        <v>71</v>
      </c>
      <c r="G40" s="3418"/>
    </row>
    <row r="41" spans="1:7" ht="8.1" customHeight="1" x14ac:dyDescent="0.25">
      <c r="A41" s="3454"/>
      <c r="B41" s="3454" t="s">
        <v>14</v>
      </c>
      <c r="C41" s="3454" t="s">
        <v>14</v>
      </c>
      <c r="D41" s="3454" t="s">
        <v>14</v>
      </c>
      <c r="E41" s="3454" t="s">
        <v>14</v>
      </c>
      <c r="F41" s="3454" t="s">
        <v>14</v>
      </c>
      <c r="G41" s="3454" t="s">
        <v>14</v>
      </c>
    </row>
  </sheetData>
  <mergeCells count="9">
    <mergeCell ref="A11:A13"/>
    <mergeCell ref="A15:A16"/>
    <mergeCell ref="A41:G41"/>
    <mergeCell ref="A2:G2"/>
    <mergeCell ref="A3:G3"/>
    <mergeCell ref="A4:G4"/>
    <mergeCell ref="A5:C5"/>
    <mergeCell ref="D5:E5"/>
    <mergeCell ref="F5:G5"/>
  </mergeCells>
  <hyperlinks>
    <hyperlink ref="A1" location="ToC!A2" display="Back to Table of Contents" xr:uid="{3C211EDE-1A53-4FD0-BB8B-5A841C5CD222}"/>
  </hyperlinks>
  <pageMargins left="0.5" right="0.5" top="0.5" bottom="0.5" header="0.25" footer="0.25"/>
  <pageSetup scale="74" orientation="landscape" r:id="rId1"/>
  <headerFooter>
    <oddFooter>&amp;L&amp;G&amp;C&amp;"Scotia,Regular"&amp;9Supplementary Financial Information (SFI)&amp;REDTF&amp;"Scotia,Regular"&amp;7</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AF79-8286-4326-9563-CC6AD25CCE3A}">
  <sheetPr>
    <pageSetUpPr fitToPage="1"/>
  </sheetPr>
  <dimension ref="A1:N56"/>
  <sheetViews>
    <sheetView showGridLines="0" zoomScale="130" zoomScaleNormal="130" workbookViewId="0"/>
  </sheetViews>
  <sheetFormatPr defaultColWidth="8.77734375" defaultRowHeight="13.2" x14ac:dyDescent="0.25"/>
  <cols>
    <col min="1" max="1" width="82.5546875" style="22" customWidth="1"/>
    <col min="2" max="3" width="10.5546875" style="22" customWidth="1"/>
    <col min="4" max="10" width="10.44140625" style="22" customWidth="1"/>
    <col min="11" max="14" width="9.77734375" style="22" customWidth="1"/>
    <col min="15" max="16384" width="8.77734375" style="22"/>
  </cols>
  <sheetData>
    <row r="1" spans="1:14" ht="19.95" customHeight="1" x14ac:dyDescent="0.25">
      <c r="A1" s="21" t="s">
        <v>12</v>
      </c>
    </row>
    <row r="2" spans="1:14" ht="24.6" customHeight="1" x14ac:dyDescent="0.25">
      <c r="A2" s="3466" t="s">
        <v>171</v>
      </c>
      <c r="B2" s="3466" t="s">
        <v>14</v>
      </c>
      <c r="C2" s="3466" t="s">
        <v>14</v>
      </c>
      <c r="D2" s="3466" t="s">
        <v>14</v>
      </c>
      <c r="E2" s="3466" t="s">
        <v>14</v>
      </c>
      <c r="F2" s="3466" t="s">
        <v>14</v>
      </c>
      <c r="G2" s="3466" t="s">
        <v>14</v>
      </c>
      <c r="H2" s="3466" t="s">
        <v>14</v>
      </c>
      <c r="I2" s="3466" t="s">
        <v>14</v>
      </c>
      <c r="J2" s="3466" t="s">
        <v>14</v>
      </c>
      <c r="K2" s="3466" t="s">
        <v>14</v>
      </c>
      <c r="L2" s="3466" t="s">
        <v>14</v>
      </c>
      <c r="M2" s="3466" t="s">
        <v>14</v>
      </c>
      <c r="N2" s="3466" t="s">
        <v>14</v>
      </c>
    </row>
    <row r="3" spans="1:14" ht="13.35" customHeight="1" x14ac:dyDescent="0.25">
      <c r="A3" s="91"/>
      <c r="B3" s="3467" t="s">
        <v>172</v>
      </c>
      <c r="C3" s="3467" t="s">
        <v>14</v>
      </c>
      <c r="D3" s="3468" t="s">
        <v>14</v>
      </c>
      <c r="E3" s="3469">
        <v>2024</v>
      </c>
      <c r="F3" s="3470" t="s">
        <v>14</v>
      </c>
      <c r="G3" s="3470" t="s">
        <v>14</v>
      </c>
      <c r="H3" s="3471" t="s">
        <v>14</v>
      </c>
      <c r="I3" s="3469">
        <v>2023</v>
      </c>
      <c r="J3" s="3470" t="s">
        <v>14</v>
      </c>
      <c r="K3" s="3472" t="s">
        <v>173</v>
      </c>
      <c r="L3" s="3473" t="s">
        <v>14</v>
      </c>
      <c r="M3" s="3470" t="s">
        <v>174</v>
      </c>
      <c r="N3" s="3470" t="s">
        <v>14</v>
      </c>
    </row>
    <row r="4" spans="1:14" ht="13.35" customHeight="1" x14ac:dyDescent="0.25">
      <c r="A4" s="92" t="s">
        <v>175</v>
      </c>
      <c r="B4" s="93" t="s">
        <v>176</v>
      </c>
      <c r="C4" s="94" t="s">
        <v>177</v>
      </c>
      <c r="D4" s="95" t="s">
        <v>178</v>
      </c>
      <c r="E4" s="96" t="s">
        <v>179</v>
      </c>
      <c r="F4" s="94" t="s">
        <v>180</v>
      </c>
      <c r="G4" s="94" t="s">
        <v>177</v>
      </c>
      <c r="H4" s="95" t="s">
        <v>178</v>
      </c>
      <c r="I4" s="96" t="s">
        <v>179</v>
      </c>
      <c r="J4" s="94" t="s">
        <v>180</v>
      </c>
      <c r="K4" s="97" t="s">
        <v>181</v>
      </c>
      <c r="L4" s="98">
        <v>2024</v>
      </c>
      <c r="M4" s="99">
        <v>2024</v>
      </c>
      <c r="N4" s="99">
        <v>2023</v>
      </c>
    </row>
    <row r="5" spans="1:14" ht="13.35" customHeight="1" x14ac:dyDescent="0.25">
      <c r="A5" s="100" t="s">
        <v>182</v>
      </c>
      <c r="B5" s="101"/>
      <c r="C5" s="102"/>
      <c r="D5" s="103"/>
      <c r="E5" s="104"/>
      <c r="F5" s="101"/>
      <c r="G5" s="101"/>
      <c r="H5" s="105"/>
      <c r="I5" s="104"/>
      <c r="J5" s="101"/>
      <c r="K5" s="106"/>
      <c r="L5" s="107"/>
      <c r="M5" s="101"/>
      <c r="N5" s="101"/>
    </row>
    <row r="6" spans="1:14" ht="13.35" customHeight="1" x14ac:dyDescent="0.25">
      <c r="A6" s="108" t="s">
        <v>183</v>
      </c>
      <c r="B6" s="109">
        <v>2527</v>
      </c>
      <c r="C6" s="110">
        <v>2032</v>
      </c>
      <c r="D6" s="111">
        <v>993</v>
      </c>
      <c r="E6" s="112">
        <v>1689</v>
      </c>
      <c r="F6" s="113">
        <v>1912</v>
      </c>
      <c r="G6" s="113">
        <v>2092</v>
      </c>
      <c r="H6" s="114">
        <v>2199</v>
      </c>
      <c r="I6" s="112">
        <v>1354</v>
      </c>
      <c r="J6" s="113">
        <v>2192</v>
      </c>
      <c r="K6" s="115">
        <v>5552</v>
      </c>
      <c r="L6" s="111">
        <v>6203</v>
      </c>
      <c r="M6" s="113">
        <v>7892</v>
      </c>
      <c r="N6" s="113">
        <v>7450</v>
      </c>
    </row>
    <row r="7" spans="1:14" ht="13.35" customHeight="1" x14ac:dyDescent="0.25">
      <c r="A7" s="108" t="s">
        <v>184</v>
      </c>
      <c r="B7" s="109">
        <v>2313</v>
      </c>
      <c r="C7" s="110">
        <v>1841</v>
      </c>
      <c r="D7" s="111">
        <v>1025</v>
      </c>
      <c r="E7" s="112">
        <v>1521</v>
      </c>
      <c r="F7" s="113">
        <v>1756</v>
      </c>
      <c r="G7" s="113">
        <v>1943</v>
      </c>
      <c r="H7" s="114">
        <v>2066</v>
      </c>
      <c r="I7" s="112">
        <v>1214</v>
      </c>
      <c r="J7" s="113">
        <v>2067</v>
      </c>
      <c r="K7" s="115">
        <v>5179</v>
      </c>
      <c r="L7" s="111">
        <v>5765</v>
      </c>
      <c r="M7" s="113">
        <v>7286</v>
      </c>
      <c r="N7" s="113">
        <v>6919</v>
      </c>
    </row>
    <row r="8" spans="1:14" ht="13.35" customHeight="1" x14ac:dyDescent="0.25">
      <c r="A8" s="108" t="s">
        <v>185</v>
      </c>
      <c r="B8" s="116">
        <v>1.84</v>
      </c>
      <c r="C8" s="117">
        <v>1.48</v>
      </c>
      <c r="D8" s="118">
        <v>0.82</v>
      </c>
      <c r="E8" s="119">
        <v>1.23</v>
      </c>
      <c r="F8" s="120">
        <v>1.43</v>
      </c>
      <c r="G8" s="120">
        <v>1.59</v>
      </c>
      <c r="H8" s="121">
        <v>1.7</v>
      </c>
      <c r="I8" s="119">
        <v>1.01</v>
      </c>
      <c r="J8" s="120">
        <v>1.72</v>
      </c>
      <c r="K8" s="122">
        <v>4.1399999999999997</v>
      </c>
      <c r="L8" s="118">
        <v>4.72</v>
      </c>
      <c r="M8" s="120">
        <v>5.94</v>
      </c>
      <c r="N8" s="120">
        <v>5.78</v>
      </c>
    </row>
    <row r="9" spans="1:14" ht="13.35" customHeight="1" x14ac:dyDescent="0.25">
      <c r="A9" s="108" t="s">
        <v>186</v>
      </c>
      <c r="B9" s="116">
        <v>1.84</v>
      </c>
      <c r="C9" s="117">
        <v>1.48</v>
      </c>
      <c r="D9" s="118">
        <v>0.66</v>
      </c>
      <c r="E9" s="119">
        <v>1.22</v>
      </c>
      <c r="F9" s="120">
        <v>1.41</v>
      </c>
      <c r="G9" s="120">
        <v>1.57</v>
      </c>
      <c r="H9" s="121">
        <v>1.68</v>
      </c>
      <c r="I9" s="119">
        <v>0.99</v>
      </c>
      <c r="J9" s="120">
        <v>1.7</v>
      </c>
      <c r="K9" s="122">
        <v>4.0199999999999996</v>
      </c>
      <c r="L9" s="118">
        <v>4.66</v>
      </c>
      <c r="M9" s="120">
        <v>5.87</v>
      </c>
      <c r="N9" s="120">
        <v>5.72</v>
      </c>
    </row>
    <row r="10" spans="1:14" ht="13.35" customHeight="1" x14ac:dyDescent="0.25">
      <c r="A10" s="108" t="s">
        <v>187</v>
      </c>
      <c r="B10" s="123">
        <v>12.2</v>
      </c>
      <c r="C10" s="124">
        <v>10.1</v>
      </c>
      <c r="D10" s="125">
        <v>5.5</v>
      </c>
      <c r="E10" s="126">
        <v>8.3000000000000007</v>
      </c>
      <c r="F10" s="127">
        <v>9.8000000000000007</v>
      </c>
      <c r="G10" s="127">
        <v>11.2</v>
      </c>
      <c r="H10" s="128">
        <v>11.8</v>
      </c>
      <c r="I10" s="126">
        <v>7</v>
      </c>
      <c r="J10" s="127">
        <v>12</v>
      </c>
      <c r="K10" s="129">
        <v>9.3000000000000007</v>
      </c>
      <c r="L10" s="125">
        <v>10.9</v>
      </c>
      <c r="M10" s="127">
        <v>10.199999999999999</v>
      </c>
      <c r="N10" s="127">
        <v>10.3</v>
      </c>
    </row>
    <row r="11" spans="1:14" ht="13.35" customHeight="1" x14ac:dyDescent="0.25">
      <c r="A11" s="108" t="s">
        <v>188</v>
      </c>
      <c r="B11" s="116">
        <v>2.36</v>
      </c>
      <c r="C11" s="117">
        <v>2.31</v>
      </c>
      <c r="D11" s="118">
        <v>2.23</v>
      </c>
      <c r="E11" s="119">
        <v>2.15</v>
      </c>
      <c r="F11" s="120">
        <v>2.14</v>
      </c>
      <c r="G11" s="120">
        <v>2.17</v>
      </c>
      <c r="H11" s="121">
        <v>2.19</v>
      </c>
      <c r="I11" s="119">
        <v>2.15</v>
      </c>
      <c r="J11" s="120">
        <v>2.1</v>
      </c>
      <c r="K11" s="122">
        <v>2.2999999999999998</v>
      </c>
      <c r="L11" s="118">
        <v>2.17</v>
      </c>
      <c r="M11" s="120">
        <v>2.16</v>
      </c>
      <c r="N11" s="120">
        <v>2.12</v>
      </c>
    </row>
    <row r="12" spans="1:14" ht="13.35" customHeight="1" x14ac:dyDescent="0.25">
      <c r="A12" s="108" t="s">
        <v>189</v>
      </c>
      <c r="B12" s="123">
        <v>53.7</v>
      </c>
      <c r="C12" s="124">
        <v>56.3</v>
      </c>
      <c r="D12" s="125">
        <v>69.3</v>
      </c>
      <c r="E12" s="126">
        <v>62.1</v>
      </c>
      <c r="F12" s="127">
        <v>59.2</v>
      </c>
      <c r="G12" s="127">
        <v>56.4</v>
      </c>
      <c r="H12" s="128">
        <v>56.2</v>
      </c>
      <c r="I12" s="126">
        <v>66.8</v>
      </c>
      <c r="J12" s="127">
        <v>56.5</v>
      </c>
      <c r="K12" s="129">
        <v>59.7</v>
      </c>
      <c r="L12" s="125">
        <v>57.3</v>
      </c>
      <c r="M12" s="127">
        <v>58.5</v>
      </c>
      <c r="N12" s="127">
        <v>59.4</v>
      </c>
    </row>
    <row r="13" spans="1:14" ht="13.35" customHeight="1" x14ac:dyDescent="0.25">
      <c r="A13" s="108" t="s">
        <v>190</v>
      </c>
      <c r="B13" s="123">
        <v>24.68</v>
      </c>
      <c r="C13" s="124">
        <v>21</v>
      </c>
      <c r="D13" s="125">
        <v>42.2</v>
      </c>
      <c r="E13" s="126">
        <v>23.2</v>
      </c>
      <c r="F13" s="127">
        <v>19.100000000000001</v>
      </c>
      <c r="G13" s="127">
        <v>20.399999999999999</v>
      </c>
      <c r="H13" s="128">
        <v>19.5</v>
      </c>
      <c r="I13" s="126">
        <v>9.1</v>
      </c>
      <c r="J13" s="127">
        <v>18.5</v>
      </c>
      <c r="K13" s="129">
        <v>27.39</v>
      </c>
      <c r="L13" s="125">
        <v>19.7</v>
      </c>
      <c r="M13" s="127">
        <v>20.5</v>
      </c>
      <c r="N13" s="127">
        <v>23</v>
      </c>
    </row>
    <row r="14" spans="1:14" ht="13.35" customHeight="1" x14ac:dyDescent="0.25">
      <c r="A14" s="130" t="s">
        <v>191</v>
      </c>
      <c r="B14" s="131"/>
      <c r="C14" s="132"/>
      <c r="D14" s="133"/>
      <c r="E14" s="134"/>
      <c r="F14" s="135"/>
      <c r="G14" s="135"/>
      <c r="H14" s="136"/>
      <c r="I14" s="134"/>
      <c r="J14" s="135"/>
      <c r="K14" s="137"/>
      <c r="L14" s="133"/>
      <c r="M14" s="135"/>
      <c r="N14" s="135"/>
    </row>
    <row r="15" spans="1:14" ht="13.35" customHeight="1" x14ac:dyDescent="0.25">
      <c r="A15" s="108" t="s">
        <v>183</v>
      </c>
      <c r="B15" s="109">
        <v>2518</v>
      </c>
      <c r="C15" s="110">
        <v>2072</v>
      </c>
      <c r="D15" s="111">
        <v>2362</v>
      </c>
      <c r="E15" s="112">
        <v>2119</v>
      </c>
      <c r="F15" s="113">
        <v>2191</v>
      </c>
      <c r="G15" s="113">
        <v>2105</v>
      </c>
      <c r="H15" s="114">
        <v>2212</v>
      </c>
      <c r="I15" s="112">
        <v>1643</v>
      </c>
      <c r="J15" s="113">
        <v>2207</v>
      </c>
      <c r="K15" s="115">
        <v>6952</v>
      </c>
      <c r="L15" s="111">
        <v>6508</v>
      </c>
      <c r="M15" s="113">
        <v>8627</v>
      </c>
      <c r="N15" s="113">
        <v>8363</v>
      </c>
    </row>
    <row r="16" spans="1:14" ht="13.35" customHeight="1" x14ac:dyDescent="0.25">
      <c r="A16" s="108" t="s">
        <v>192</v>
      </c>
      <c r="B16" s="109">
        <v>2349</v>
      </c>
      <c r="C16" s="110">
        <v>1898</v>
      </c>
      <c r="D16" s="111">
        <v>2196</v>
      </c>
      <c r="E16" s="112">
        <v>1948</v>
      </c>
      <c r="F16" s="113">
        <v>2017</v>
      </c>
      <c r="G16" s="113">
        <v>1941</v>
      </c>
      <c r="H16" s="114">
        <v>2064</v>
      </c>
      <c r="I16" s="112">
        <v>1490</v>
      </c>
      <c r="J16" s="113">
        <v>2084</v>
      </c>
      <c r="K16" s="115">
        <v>6444</v>
      </c>
      <c r="L16" s="111">
        <v>6022</v>
      </c>
      <c r="M16" s="113">
        <v>7970</v>
      </c>
      <c r="N16" s="113">
        <v>7795</v>
      </c>
    </row>
    <row r="17" spans="1:14" ht="13.35" customHeight="1" x14ac:dyDescent="0.25">
      <c r="A17" s="108" t="s">
        <v>193</v>
      </c>
      <c r="B17" s="116">
        <v>1.88</v>
      </c>
      <c r="C17" s="117">
        <v>1.52</v>
      </c>
      <c r="D17" s="118">
        <v>1.76</v>
      </c>
      <c r="E17" s="119">
        <v>1.57</v>
      </c>
      <c r="F17" s="120">
        <v>1.63</v>
      </c>
      <c r="G17" s="120">
        <v>1.58</v>
      </c>
      <c r="H17" s="121">
        <v>1.69</v>
      </c>
      <c r="I17" s="119">
        <v>1.23</v>
      </c>
      <c r="J17" s="120">
        <v>1.72</v>
      </c>
      <c r="K17" s="122">
        <v>5.16</v>
      </c>
      <c r="L17" s="118">
        <v>4.9000000000000004</v>
      </c>
      <c r="M17" s="120">
        <v>6.47</v>
      </c>
      <c r="N17" s="120">
        <v>6.48</v>
      </c>
    </row>
    <row r="18" spans="1:14" ht="13.35" customHeight="1" x14ac:dyDescent="0.25">
      <c r="A18" s="108" t="s">
        <v>194</v>
      </c>
      <c r="B18" s="123">
        <v>12.4</v>
      </c>
      <c r="C18" s="124">
        <v>10.4</v>
      </c>
      <c r="D18" s="125">
        <v>11.8</v>
      </c>
      <c r="E18" s="126">
        <v>10.6</v>
      </c>
      <c r="F18" s="127">
        <v>11.3</v>
      </c>
      <c r="G18" s="127">
        <v>11.3</v>
      </c>
      <c r="H18" s="128">
        <v>11.9</v>
      </c>
      <c r="I18" s="126">
        <v>8.6999999999999993</v>
      </c>
      <c r="J18" s="127">
        <v>12.1</v>
      </c>
      <c r="K18" s="129">
        <v>11.6</v>
      </c>
      <c r="L18" s="125">
        <v>11.5</v>
      </c>
      <c r="M18" s="127">
        <v>11.3</v>
      </c>
      <c r="N18" s="127">
        <v>11.6</v>
      </c>
    </row>
    <row r="19" spans="1:14" ht="13.35" customHeight="1" x14ac:dyDescent="0.25">
      <c r="A19" s="108" t="s">
        <v>195</v>
      </c>
      <c r="B19" s="123">
        <v>53.7</v>
      </c>
      <c r="C19" s="124">
        <v>55.7</v>
      </c>
      <c r="D19" s="125">
        <v>54.5</v>
      </c>
      <c r="E19" s="126">
        <v>56.1</v>
      </c>
      <c r="F19" s="127">
        <v>56</v>
      </c>
      <c r="G19" s="127">
        <v>56.2</v>
      </c>
      <c r="H19" s="128">
        <v>56</v>
      </c>
      <c r="I19" s="126">
        <v>59.7</v>
      </c>
      <c r="J19" s="127">
        <v>56.3</v>
      </c>
      <c r="K19" s="129">
        <v>54.6</v>
      </c>
      <c r="L19" s="125">
        <v>56.1</v>
      </c>
      <c r="M19" s="127">
        <v>56.1</v>
      </c>
      <c r="N19" s="127">
        <v>57.3</v>
      </c>
    </row>
    <row r="20" spans="1:14" ht="13.35" customHeight="1" x14ac:dyDescent="0.25">
      <c r="A20" s="108" t="s">
        <v>196</v>
      </c>
      <c r="B20" s="123">
        <v>24.97</v>
      </c>
      <c r="C20" s="124">
        <v>21.3</v>
      </c>
      <c r="D20" s="125">
        <v>23.8</v>
      </c>
      <c r="E20" s="126">
        <v>21.8</v>
      </c>
      <c r="F20" s="127">
        <v>18.600000000000001</v>
      </c>
      <c r="G20" s="127">
        <v>20.5</v>
      </c>
      <c r="H20" s="128">
        <v>19.600000000000001</v>
      </c>
      <c r="I20" s="126">
        <v>14.8</v>
      </c>
      <c r="J20" s="127">
        <v>18.5</v>
      </c>
      <c r="K20" s="129">
        <v>23.51</v>
      </c>
      <c r="L20" s="125">
        <v>19.5</v>
      </c>
      <c r="M20" s="127">
        <v>20.100000000000001</v>
      </c>
      <c r="N20" s="127">
        <v>17.8</v>
      </c>
    </row>
    <row r="21" spans="1:14" ht="13.35" customHeight="1" x14ac:dyDescent="0.25">
      <c r="A21" s="92" t="s">
        <v>197</v>
      </c>
      <c r="B21" s="93"/>
      <c r="C21" s="94"/>
      <c r="D21" s="95"/>
      <c r="E21" s="138"/>
      <c r="F21" s="93"/>
      <c r="G21" s="93"/>
      <c r="H21" s="139"/>
      <c r="I21" s="138"/>
      <c r="J21" s="93"/>
      <c r="K21" s="140"/>
      <c r="L21" s="141"/>
      <c r="M21" s="142"/>
      <c r="N21" s="142"/>
    </row>
    <row r="22" spans="1:14" ht="13.35" customHeight="1" x14ac:dyDescent="0.25">
      <c r="A22" s="143" t="s">
        <v>198</v>
      </c>
      <c r="B22" s="144">
        <v>1414.7</v>
      </c>
      <c r="C22" s="145">
        <v>1415.5</v>
      </c>
      <c r="D22" s="146">
        <v>1439.2</v>
      </c>
      <c r="E22" s="147">
        <v>1412</v>
      </c>
      <c r="F22" s="148">
        <v>1402.4</v>
      </c>
      <c r="G22" s="148">
        <v>1399.4</v>
      </c>
      <c r="H22" s="149">
        <v>1392.9</v>
      </c>
      <c r="I22" s="147">
        <v>1411</v>
      </c>
      <c r="J22" s="148">
        <v>1396.4</v>
      </c>
      <c r="K22" s="150"/>
      <c r="L22" s="151"/>
      <c r="M22" s="152"/>
      <c r="N22" s="152"/>
    </row>
    <row r="23" spans="1:14" ht="13.35" customHeight="1" x14ac:dyDescent="0.25">
      <c r="A23" s="153" t="s">
        <v>199</v>
      </c>
      <c r="B23" s="123">
        <v>761.7</v>
      </c>
      <c r="C23" s="124">
        <v>756.6</v>
      </c>
      <c r="D23" s="125">
        <v>766.5</v>
      </c>
      <c r="E23" s="126">
        <v>761</v>
      </c>
      <c r="F23" s="127">
        <v>762.5</v>
      </c>
      <c r="G23" s="127">
        <v>762.6</v>
      </c>
      <c r="H23" s="128">
        <v>759.9</v>
      </c>
      <c r="I23" s="126">
        <v>769.5</v>
      </c>
      <c r="J23" s="127">
        <v>772.6</v>
      </c>
      <c r="K23" s="154"/>
      <c r="L23" s="155"/>
      <c r="M23" s="156"/>
      <c r="N23" s="156"/>
    </row>
    <row r="24" spans="1:14" ht="13.35" customHeight="1" x14ac:dyDescent="0.25">
      <c r="A24" s="153" t="s">
        <v>200</v>
      </c>
      <c r="B24" s="123">
        <v>946.8</v>
      </c>
      <c r="C24" s="124">
        <v>945.8</v>
      </c>
      <c r="D24" s="125">
        <v>966</v>
      </c>
      <c r="E24" s="126">
        <v>943.8</v>
      </c>
      <c r="F24" s="127">
        <v>949.2</v>
      </c>
      <c r="G24" s="127">
        <v>942</v>
      </c>
      <c r="H24" s="128">
        <v>939.8</v>
      </c>
      <c r="I24" s="126">
        <v>952.3</v>
      </c>
      <c r="J24" s="127">
        <v>957.2</v>
      </c>
      <c r="K24" s="154"/>
      <c r="L24" s="155"/>
      <c r="M24" s="156"/>
      <c r="N24" s="156"/>
    </row>
    <row r="25" spans="1:14" ht="13.35" customHeight="1" x14ac:dyDescent="0.25">
      <c r="A25" s="157" t="s">
        <v>201</v>
      </c>
      <c r="B25" s="158">
        <v>75.3</v>
      </c>
      <c r="C25" s="159">
        <v>74.7</v>
      </c>
      <c r="D25" s="160">
        <v>74.599999999999994</v>
      </c>
      <c r="E25" s="161">
        <v>73.599999999999994</v>
      </c>
      <c r="F25" s="162">
        <v>72.7</v>
      </c>
      <c r="G25" s="162">
        <v>70.599999999999994</v>
      </c>
      <c r="H25" s="163">
        <v>70</v>
      </c>
      <c r="I25" s="161">
        <v>68.8</v>
      </c>
      <c r="J25" s="162">
        <v>67.900000000000006</v>
      </c>
      <c r="K25" s="164"/>
      <c r="L25" s="165"/>
      <c r="M25" s="166"/>
      <c r="N25" s="166"/>
    </row>
    <row r="26" spans="1:14" ht="13.35" customHeight="1" x14ac:dyDescent="0.25">
      <c r="A26" s="92" t="s">
        <v>202</v>
      </c>
      <c r="B26" s="93"/>
      <c r="C26" s="94"/>
      <c r="D26" s="95"/>
      <c r="E26" s="138"/>
      <c r="F26" s="93"/>
      <c r="G26" s="93"/>
      <c r="H26" s="139"/>
      <c r="I26" s="138"/>
      <c r="J26" s="93"/>
      <c r="K26" s="138"/>
      <c r="L26" s="139"/>
      <c r="M26" s="93"/>
      <c r="N26" s="93"/>
    </row>
    <row r="27" spans="1:14" ht="13.35" customHeight="1" x14ac:dyDescent="0.25">
      <c r="A27" s="143" t="s">
        <v>203</v>
      </c>
      <c r="B27" s="167">
        <v>6890</v>
      </c>
      <c r="C27" s="168">
        <v>6849</v>
      </c>
      <c r="D27" s="169">
        <v>7064</v>
      </c>
      <c r="E27" s="170">
        <v>6739</v>
      </c>
      <c r="F27" s="171">
        <v>6489</v>
      </c>
      <c r="G27" s="171">
        <v>6399</v>
      </c>
      <c r="H27" s="172">
        <v>6119</v>
      </c>
      <c r="I27" s="170">
        <v>5726</v>
      </c>
      <c r="J27" s="171">
        <v>5487</v>
      </c>
      <c r="K27" s="173"/>
      <c r="L27" s="174"/>
      <c r="M27" s="175"/>
      <c r="N27" s="175"/>
    </row>
    <row r="28" spans="1:14" ht="13.35" customHeight="1" x14ac:dyDescent="0.25">
      <c r="A28" s="108" t="s">
        <v>204</v>
      </c>
      <c r="B28" s="116">
        <v>0.9</v>
      </c>
      <c r="C28" s="117">
        <v>0.9</v>
      </c>
      <c r="D28" s="118">
        <v>0.91</v>
      </c>
      <c r="E28" s="176">
        <v>0.88</v>
      </c>
      <c r="F28" s="177">
        <v>0.84</v>
      </c>
      <c r="G28" s="177">
        <v>0.83</v>
      </c>
      <c r="H28" s="178">
        <v>0.8</v>
      </c>
      <c r="I28" s="179">
        <v>0.74</v>
      </c>
      <c r="J28" s="180">
        <v>0.7</v>
      </c>
      <c r="K28" s="181"/>
      <c r="L28" s="182"/>
      <c r="M28" s="183"/>
      <c r="N28" s="183"/>
    </row>
    <row r="29" spans="1:14" ht="13.35" customHeight="1" x14ac:dyDescent="0.25">
      <c r="A29" s="153" t="s">
        <v>205</v>
      </c>
      <c r="B29" s="109">
        <v>4656</v>
      </c>
      <c r="C29" s="110">
        <v>4648</v>
      </c>
      <c r="D29" s="111">
        <v>4874</v>
      </c>
      <c r="E29" s="112">
        <v>4685</v>
      </c>
      <c r="F29" s="113">
        <v>4449</v>
      </c>
      <c r="G29" s="113">
        <v>4399</v>
      </c>
      <c r="H29" s="114">
        <v>4215</v>
      </c>
      <c r="I29" s="112">
        <v>3845</v>
      </c>
      <c r="J29" s="113">
        <v>3667</v>
      </c>
      <c r="K29" s="184"/>
      <c r="L29" s="185"/>
      <c r="M29" s="186"/>
      <c r="N29" s="186"/>
    </row>
    <row r="30" spans="1:14" ht="13.35" customHeight="1" x14ac:dyDescent="0.25">
      <c r="A30" s="108" t="s">
        <v>206</v>
      </c>
      <c r="B30" s="116">
        <v>0.61</v>
      </c>
      <c r="C30" s="117">
        <v>0.61</v>
      </c>
      <c r="D30" s="118">
        <v>0.63</v>
      </c>
      <c r="E30" s="176">
        <v>0.61</v>
      </c>
      <c r="F30" s="177">
        <v>0.57999999999999996</v>
      </c>
      <c r="G30" s="177">
        <v>0.56999999999999995</v>
      </c>
      <c r="H30" s="178">
        <v>0.55000000000000004</v>
      </c>
      <c r="I30" s="179">
        <v>0.5</v>
      </c>
      <c r="J30" s="180">
        <v>0.47</v>
      </c>
      <c r="K30" s="181"/>
      <c r="L30" s="182"/>
      <c r="M30" s="183"/>
      <c r="N30" s="183"/>
    </row>
    <row r="31" spans="1:14" ht="13.35" customHeight="1" x14ac:dyDescent="0.25">
      <c r="A31" s="153" t="s">
        <v>207</v>
      </c>
      <c r="B31" s="109">
        <v>7386</v>
      </c>
      <c r="C31" s="110">
        <v>7276</v>
      </c>
      <c r="D31" s="111">
        <v>7080</v>
      </c>
      <c r="E31" s="112">
        <v>6736</v>
      </c>
      <c r="F31" s="113">
        <v>6860</v>
      </c>
      <c r="G31" s="113">
        <v>6768</v>
      </c>
      <c r="H31" s="114">
        <v>6597</v>
      </c>
      <c r="I31" s="112">
        <v>6629</v>
      </c>
      <c r="J31" s="113">
        <v>6094</v>
      </c>
      <c r="K31" s="187"/>
      <c r="L31" s="188"/>
      <c r="M31" s="189"/>
      <c r="N31" s="189"/>
    </row>
    <row r="32" spans="1:14" ht="13.35" customHeight="1" x14ac:dyDescent="0.25">
      <c r="A32" s="153" t="s">
        <v>208</v>
      </c>
      <c r="B32" s="116">
        <v>0.5</v>
      </c>
      <c r="C32" s="117">
        <v>0.5</v>
      </c>
      <c r="D32" s="118">
        <v>0.49</v>
      </c>
      <c r="E32" s="176">
        <v>0.51</v>
      </c>
      <c r="F32" s="177">
        <v>0.45</v>
      </c>
      <c r="G32" s="177">
        <v>0.48</v>
      </c>
      <c r="H32" s="178">
        <v>0.42</v>
      </c>
      <c r="I32" s="179">
        <v>0.35</v>
      </c>
      <c r="J32" s="180">
        <v>0.34</v>
      </c>
      <c r="K32" s="190">
        <v>0.5</v>
      </c>
      <c r="L32" s="191">
        <v>0.45</v>
      </c>
      <c r="M32" s="192">
        <v>0.46</v>
      </c>
      <c r="N32" s="192">
        <v>0.32</v>
      </c>
    </row>
    <row r="33" spans="1:14" ht="13.35" customHeight="1" x14ac:dyDescent="0.25">
      <c r="A33" s="153" t="s">
        <v>209</v>
      </c>
      <c r="B33" s="109">
        <v>1041</v>
      </c>
      <c r="C33" s="110">
        <v>1398</v>
      </c>
      <c r="D33" s="111">
        <v>1162</v>
      </c>
      <c r="E33" s="112">
        <v>1030</v>
      </c>
      <c r="F33" s="113">
        <v>1052</v>
      </c>
      <c r="G33" s="113">
        <v>1007</v>
      </c>
      <c r="H33" s="114">
        <v>962</v>
      </c>
      <c r="I33" s="112">
        <v>1256</v>
      </c>
      <c r="J33" s="113">
        <v>819</v>
      </c>
      <c r="K33" s="115">
        <v>3601</v>
      </c>
      <c r="L33" s="114">
        <v>3021</v>
      </c>
      <c r="M33" s="110">
        <v>4051</v>
      </c>
      <c r="N33" s="110">
        <v>3422</v>
      </c>
    </row>
    <row r="34" spans="1:14" ht="13.35" customHeight="1" x14ac:dyDescent="0.25">
      <c r="A34" s="153" t="s">
        <v>210</v>
      </c>
      <c r="B34" s="109">
        <v>1041</v>
      </c>
      <c r="C34" s="110">
        <v>1397</v>
      </c>
      <c r="D34" s="111">
        <v>1162</v>
      </c>
      <c r="E34" s="112">
        <v>1030</v>
      </c>
      <c r="F34" s="113">
        <v>1052</v>
      </c>
      <c r="G34" s="113">
        <v>1009</v>
      </c>
      <c r="H34" s="114">
        <v>963</v>
      </c>
      <c r="I34" s="112">
        <v>1254</v>
      </c>
      <c r="J34" s="113">
        <v>820</v>
      </c>
      <c r="K34" s="115">
        <v>3600</v>
      </c>
      <c r="L34" s="114">
        <v>3024</v>
      </c>
      <c r="M34" s="110">
        <v>4054</v>
      </c>
      <c r="N34" s="110">
        <v>3418</v>
      </c>
    </row>
    <row r="35" spans="1:14" ht="13.35" customHeight="1" x14ac:dyDescent="0.25">
      <c r="A35" s="153" t="s">
        <v>211</v>
      </c>
      <c r="B35" s="116">
        <v>0.55000000000000004</v>
      </c>
      <c r="C35" s="117">
        <v>0.75</v>
      </c>
      <c r="D35" s="118">
        <v>0.6</v>
      </c>
      <c r="E35" s="176">
        <v>0.54</v>
      </c>
      <c r="F35" s="177">
        <v>0.55000000000000004</v>
      </c>
      <c r="G35" s="177">
        <v>0.54</v>
      </c>
      <c r="H35" s="178">
        <v>0.5</v>
      </c>
      <c r="I35" s="179">
        <v>0.65</v>
      </c>
      <c r="J35" s="180">
        <v>0.42</v>
      </c>
      <c r="K35" s="122">
        <v>0.63</v>
      </c>
      <c r="L35" s="118">
        <v>0.53</v>
      </c>
      <c r="M35" s="117">
        <v>0.53</v>
      </c>
      <c r="N35" s="117">
        <v>0.44</v>
      </c>
    </row>
    <row r="36" spans="1:14" ht="13.35" customHeight="1" x14ac:dyDescent="0.25">
      <c r="A36" s="153" t="s">
        <v>212</v>
      </c>
      <c r="B36" s="116">
        <v>0.51</v>
      </c>
      <c r="C36" s="117">
        <v>0.56999999999999995</v>
      </c>
      <c r="D36" s="118">
        <v>0.55000000000000004</v>
      </c>
      <c r="E36" s="176">
        <v>0.55000000000000004</v>
      </c>
      <c r="F36" s="177">
        <v>0.51</v>
      </c>
      <c r="G36" s="177">
        <v>0.52</v>
      </c>
      <c r="H36" s="178">
        <v>0.49</v>
      </c>
      <c r="I36" s="179">
        <v>0.42</v>
      </c>
      <c r="J36" s="180">
        <v>0.38</v>
      </c>
      <c r="K36" s="122">
        <v>0.54</v>
      </c>
      <c r="L36" s="118">
        <v>0.51</v>
      </c>
      <c r="M36" s="117">
        <v>0.52</v>
      </c>
      <c r="N36" s="117">
        <v>0.35</v>
      </c>
    </row>
    <row r="37" spans="1:14" ht="13.35" customHeight="1" x14ac:dyDescent="0.25">
      <c r="A37" s="92" t="s">
        <v>213</v>
      </c>
      <c r="B37" s="93"/>
      <c r="C37" s="94"/>
      <c r="D37" s="95"/>
      <c r="E37" s="138"/>
      <c r="F37" s="93"/>
      <c r="G37" s="93"/>
      <c r="H37" s="139"/>
      <c r="I37" s="138"/>
      <c r="J37" s="93"/>
      <c r="K37" s="140"/>
      <c r="L37" s="141"/>
      <c r="M37" s="142"/>
      <c r="N37" s="142"/>
    </row>
    <row r="38" spans="1:14" ht="13.35" customHeight="1" x14ac:dyDescent="0.25">
      <c r="A38" s="143" t="s">
        <v>214</v>
      </c>
      <c r="B38" s="144">
        <v>13.3</v>
      </c>
      <c r="C38" s="145">
        <v>13.2</v>
      </c>
      <c r="D38" s="146">
        <v>12.9</v>
      </c>
      <c r="E38" s="147">
        <v>13.1</v>
      </c>
      <c r="F38" s="148">
        <v>13.3</v>
      </c>
      <c r="G38" s="148">
        <v>13.2</v>
      </c>
      <c r="H38" s="149">
        <v>12.9</v>
      </c>
      <c r="I38" s="147">
        <v>13</v>
      </c>
      <c r="J38" s="148">
        <v>12.7</v>
      </c>
      <c r="K38" s="150"/>
      <c r="L38" s="151"/>
      <c r="M38" s="193"/>
      <c r="N38" s="193"/>
    </row>
    <row r="39" spans="1:14" ht="13.35" customHeight="1" x14ac:dyDescent="0.25">
      <c r="A39" s="153" t="s">
        <v>215</v>
      </c>
      <c r="B39" s="123">
        <v>15.2</v>
      </c>
      <c r="C39" s="124">
        <v>15.4</v>
      </c>
      <c r="D39" s="125">
        <v>15.1</v>
      </c>
      <c r="E39" s="126">
        <v>15</v>
      </c>
      <c r="F39" s="127">
        <v>15.3</v>
      </c>
      <c r="G39" s="127">
        <v>15.2</v>
      </c>
      <c r="H39" s="128">
        <v>14.8</v>
      </c>
      <c r="I39" s="126">
        <v>14.8</v>
      </c>
      <c r="J39" s="127">
        <v>14.6</v>
      </c>
      <c r="K39" s="154"/>
      <c r="L39" s="155"/>
      <c r="M39" s="156"/>
      <c r="N39" s="156"/>
    </row>
    <row r="40" spans="1:14" ht="13.35" customHeight="1" x14ac:dyDescent="0.25">
      <c r="A40" s="153" t="s">
        <v>216</v>
      </c>
      <c r="B40" s="123">
        <v>16.899999999999999</v>
      </c>
      <c r="C40" s="124">
        <v>17.100000000000001</v>
      </c>
      <c r="D40" s="125">
        <v>16.8</v>
      </c>
      <c r="E40" s="126">
        <v>16.7</v>
      </c>
      <c r="F40" s="127">
        <v>17.100000000000001</v>
      </c>
      <c r="G40" s="127">
        <v>17.100000000000001</v>
      </c>
      <c r="H40" s="128">
        <v>16.7</v>
      </c>
      <c r="I40" s="126">
        <v>17.2</v>
      </c>
      <c r="J40" s="127">
        <v>16.899999999999999</v>
      </c>
      <c r="K40" s="154"/>
      <c r="L40" s="155"/>
      <c r="M40" s="156"/>
      <c r="N40" s="156"/>
    </row>
    <row r="41" spans="1:14" ht="13.35" customHeight="1" x14ac:dyDescent="0.25">
      <c r="A41" s="153" t="s">
        <v>217</v>
      </c>
      <c r="B41" s="123">
        <v>4.5</v>
      </c>
      <c r="C41" s="124">
        <v>4.5</v>
      </c>
      <c r="D41" s="125">
        <v>4.4000000000000004</v>
      </c>
      <c r="E41" s="126">
        <v>4.4000000000000004</v>
      </c>
      <c r="F41" s="127">
        <v>4.5</v>
      </c>
      <c r="G41" s="127">
        <v>4.4000000000000004</v>
      </c>
      <c r="H41" s="128">
        <v>4.3</v>
      </c>
      <c r="I41" s="126">
        <v>4.2</v>
      </c>
      <c r="J41" s="127">
        <v>4.0999999999999996</v>
      </c>
      <c r="K41" s="154"/>
      <c r="L41" s="155"/>
      <c r="M41" s="156"/>
      <c r="N41" s="156"/>
    </row>
    <row r="42" spans="1:14" ht="13.35" customHeight="1" x14ac:dyDescent="0.25">
      <c r="A42" s="153" t="s">
        <v>218</v>
      </c>
      <c r="B42" s="109">
        <v>463484</v>
      </c>
      <c r="C42" s="110">
        <v>458989</v>
      </c>
      <c r="D42" s="111">
        <v>468124</v>
      </c>
      <c r="E42" s="112">
        <v>463992</v>
      </c>
      <c r="F42" s="113">
        <v>453658</v>
      </c>
      <c r="G42" s="113">
        <v>450191</v>
      </c>
      <c r="H42" s="114">
        <v>451018</v>
      </c>
      <c r="I42" s="112">
        <v>440017</v>
      </c>
      <c r="J42" s="113">
        <v>439814</v>
      </c>
      <c r="K42" s="194"/>
      <c r="L42" s="195"/>
      <c r="M42" s="196"/>
      <c r="N42" s="196"/>
    </row>
    <row r="43" spans="1:14" ht="13.35" customHeight="1" x14ac:dyDescent="0.25">
      <c r="A43" s="153" t="s">
        <v>219</v>
      </c>
      <c r="B43" s="109">
        <v>119.78</v>
      </c>
      <c r="C43" s="110">
        <v>120</v>
      </c>
      <c r="D43" s="111">
        <v>117</v>
      </c>
      <c r="E43" s="115">
        <v>119</v>
      </c>
      <c r="F43" s="110">
        <v>117</v>
      </c>
      <c r="G43" s="110">
        <v>117</v>
      </c>
      <c r="H43" s="111">
        <v>117</v>
      </c>
      <c r="I43" s="115">
        <v>116</v>
      </c>
      <c r="J43" s="110">
        <v>114</v>
      </c>
      <c r="K43" s="184"/>
      <c r="L43" s="185"/>
      <c r="M43" s="186"/>
      <c r="N43" s="186"/>
    </row>
    <row r="44" spans="1:14" ht="13.35" customHeight="1" x14ac:dyDescent="0.25">
      <c r="A44" s="197" t="s">
        <v>220</v>
      </c>
      <c r="B44" s="198">
        <v>126</v>
      </c>
      <c r="C44" s="199">
        <v>131</v>
      </c>
      <c r="D44" s="200">
        <v>128</v>
      </c>
      <c r="E44" s="201">
        <v>131</v>
      </c>
      <c r="F44" s="202">
        <v>133</v>
      </c>
      <c r="G44" s="202">
        <v>129</v>
      </c>
      <c r="H44" s="203">
        <v>132</v>
      </c>
      <c r="I44" s="201">
        <v>136</v>
      </c>
      <c r="J44" s="202">
        <v>133</v>
      </c>
      <c r="K44" s="184"/>
      <c r="L44" s="185"/>
      <c r="M44" s="186"/>
      <c r="N44" s="186"/>
    </row>
    <row r="45" spans="1:14" ht="13.35" customHeight="1" x14ac:dyDescent="0.25">
      <c r="A45" s="204" t="s">
        <v>221</v>
      </c>
      <c r="B45" s="205">
        <v>8.6</v>
      </c>
      <c r="C45" s="206">
        <v>8.9</v>
      </c>
      <c r="D45" s="207">
        <v>8.5</v>
      </c>
      <c r="E45" s="208">
        <v>8.8000000000000007</v>
      </c>
      <c r="F45" s="209">
        <v>8.5</v>
      </c>
      <c r="G45" s="209">
        <v>8.4</v>
      </c>
      <c r="H45" s="210">
        <v>8.4</v>
      </c>
      <c r="I45" s="208">
        <v>8.6</v>
      </c>
      <c r="J45" s="209">
        <v>8.6999999999999993</v>
      </c>
      <c r="K45" s="194"/>
      <c r="L45" s="195"/>
      <c r="M45" s="196"/>
      <c r="N45" s="196"/>
    </row>
    <row r="46" spans="1:14" ht="13.35" customHeight="1" x14ac:dyDescent="0.25">
      <c r="A46" s="211" t="s">
        <v>222</v>
      </c>
      <c r="B46" s="212">
        <v>29</v>
      </c>
      <c r="C46" s="213">
        <v>30.3</v>
      </c>
      <c r="D46" s="214">
        <v>28.8</v>
      </c>
      <c r="E46" s="215">
        <v>29.7</v>
      </c>
      <c r="F46" s="213">
        <v>29.1</v>
      </c>
      <c r="G46" s="213">
        <v>28.9</v>
      </c>
      <c r="H46" s="214">
        <v>28.9</v>
      </c>
      <c r="I46" s="215">
        <v>30.6</v>
      </c>
      <c r="J46" s="213">
        <v>30.5</v>
      </c>
      <c r="K46" s="216"/>
      <c r="L46" s="217"/>
      <c r="M46" s="218"/>
      <c r="N46" s="218"/>
    </row>
    <row r="47" spans="1:14" ht="13.35" customHeight="1" x14ac:dyDescent="0.25">
      <c r="A47" s="3465"/>
      <c r="B47" s="3465" t="s">
        <v>14</v>
      </c>
      <c r="C47" s="3465" t="s">
        <v>14</v>
      </c>
      <c r="D47" s="3465" t="s">
        <v>14</v>
      </c>
      <c r="E47" s="3465" t="s">
        <v>14</v>
      </c>
      <c r="F47" s="3465" t="s">
        <v>14</v>
      </c>
      <c r="G47" s="3465" t="s">
        <v>14</v>
      </c>
      <c r="H47" s="3465" t="s">
        <v>14</v>
      </c>
      <c r="I47" s="3465" t="s">
        <v>14</v>
      </c>
      <c r="J47" s="3465" t="s">
        <v>14</v>
      </c>
      <c r="K47" s="3465" t="s">
        <v>14</v>
      </c>
      <c r="L47" s="3465" t="s">
        <v>14</v>
      </c>
      <c r="M47" s="3465" t="s">
        <v>14</v>
      </c>
      <c r="N47" s="3465" t="s">
        <v>14</v>
      </c>
    </row>
    <row r="48" spans="1:14" ht="9" customHeight="1" x14ac:dyDescent="0.25">
      <c r="A48" s="3464" t="s">
        <v>223</v>
      </c>
      <c r="B48" s="3464" t="s">
        <v>14</v>
      </c>
      <c r="C48" s="3464" t="s">
        <v>14</v>
      </c>
      <c r="D48" s="3464" t="s">
        <v>14</v>
      </c>
      <c r="E48" s="3464" t="s">
        <v>14</v>
      </c>
      <c r="F48" s="3464" t="s">
        <v>14</v>
      </c>
      <c r="G48" s="3464" t="s">
        <v>14</v>
      </c>
      <c r="H48" s="3464" t="s">
        <v>14</v>
      </c>
      <c r="I48" s="3464" t="s">
        <v>14</v>
      </c>
      <c r="J48" s="3464" t="s">
        <v>14</v>
      </c>
      <c r="K48" s="3464" t="s">
        <v>14</v>
      </c>
      <c r="L48" s="3464" t="s">
        <v>14</v>
      </c>
      <c r="M48" s="3464" t="s">
        <v>14</v>
      </c>
      <c r="N48" s="3464" t="s">
        <v>14</v>
      </c>
    </row>
    <row r="49" spans="1:14" ht="9" customHeight="1" x14ac:dyDescent="0.25">
      <c r="A49" s="3464" t="s">
        <v>224</v>
      </c>
      <c r="B49" s="3464" t="s">
        <v>14</v>
      </c>
      <c r="C49" s="3464" t="s">
        <v>14</v>
      </c>
      <c r="D49" s="3464" t="s">
        <v>14</v>
      </c>
      <c r="E49" s="3464" t="s">
        <v>14</v>
      </c>
      <c r="F49" s="3464" t="s">
        <v>14</v>
      </c>
      <c r="G49" s="3464" t="s">
        <v>14</v>
      </c>
      <c r="H49" s="3464" t="s">
        <v>14</v>
      </c>
      <c r="I49" s="3464" t="s">
        <v>14</v>
      </c>
      <c r="J49" s="3464" t="s">
        <v>14</v>
      </c>
      <c r="K49" s="3464" t="s">
        <v>14</v>
      </c>
      <c r="L49" s="3464" t="s">
        <v>14</v>
      </c>
      <c r="M49" s="3464" t="s">
        <v>14</v>
      </c>
      <c r="N49" s="3464" t="s">
        <v>14</v>
      </c>
    </row>
    <row r="50" spans="1:14" ht="9" customHeight="1" x14ac:dyDescent="0.25">
      <c r="A50" s="3464" t="s">
        <v>225</v>
      </c>
      <c r="B50" s="3464" t="s">
        <v>14</v>
      </c>
      <c r="C50" s="3464" t="s">
        <v>14</v>
      </c>
      <c r="D50" s="3464" t="s">
        <v>14</v>
      </c>
      <c r="E50" s="3464" t="s">
        <v>14</v>
      </c>
      <c r="F50" s="3464" t="s">
        <v>14</v>
      </c>
      <c r="G50" s="3464" t="s">
        <v>14</v>
      </c>
      <c r="H50" s="3464" t="s">
        <v>14</v>
      </c>
      <c r="I50" s="3464" t="s">
        <v>14</v>
      </c>
      <c r="J50" s="3464" t="s">
        <v>14</v>
      </c>
      <c r="K50" s="3464" t="s">
        <v>14</v>
      </c>
      <c r="L50" s="3464" t="s">
        <v>14</v>
      </c>
      <c r="M50" s="3464" t="s">
        <v>14</v>
      </c>
      <c r="N50" s="3464" t="s">
        <v>14</v>
      </c>
    </row>
    <row r="51" spans="1:14" ht="9" customHeight="1" x14ac:dyDescent="0.25">
      <c r="A51" s="3464" t="s">
        <v>226</v>
      </c>
      <c r="B51" s="3464" t="s">
        <v>14</v>
      </c>
      <c r="C51" s="3464" t="s">
        <v>14</v>
      </c>
      <c r="D51" s="3464" t="s">
        <v>14</v>
      </c>
      <c r="E51" s="3464" t="s">
        <v>14</v>
      </c>
      <c r="F51" s="3464" t="s">
        <v>14</v>
      </c>
      <c r="G51" s="3464" t="s">
        <v>14</v>
      </c>
      <c r="H51" s="3464" t="s">
        <v>14</v>
      </c>
      <c r="I51" s="3464" t="s">
        <v>14</v>
      </c>
      <c r="J51" s="3464" t="s">
        <v>14</v>
      </c>
      <c r="K51" s="3464" t="s">
        <v>14</v>
      </c>
      <c r="L51" s="3464" t="s">
        <v>14</v>
      </c>
      <c r="M51" s="3464" t="s">
        <v>14</v>
      </c>
      <c r="N51" s="3464" t="s">
        <v>14</v>
      </c>
    </row>
    <row r="52" spans="1:14" ht="9" customHeight="1" x14ac:dyDescent="0.25">
      <c r="A52" s="3464" t="s">
        <v>227</v>
      </c>
      <c r="B52" s="3464" t="s">
        <v>14</v>
      </c>
      <c r="C52" s="3464" t="s">
        <v>14</v>
      </c>
      <c r="D52" s="3464" t="s">
        <v>14</v>
      </c>
      <c r="E52" s="3464" t="s">
        <v>14</v>
      </c>
      <c r="F52" s="3464" t="s">
        <v>14</v>
      </c>
      <c r="G52" s="3464" t="s">
        <v>14</v>
      </c>
      <c r="H52" s="3464" t="s">
        <v>14</v>
      </c>
      <c r="I52" s="3464" t="s">
        <v>14</v>
      </c>
      <c r="J52" s="3464" t="s">
        <v>14</v>
      </c>
      <c r="K52" s="3464" t="s">
        <v>14</v>
      </c>
      <c r="L52" s="3464" t="s">
        <v>14</v>
      </c>
      <c r="M52" s="3464" t="s">
        <v>14</v>
      </c>
      <c r="N52" s="3464" t="s">
        <v>14</v>
      </c>
    </row>
    <row r="53" spans="1:14" ht="9" customHeight="1" x14ac:dyDescent="0.25">
      <c r="A53" s="3463" t="s">
        <v>228</v>
      </c>
      <c r="B53" s="3464" t="s">
        <v>14</v>
      </c>
      <c r="C53" s="3464" t="s">
        <v>14</v>
      </c>
      <c r="D53" s="3464" t="s">
        <v>14</v>
      </c>
      <c r="E53" s="3464" t="s">
        <v>14</v>
      </c>
      <c r="F53" s="3464" t="s">
        <v>14</v>
      </c>
      <c r="G53" s="3464" t="s">
        <v>14</v>
      </c>
      <c r="H53" s="3464" t="s">
        <v>14</v>
      </c>
      <c r="I53" s="3464" t="s">
        <v>14</v>
      </c>
      <c r="J53" s="3464" t="s">
        <v>14</v>
      </c>
      <c r="K53" s="3464" t="s">
        <v>14</v>
      </c>
      <c r="L53" s="3464" t="s">
        <v>14</v>
      </c>
      <c r="M53" s="3464" t="s">
        <v>14</v>
      </c>
      <c r="N53" s="3464" t="s">
        <v>14</v>
      </c>
    </row>
    <row r="54" spans="1:14" ht="9" customHeight="1" x14ac:dyDescent="0.25">
      <c r="A54" s="3464" t="s">
        <v>229</v>
      </c>
      <c r="B54" s="3464" t="s">
        <v>14</v>
      </c>
      <c r="C54" s="3464" t="s">
        <v>14</v>
      </c>
      <c r="D54" s="3464" t="s">
        <v>14</v>
      </c>
      <c r="E54" s="3464" t="s">
        <v>14</v>
      </c>
      <c r="F54" s="3464" t="s">
        <v>14</v>
      </c>
      <c r="G54" s="3464" t="s">
        <v>14</v>
      </c>
      <c r="H54" s="3464" t="s">
        <v>14</v>
      </c>
      <c r="I54" s="3464" t="s">
        <v>14</v>
      </c>
      <c r="J54" s="3464" t="s">
        <v>14</v>
      </c>
      <c r="K54" s="3464" t="s">
        <v>14</v>
      </c>
      <c r="L54" s="3464" t="s">
        <v>14</v>
      </c>
      <c r="M54" s="3464" t="s">
        <v>14</v>
      </c>
      <c r="N54" s="3464" t="s">
        <v>14</v>
      </c>
    </row>
    <row r="55" spans="1:14" ht="9" customHeight="1" x14ac:dyDescent="0.25">
      <c r="A55" s="3464" t="s">
        <v>1040</v>
      </c>
      <c r="B55" s="3464" t="s">
        <v>14</v>
      </c>
      <c r="C55" s="3464" t="s">
        <v>14</v>
      </c>
      <c r="D55" s="3464" t="s">
        <v>14</v>
      </c>
      <c r="E55" s="3464" t="s">
        <v>14</v>
      </c>
      <c r="F55" s="3464" t="s">
        <v>14</v>
      </c>
      <c r="G55" s="3464" t="s">
        <v>14</v>
      </c>
      <c r="H55" s="3464" t="s">
        <v>14</v>
      </c>
      <c r="I55" s="3464" t="s">
        <v>14</v>
      </c>
      <c r="J55" s="3464" t="s">
        <v>14</v>
      </c>
      <c r="K55" s="3464" t="s">
        <v>14</v>
      </c>
      <c r="L55" s="3464" t="s">
        <v>14</v>
      </c>
      <c r="M55" s="3464" t="s">
        <v>14</v>
      </c>
      <c r="N55" s="3464" t="s">
        <v>14</v>
      </c>
    </row>
    <row r="56" spans="1:14" ht="9" customHeight="1" x14ac:dyDescent="0.25">
      <c r="A56" s="3464" t="s">
        <v>230</v>
      </c>
      <c r="B56" s="3464" t="s">
        <v>14</v>
      </c>
      <c r="C56" s="3464" t="s">
        <v>14</v>
      </c>
      <c r="D56" s="3464" t="s">
        <v>14</v>
      </c>
      <c r="E56" s="3464" t="s">
        <v>14</v>
      </c>
      <c r="F56" s="3464" t="s">
        <v>14</v>
      </c>
      <c r="G56" s="3464" t="s">
        <v>14</v>
      </c>
      <c r="H56" s="3464" t="s">
        <v>14</v>
      </c>
      <c r="I56" s="3464" t="s">
        <v>14</v>
      </c>
      <c r="J56" s="3464" t="s">
        <v>14</v>
      </c>
      <c r="K56" s="3464" t="s">
        <v>14</v>
      </c>
      <c r="L56" s="3464" t="s">
        <v>14</v>
      </c>
      <c r="M56" s="3464" t="s">
        <v>14</v>
      </c>
      <c r="N56" s="3464" t="s">
        <v>14</v>
      </c>
    </row>
  </sheetData>
  <mergeCells count="16">
    <mergeCell ref="A2:N2"/>
    <mergeCell ref="B3:D3"/>
    <mergeCell ref="E3:H3"/>
    <mergeCell ref="I3:J3"/>
    <mergeCell ref="K3:L3"/>
    <mergeCell ref="M3:N3"/>
    <mergeCell ref="A53:N53"/>
    <mergeCell ref="A54:N54"/>
    <mergeCell ref="A55:N55"/>
    <mergeCell ref="A56:N56"/>
    <mergeCell ref="A47:N47"/>
    <mergeCell ref="A48:N48"/>
    <mergeCell ref="A49:N49"/>
    <mergeCell ref="A50:N50"/>
    <mergeCell ref="A51:N51"/>
    <mergeCell ref="A52:N52"/>
  </mergeCells>
  <hyperlinks>
    <hyperlink ref="A1" location="ToC!A2" display="Back to Table of Contents" xr:uid="{629139A0-9258-4C23-88B9-23C783CB3C06}"/>
  </hyperlinks>
  <pageMargins left="0.5" right="0.5" top="0.5" bottom="0.5" header="0.25" footer="0.25"/>
  <pageSetup scale="59" orientation="landscape" r:id="rId1"/>
  <headerFooter>
    <oddFooter>&amp;L&amp;G&amp;C&amp;"Scotia,Regular"&amp;9Supplementary Financial Information (SFI)&amp;R1&amp;"Scotia,Regular"&amp;7</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0CAC-6A4B-47FB-9463-BCF3CBAAC69A}">
  <sheetPr>
    <pageSetUpPr fitToPage="1"/>
  </sheetPr>
  <dimension ref="A1:N43"/>
  <sheetViews>
    <sheetView showGridLines="0" zoomScaleNormal="100" workbookViewId="0"/>
  </sheetViews>
  <sheetFormatPr defaultColWidth="8.77734375" defaultRowHeight="13.2" x14ac:dyDescent="0.25"/>
  <cols>
    <col min="1" max="1" width="60.77734375" style="22" customWidth="1"/>
    <col min="2" max="14" width="9.44140625" style="22" customWidth="1"/>
    <col min="15" max="16384" width="8.77734375" style="22"/>
  </cols>
  <sheetData>
    <row r="1" spans="1:14" ht="19.95" customHeight="1" x14ac:dyDescent="0.25">
      <c r="A1" s="21" t="s">
        <v>12</v>
      </c>
    </row>
    <row r="2" spans="1:14" ht="24.6" customHeight="1" x14ac:dyDescent="0.25">
      <c r="A2" s="3474" t="s">
        <v>231</v>
      </c>
      <c r="B2" s="3475" t="s">
        <v>14</v>
      </c>
      <c r="C2" s="3475" t="s">
        <v>14</v>
      </c>
      <c r="D2" s="3475" t="s">
        <v>14</v>
      </c>
      <c r="E2" s="3474" t="s">
        <v>14</v>
      </c>
      <c r="F2" s="3474" t="s">
        <v>14</v>
      </c>
      <c r="G2" s="3474" t="s">
        <v>14</v>
      </c>
      <c r="H2" s="3474" t="s">
        <v>14</v>
      </c>
      <c r="I2" s="3474" t="s">
        <v>14</v>
      </c>
      <c r="J2" s="3474" t="s">
        <v>14</v>
      </c>
      <c r="K2" s="3475" t="s">
        <v>14</v>
      </c>
      <c r="L2" s="3475" t="s">
        <v>14</v>
      </c>
      <c r="M2" s="3475" t="s">
        <v>14</v>
      </c>
      <c r="N2" s="3475" t="s">
        <v>14</v>
      </c>
    </row>
    <row r="3" spans="1:14" ht="13.35" customHeight="1" x14ac:dyDescent="0.25">
      <c r="A3" s="219"/>
      <c r="B3" s="3476" t="s">
        <v>172</v>
      </c>
      <c r="C3" s="3476" t="s">
        <v>14</v>
      </c>
      <c r="D3" s="3477" t="s">
        <v>14</v>
      </c>
      <c r="E3" s="3478">
        <v>2024</v>
      </c>
      <c r="F3" s="3479" t="s">
        <v>14</v>
      </c>
      <c r="G3" s="3479" t="s">
        <v>14</v>
      </c>
      <c r="H3" s="3480" t="s">
        <v>14</v>
      </c>
      <c r="I3" s="3478">
        <v>2023</v>
      </c>
      <c r="J3" s="3479" t="s">
        <v>14</v>
      </c>
      <c r="K3" s="3481" t="s">
        <v>173</v>
      </c>
      <c r="L3" s="3482" t="s">
        <v>14</v>
      </c>
      <c r="M3" s="3483" t="s">
        <v>174</v>
      </c>
      <c r="N3" s="3483" t="s">
        <v>14</v>
      </c>
    </row>
    <row r="4" spans="1:14" ht="13.35" customHeight="1" x14ac:dyDescent="0.25">
      <c r="A4" s="220"/>
      <c r="B4" s="221" t="s">
        <v>176</v>
      </c>
      <c r="C4" s="222" t="s">
        <v>177</v>
      </c>
      <c r="D4" s="223" t="s">
        <v>178</v>
      </c>
      <c r="E4" s="224" t="s">
        <v>179</v>
      </c>
      <c r="F4" s="222" t="s">
        <v>180</v>
      </c>
      <c r="G4" s="222" t="s">
        <v>177</v>
      </c>
      <c r="H4" s="225" t="s">
        <v>178</v>
      </c>
      <c r="I4" s="224" t="s">
        <v>179</v>
      </c>
      <c r="J4" s="222" t="s">
        <v>180</v>
      </c>
      <c r="K4" s="226" t="s">
        <v>181</v>
      </c>
      <c r="L4" s="227">
        <v>2024</v>
      </c>
      <c r="M4" s="99">
        <v>2024</v>
      </c>
      <c r="N4" s="99">
        <v>2023</v>
      </c>
    </row>
    <row r="5" spans="1:14" ht="13.35" customHeight="1" x14ac:dyDescent="0.25">
      <c r="A5" s="228" t="s">
        <v>232</v>
      </c>
      <c r="B5" s="229"/>
      <c r="C5" s="230"/>
      <c r="D5" s="231"/>
      <c r="E5" s="232"/>
      <c r="F5" s="233"/>
      <c r="G5" s="233"/>
      <c r="H5" s="234"/>
      <c r="I5" s="232"/>
      <c r="J5" s="233"/>
      <c r="K5" s="235"/>
      <c r="L5" s="236"/>
      <c r="M5" s="233"/>
      <c r="N5" s="233"/>
    </row>
    <row r="6" spans="1:14" ht="13.35" customHeight="1" x14ac:dyDescent="0.25">
      <c r="A6" s="143" t="s">
        <v>233</v>
      </c>
      <c r="B6" s="237">
        <v>60.57</v>
      </c>
      <c r="C6" s="238">
        <v>59.96</v>
      </c>
      <c r="D6" s="239">
        <v>59.86</v>
      </c>
      <c r="E6" s="240">
        <v>59.14</v>
      </c>
      <c r="F6" s="241">
        <v>58.78</v>
      </c>
      <c r="G6" s="241">
        <v>57.4</v>
      </c>
      <c r="H6" s="242">
        <v>57.26</v>
      </c>
      <c r="I6" s="243">
        <v>56.64</v>
      </c>
      <c r="J6" s="244">
        <v>56.36</v>
      </c>
      <c r="K6" s="245">
        <v>60.57</v>
      </c>
      <c r="L6" s="246">
        <v>58.78</v>
      </c>
      <c r="M6" s="244">
        <v>59.14</v>
      </c>
      <c r="N6" s="244">
        <v>56.64</v>
      </c>
    </row>
    <row r="7" spans="1:14" ht="13.35" customHeight="1" x14ac:dyDescent="0.25">
      <c r="A7" s="153"/>
      <c r="B7" s="247"/>
      <c r="C7" s="248"/>
      <c r="D7" s="249"/>
      <c r="E7" s="250"/>
      <c r="F7" s="251"/>
      <c r="G7" s="251"/>
      <c r="H7" s="252"/>
      <c r="I7" s="250"/>
      <c r="J7" s="251"/>
      <c r="K7" s="253"/>
      <c r="L7" s="254"/>
      <c r="M7" s="251"/>
      <c r="N7" s="251"/>
    </row>
    <row r="8" spans="1:14" ht="13.35" customHeight="1" x14ac:dyDescent="0.25">
      <c r="A8" s="153" t="s">
        <v>234</v>
      </c>
      <c r="B8" s="247"/>
      <c r="C8" s="248"/>
      <c r="D8" s="249"/>
      <c r="E8" s="250"/>
      <c r="F8" s="251"/>
      <c r="G8" s="251"/>
      <c r="H8" s="252"/>
      <c r="I8" s="250"/>
      <c r="J8" s="251"/>
      <c r="K8" s="253"/>
      <c r="L8" s="254"/>
      <c r="M8" s="251"/>
      <c r="N8" s="251"/>
    </row>
    <row r="9" spans="1:14" ht="13.35" customHeight="1" x14ac:dyDescent="0.25">
      <c r="A9" s="108" t="s">
        <v>235</v>
      </c>
      <c r="B9" s="116">
        <v>77.95</v>
      </c>
      <c r="C9" s="117">
        <v>73.13</v>
      </c>
      <c r="D9" s="255">
        <v>80.14</v>
      </c>
      <c r="E9" s="119">
        <v>74.290000000000006</v>
      </c>
      <c r="F9" s="120">
        <v>66.31</v>
      </c>
      <c r="G9" s="120">
        <v>70.400000000000006</v>
      </c>
      <c r="H9" s="121">
        <v>64.59</v>
      </c>
      <c r="I9" s="119">
        <v>66.319999999999993</v>
      </c>
      <c r="J9" s="120">
        <v>68.069999999999993</v>
      </c>
      <c r="K9" s="256">
        <v>80.14</v>
      </c>
      <c r="L9" s="257">
        <v>70.400000000000006</v>
      </c>
      <c r="M9" s="120">
        <v>74.290000000000006</v>
      </c>
      <c r="N9" s="120">
        <v>74.41</v>
      </c>
    </row>
    <row r="10" spans="1:14" ht="13.35" customHeight="1" x14ac:dyDescent="0.25">
      <c r="A10" s="108" t="s">
        <v>236</v>
      </c>
      <c r="B10" s="116">
        <v>68.67</v>
      </c>
      <c r="C10" s="117">
        <v>62.57</v>
      </c>
      <c r="D10" s="255">
        <v>71.58</v>
      </c>
      <c r="E10" s="119">
        <v>60.68</v>
      </c>
      <c r="F10" s="120">
        <v>61.5</v>
      </c>
      <c r="G10" s="120">
        <v>61.57</v>
      </c>
      <c r="H10" s="121">
        <v>55.83</v>
      </c>
      <c r="I10" s="119">
        <v>55.2</v>
      </c>
      <c r="J10" s="120">
        <v>63.05</v>
      </c>
      <c r="K10" s="256">
        <v>62.57</v>
      </c>
      <c r="L10" s="257">
        <v>55.83</v>
      </c>
      <c r="M10" s="120">
        <v>55.83</v>
      </c>
      <c r="N10" s="120">
        <v>55.2</v>
      </c>
    </row>
    <row r="11" spans="1:14" ht="13.35" customHeight="1" x14ac:dyDescent="0.25">
      <c r="A11" s="108" t="s">
        <v>237</v>
      </c>
      <c r="B11" s="116">
        <v>77.09</v>
      </c>
      <c r="C11" s="117">
        <v>68.98</v>
      </c>
      <c r="D11" s="255">
        <v>74.36</v>
      </c>
      <c r="E11" s="119">
        <v>71.69</v>
      </c>
      <c r="F11" s="120">
        <v>64.47</v>
      </c>
      <c r="G11" s="120">
        <v>63.16</v>
      </c>
      <c r="H11" s="121">
        <v>62.87</v>
      </c>
      <c r="I11" s="119">
        <v>56.15</v>
      </c>
      <c r="J11" s="120">
        <v>66.400000000000006</v>
      </c>
      <c r="K11" s="256">
        <v>77.09</v>
      </c>
      <c r="L11" s="257">
        <v>64.47</v>
      </c>
      <c r="M11" s="120">
        <v>71.69</v>
      </c>
      <c r="N11" s="120">
        <v>56.15</v>
      </c>
    </row>
    <row r="12" spans="1:14" ht="13.35" customHeight="1" x14ac:dyDescent="0.25">
      <c r="A12" s="108"/>
      <c r="B12" s="258"/>
      <c r="C12" s="259"/>
      <c r="D12" s="260"/>
      <c r="E12" s="261"/>
      <c r="F12" s="262"/>
      <c r="G12" s="262"/>
      <c r="H12" s="263"/>
      <c r="I12" s="261"/>
      <c r="J12" s="262"/>
      <c r="K12" s="264"/>
      <c r="L12" s="265"/>
      <c r="M12" s="262"/>
      <c r="N12" s="262"/>
    </row>
    <row r="13" spans="1:14" ht="13.35" customHeight="1" x14ac:dyDescent="0.25">
      <c r="A13" s="153" t="s">
        <v>238</v>
      </c>
      <c r="B13" s="123">
        <v>127.3</v>
      </c>
      <c r="C13" s="124">
        <v>115</v>
      </c>
      <c r="D13" s="266">
        <v>124.2</v>
      </c>
      <c r="E13" s="126">
        <v>121.2</v>
      </c>
      <c r="F13" s="127">
        <v>109.7</v>
      </c>
      <c r="G13" s="127">
        <v>110</v>
      </c>
      <c r="H13" s="128">
        <v>109.8</v>
      </c>
      <c r="I13" s="126">
        <v>99.1</v>
      </c>
      <c r="J13" s="127">
        <v>117.8</v>
      </c>
      <c r="K13" s="267">
        <v>127.3</v>
      </c>
      <c r="L13" s="268">
        <v>109.7</v>
      </c>
      <c r="M13" s="124">
        <v>121.2</v>
      </c>
      <c r="N13" s="127">
        <v>99.1</v>
      </c>
    </row>
    <row r="14" spans="1:14" ht="13.35" customHeight="1" x14ac:dyDescent="0.25">
      <c r="A14" s="153" t="s">
        <v>239</v>
      </c>
      <c r="B14" s="123">
        <v>14.4</v>
      </c>
      <c r="C14" s="124">
        <v>13.9</v>
      </c>
      <c r="D14" s="266">
        <v>14.7</v>
      </c>
      <c r="E14" s="126">
        <v>12</v>
      </c>
      <c r="F14" s="127">
        <v>11.3</v>
      </c>
      <c r="G14" s="127">
        <v>10.5</v>
      </c>
      <c r="H14" s="128">
        <v>10.3</v>
      </c>
      <c r="I14" s="126">
        <v>9.6999999999999993</v>
      </c>
      <c r="J14" s="127">
        <v>10.4</v>
      </c>
      <c r="K14" s="267">
        <v>14.4</v>
      </c>
      <c r="L14" s="268">
        <v>11.3</v>
      </c>
      <c r="M14" s="124">
        <v>12</v>
      </c>
      <c r="N14" s="124">
        <v>9.6999999999999993</v>
      </c>
    </row>
    <row r="15" spans="1:14" ht="13.35" customHeight="1" x14ac:dyDescent="0.25">
      <c r="A15" s="153" t="s">
        <v>240</v>
      </c>
      <c r="B15" s="109">
        <v>95781</v>
      </c>
      <c r="C15" s="110">
        <v>85918</v>
      </c>
      <c r="D15" s="200">
        <v>92617</v>
      </c>
      <c r="E15" s="112">
        <v>89214</v>
      </c>
      <c r="F15" s="113">
        <v>79771</v>
      </c>
      <c r="G15" s="113">
        <v>77660</v>
      </c>
      <c r="H15" s="114">
        <v>76835</v>
      </c>
      <c r="I15" s="112">
        <v>68169</v>
      </c>
      <c r="J15" s="113">
        <v>80034</v>
      </c>
      <c r="K15" s="269">
        <v>95781</v>
      </c>
      <c r="L15" s="270">
        <v>79771</v>
      </c>
      <c r="M15" s="110">
        <v>89214</v>
      </c>
      <c r="N15" s="110">
        <v>68169</v>
      </c>
    </row>
    <row r="16" spans="1:14" ht="13.35" customHeight="1" x14ac:dyDescent="0.25">
      <c r="A16" s="271"/>
      <c r="B16" s="272"/>
      <c r="C16" s="273"/>
      <c r="D16" s="274"/>
      <c r="E16" s="275"/>
      <c r="F16" s="276"/>
      <c r="G16" s="276"/>
      <c r="H16" s="277"/>
      <c r="I16" s="275"/>
      <c r="J16" s="276"/>
      <c r="K16" s="278"/>
      <c r="L16" s="279"/>
      <c r="M16" s="273"/>
      <c r="N16" s="273"/>
    </row>
    <row r="17" spans="1:14" ht="13.35" customHeight="1" x14ac:dyDescent="0.25">
      <c r="A17" s="228" t="s">
        <v>241</v>
      </c>
      <c r="B17" s="280"/>
      <c r="C17" s="281"/>
      <c r="D17" s="282"/>
      <c r="E17" s="232"/>
      <c r="F17" s="233"/>
      <c r="G17" s="233"/>
      <c r="H17" s="234"/>
      <c r="I17" s="232"/>
      <c r="J17" s="233"/>
      <c r="K17" s="235"/>
      <c r="L17" s="236"/>
      <c r="M17" s="233"/>
      <c r="N17" s="233"/>
    </row>
    <row r="18" spans="1:14" ht="13.35" customHeight="1" x14ac:dyDescent="0.25">
      <c r="A18" s="143" t="s">
        <v>242</v>
      </c>
      <c r="B18" s="167">
        <v>1367</v>
      </c>
      <c r="C18" s="168">
        <v>1321</v>
      </c>
      <c r="D18" s="283">
        <v>1320</v>
      </c>
      <c r="E18" s="170">
        <v>1312</v>
      </c>
      <c r="F18" s="171">
        <v>1304</v>
      </c>
      <c r="G18" s="171">
        <v>1295</v>
      </c>
      <c r="H18" s="172">
        <v>1287</v>
      </c>
      <c r="I18" s="170">
        <v>1278</v>
      </c>
      <c r="J18" s="171">
        <v>1270</v>
      </c>
      <c r="K18" s="284">
        <v>4008</v>
      </c>
      <c r="L18" s="285">
        <v>3886</v>
      </c>
      <c r="M18" s="168">
        <v>5198</v>
      </c>
      <c r="N18" s="168">
        <v>5003</v>
      </c>
    </row>
    <row r="19" spans="1:14" ht="13.35" customHeight="1" x14ac:dyDescent="0.25">
      <c r="A19" s="153" t="s">
        <v>243</v>
      </c>
      <c r="B19" s="116">
        <v>1.1000000000000001</v>
      </c>
      <c r="C19" s="117">
        <v>1.06</v>
      </c>
      <c r="D19" s="255">
        <v>1.06</v>
      </c>
      <c r="E19" s="119">
        <v>1.06</v>
      </c>
      <c r="F19" s="120">
        <v>1.06</v>
      </c>
      <c r="G19" s="120">
        <v>1.06</v>
      </c>
      <c r="H19" s="121">
        <v>1.06</v>
      </c>
      <c r="I19" s="119">
        <v>1.06</v>
      </c>
      <c r="J19" s="120">
        <v>1.06</v>
      </c>
      <c r="K19" s="256">
        <v>3.22</v>
      </c>
      <c r="L19" s="257">
        <v>3.18</v>
      </c>
      <c r="M19" s="117">
        <v>4.24</v>
      </c>
      <c r="N19" s="117">
        <v>4.18</v>
      </c>
    </row>
    <row r="20" spans="1:14" ht="13.35" customHeight="1" x14ac:dyDescent="0.25">
      <c r="A20" s="271"/>
      <c r="B20" s="272"/>
      <c r="C20" s="273"/>
      <c r="D20" s="274"/>
      <c r="E20" s="275"/>
      <c r="F20" s="276"/>
      <c r="G20" s="276"/>
      <c r="H20" s="277"/>
      <c r="I20" s="275"/>
      <c r="J20" s="276"/>
      <c r="K20" s="278"/>
      <c r="L20" s="279"/>
      <c r="M20" s="273"/>
      <c r="N20" s="273"/>
    </row>
    <row r="21" spans="1:14" ht="13.35" customHeight="1" x14ac:dyDescent="0.25">
      <c r="A21" s="228" t="s">
        <v>244</v>
      </c>
      <c r="B21" s="280"/>
      <c r="C21" s="281"/>
      <c r="D21" s="282"/>
      <c r="E21" s="232"/>
      <c r="F21" s="233"/>
      <c r="G21" s="233"/>
      <c r="H21" s="234"/>
      <c r="I21" s="232"/>
      <c r="J21" s="233"/>
      <c r="K21" s="235"/>
      <c r="L21" s="236"/>
      <c r="M21" s="233"/>
      <c r="N21" s="233"/>
    </row>
    <row r="22" spans="1:14" ht="13.35" customHeight="1" x14ac:dyDescent="0.25">
      <c r="A22" s="143" t="s">
        <v>245</v>
      </c>
      <c r="B22" s="167">
        <v>1242</v>
      </c>
      <c r="C22" s="168">
        <v>1246</v>
      </c>
      <c r="D22" s="283">
        <v>1246</v>
      </c>
      <c r="E22" s="170">
        <v>1244</v>
      </c>
      <c r="F22" s="171">
        <v>1237</v>
      </c>
      <c r="G22" s="171">
        <v>1230</v>
      </c>
      <c r="H22" s="172">
        <v>1222</v>
      </c>
      <c r="I22" s="170">
        <v>1214</v>
      </c>
      <c r="J22" s="171">
        <v>1205</v>
      </c>
      <c r="K22" s="286"/>
      <c r="L22" s="287"/>
      <c r="M22" s="288"/>
      <c r="N22" s="288"/>
    </row>
    <row r="23" spans="1:14" ht="13.35" customHeight="1" x14ac:dyDescent="0.25">
      <c r="A23" s="153" t="s">
        <v>246</v>
      </c>
      <c r="B23" s="131"/>
      <c r="C23" s="132"/>
      <c r="D23" s="289"/>
      <c r="E23" s="134"/>
      <c r="F23" s="135"/>
      <c r="G23" s="135"/>
      <c r="H23" s="136"/>
      <c r="I23" s="134"/>
      <c r="J23" s="135"/>
      <c r="K23" s="290"/>
      <c r="L23" s="291"/>
      <c r="M23" s="132"/>
      <c r="N23" s="132"/>
    </row>
    <row r="24" spans="1:14" ht="13.35" customHeight="1" x14ac:dyDescent="0.25">
      <c r="A24" s="108" t="s">
        <v>247</v>
      </c>
      <c r="B24" s="109">
        <v>1244</v>
      </c>
      <c r="C24" s="110">
        <v>1246</v>
      </c>
      <c r="D24" s="200">
        <v>1245</v>
      </c>
      <c r="E24" s="112">
        <v>1238</v>
      </c>
      <c r="F24" s="113">
        <v>1230</v>
      </c>
      <c r="G24" s="113">
        <v>1223</v>
      </c>
      <c r="H24" s="114">
        <v>1214</v>
      </c>
      <c r="I24" s="112">
        <v>1206</v>
      </c>
      <c r="J24" s="113">
        <v>1199</v>
      </c>
      <c r="K24" s="269">
        <v>1245</v>
      </c>
      <c r="L24" s="270">
        <v>1222</v>
      </c>
      <c r="M24" s="110">
        <v>1226</v>
      </c>
      <c r="N24" s="110">
        <v>1197</v>
      </c>
    </row>
    <row r="25" spans="1:14" ht="13.35" customHeight="1" x14ac:dyDescent="0.25">
      <c r="A25" s="108" t="s">
        <v>248</v>
      </c>
      <c r="B25" s="109">
        <v>1245</v>
      </c>
      <c r="C25" s="110">
        <v>1246</v>
      </c>
      <c r="D25" s="200">
        <v>1250</v>
      </c>
      <c r="E25" s="112">
        <v>1243</v>
      </c>
      <c r="F25" s="113">
        <v>1235</v>
      </c>
      <c r="G25" s="113">
        <v>1228</v>
      </c>
      <c r="H25" s="114">
        <v>1221</v>
      </c>
      <c r="I25" s="112">
        <v>1211</v>
      </c>
      <c r="J25" s="113">
        <v>1214</v>
      </c>
      <c r="K25" s="269">
        <v>1250</v>
      </c>
      <c r="L25" s="270">
        <v>1228</v>
      </c>
      <c r="M25" s="110">
        <v>1232</v>
      </c>
      <c r="N25" s="110">
        <v>1204</v>
      </c>
    </row>
    <row r="26" spans="1:14" ht="13.35" customHeight="1" x14ac:dyDescent="0.25">
      <c r="A26" s="157"/>
      <c r="B26" s="272"/>
      <c r="C26" s="273"/>
      <c r="D26" s="274"/>
      <c r="E26" s="275"/>
      <c r="F26" s="276"/>
      <c r="G26" s="276"/>
      <c r="H26" s="277"/>
      <c r="I26" s="275"/>
      <c r="J26" s="276"/>
      <c r="K26" s="278"/>
      <c r="L26" s="279"/>
      <c r="M26" s="276"/>
      <c r="N26" s="276"/>
    </row>
    <row r="27" spans="1:14" ht="13.35" customHeight="1" x14ac:dyDescent="0.25">
      <c r="A27" s="228" t="s">
        <v>249</v>
      </c>
      <c r="B27" s="280"/>
      <c r="C27" s="281"/>
      <c r="D27" s="282"/>
      <c r="E27" s="232"/>
      <c r="F27" s="233"/>
      <c r="G27" s="233"/>
      <c r="H27" s="234"/>
      <c r="I27" s="232"/>
      <c r="J27" s="233"/>
      <c r="K27" s="235"/>
      <c r="L27" s="236"/>
      <c r="M27" s="233"/>
      <c r="N27" s="233"/>
    </row>
    <row r="28" spans="1:14" ht="13.35" customHeight="1" x14ac:dyDescent="0.25">
      <c r="A28" s="143" t="s">
        <v>250</v>
      </c>
      <c r="B28" s="167">
        <v>87317</v>
      </c>
      <c r="C28" s="168">
        <v>86746</v>
      </c>
      <c r="D28" s="283">
        <v>88722</v>
      </c>
      <c r="E28" s="170">
        <v>88488</v>
      </c>
      <c r="F28" s="171">
        <v>89239</v>
      </c>
      <c r="G28" s="171">
        <v>89090</v>
      </c>
      <c r="H28" s="172">
        <v>89249</v>
      </c>
      <c r="I28" s="170">
        <v>89483</v>
      </c>
      <c r="J28" s="171">
        <v>91013</v>
      </c>
      <c r="K28" s="292"/>
      <c r="L28" s="293"/>
      <c r="M28" s="294"/>
      <c r="N28" s="294"/>
    </row>
    <row r="29" spans="1:14" ht="13.35" customHeight="1" x14ac:dyDescent="0.25">
      <c r="A29" s="153" t="s">
        <v>251</v>
      </c>
      <c r="B29" s="109">
        <v>2135</v>
      </c>
      <c r="C29" s="110">
        <v>2139</v>
      </c>
      <c r="D29" s="200">
        <v>2221</v>
      </c>
      <c r="E29" s="112">
        <v>2236</v>
      </c>
      <c r="F29" s="113">
        <v>2279</v>
      </c>
      <c r="G29" s="113">
        <v>2316</v>
      </c>
      <c r="H29" s="114">
        <v>2351</v>
      </c>
      <c r="I29" s="112">
        <v>2379</v>
      </c>
      <c r="J29" s="113">
        <v>2398</v>
      </c>
      <c r="K29" s="295"/>
      <c r="L29" s="296"/>
      <c r="M29" s="186"/>
      <c r="N29" s="186"/>
    </row>
    <row r="30" spans="1:14" ht="13.35" customHeight="1" x14ac:dyDescent="0.25">
      <c r="A30" s="153" t="s">
        <v>252</v>
      </c>
      <c r="B30" s="109">
        <v>8449</v>
      </c>
      <c r="C30" s="110">
        <v>8500</v>
      </c>
      <c r="D30" s="200">
        <v>8502</v>
      </c>
      <c r="E30" s="112">
        <v>8533</v>
      </c>
      <c r="F30" s="113">
        <v>8584</v>
      </c>
      <c r="G30" s="113">
        <v>8613</v>
      </c>
      <c r="H30" s="114">
        <v>8646</v>
      </c>
      <c r="I30" s="112">
        <v>8679</v>
      </c>
      <c r="J30" s="113">
        <v>8551</v>
      </c>
      <c r="K30" s="295"/>
      <c r="L30" s="296"/>
      <c r="M30" s="186"/>
      <c r="N30" s="186"/>
    </row>
    <row r="31" spans="1:14" ht="13.35" customHeight="1" x14ac:dyDescent="0.25">
      <c r="A31" s="271"/>
      <c r="B31" s="297"/>
      <c r="C31" s="276"/>
      <c r="D31" s="298"/>
      <c r="E31" s="299"/>
      <c r="F31" s="300"/>
      <c r="G31" s="300"/>
      <c r="H31" s="301"/>
      <c r="I31" s="275"/>
      <c r="J31" s="276"/>
      <c r="K31" s="302"/>
      <c r="L31" s="303"/>
      <c r="M31" s="304"/>
      <c r="N31" s="304"/>
    </row>
    <row r="32" spans="1:14" ht="13.35" customHeight="1" x14ac:dyDescent="0.25">
      <c r="A32" s="228" t="s">
        <v>253</v>
      </c>
      <c r="B32" s="305"/>
      <c r="C32" s="230"/>
      <c r="D32" s="231"/>
      <c r="E32" s="232"/>
      <c r="F32" s="233"/>
      <c r="G32" s="233"/>
      <c r="H32" s="234"/>
      <c r="I32" s="232"/>
      <c r="J32" s="233"/>
      <c r="K32" s="235"/>
      <c r="L32" s="236"/>
      <c r="M32" s="306"/>
      <c r="N32" s="306"/>
    </row>
    <row r="33" spans="1:14" ht="13.35" customHeight="1" x14ac:dyDescent="0.25">
      <c r="A33" s="143" t="s">
        <v>254</v>
      </c>
      <c r="B33" s="307" t="s">
        <v>255</v>
      </c>
      <c r="C33" s="308" t="s">
        <v>256</v>
      </c>
      <c r="D33" s="309" t="s">
        <v>256</v>
      </c>
      <c r="E33" s="310" t="s">
        <v>256</v>
      </c>
      <c r="F33" s="308" t="s">
        <v>256</v>
      </c>
      <c r="G33" s="308" t="s">
        <v>256</v>
      </c>
      <c r="H33" s="309" t="s">
        <v>256</v>
      </c>
      <c r="I33" s="311" t="s">
        <v>256</v>
      </c>
      <c r="J33" s="312" t="s">
        <v>256</v>
      </c>
      <c r="K33" s="292"/>
      <c r="L33" s="293"/>
      <c r="M33" s="294"/>
      <c r="N33" s="294"/>
    </row>
    <row r="34" spans="1:14" ht="13.35" customHeight="1" x14ac:dyDescent="0.25">
      <c r="A34" s="153" t="s">
        <v>257</v>
      </c>
      <c r="B34" s="313" t="s">
        <v>258</v>
      </c>
      <c r="C34" s="314" t="s">
        <v>259</v>
      </c>
      <c r="D34" s="315" t="s">
        <v>259</v>
      </c>
      <c r="E34" s="316" t="s">
        <v>259</v>
      </c>
      <c r="F34" s="314" t="s">
        <v>259</v>
      </c>
      <c r="G34" s="314" t="s">
        <v>259</v>
      </c>
      <c r="H34" s="315" t="s">
        <v>259</v>
      </c>
      <c r="I34" s="317" t="s">
        <v>259</v>
      </c>
      <c r="J34" s="318" t="s">
        <v>259</v>
      </c>
      <c r="K34" s="295"/>
      <c r="L34" s="296"/>
      <c r="M34" s="186"/>
      <c r="N34" s="186"/>
    </row>
    <row r="35" spans="1:14" ht="13.35" customHeight="1" x14ac:dyDescent="0.25">
      <c r="A35" s="153" t="s">
        <v>260</v>
      </c>
      <c r="B35" s="313" t="s">
        <v>261</v>
      </c>
      <c r="C35" s="314" t="s">
        <v>262</v>
      </c>
      <c r="D35" s="315" t="s">
        <v>262</v>
      </c>
      <c r="E35" s="316" t="s">
        <v>262</v>
      </c>
      <c r="F35" s="314" t="s">
        <v>262</v>
      </c>
      <c r="G35" s="314" t="s">
        <v>262</v>
      </c>
      <c r="H35" s="315" t="s">
        <v>262</v>
      </c>
      <c r="I35" s="317" t="s">
        <v>262</v>
      </c>
      <c r="J35" s="318" t="s">
        <v>262</v>
      </c>
      <c r="K35" s="295"/>
      <c r="L35" s="296"/>
      <c r="M35" s="186"/>
      <c r="N35" s="186"/>
    </row>
    <row r="36" spans="1:14" ht="13.35" customHeight="1" x14ac:dyDescent="0.25">
      <c r="A36" s="157" t="s">
        <v>263</v>
      </c>
      <c r="B36" s="319" t="s">
        <v>261</v>
      </c>
      <c r="C36" s="320" t="s">
        <v>262</v>
      </c>
      <c r="D36" s="321" t="s">
        <v>262</v>
      </c>
      <c r="E36" s="322" t="s">
        <v>262</v>
      </c>
      <c r="F36" s="320" t="s">
        <v>262</v>
      </c>
      <c r="G36" s="320" t="s">
        <v>262</v>
      </c>
      <c r="H36" s="321" t="s">
        <v>262</v>
      </c>
      <c r="I36" s="323" t="s">
        <v>262</v>
      </c>
      <c r="J36" s="324" t="s">
        <v>262</v>
      </c>
      <c r="K36" s="302"/>
      <c r="L36" s="325"/>
      <c r="M36" s="304"/>
      <c r="N36" s="304"/>
    </row>
    <row r="37" spans="1:14" ht="13.35" customHeight="1" x14ac:dyDescent="0.25">
      <c r="A37" s="326"/>
      <c r="B37" s="327"/>
      <c r="C37" s="328"/>
      <c r="D37" s="328"/>
      <c r="E37" s="329"/>
      <c r="F37" s="329"/>
      <c r="G37" s="329"/>
      <c r="H37" s="329"/>
      <c r="I37" s="330"/>
      <c r="J37" s="330"/>
      <c r="K37" s="331"/>
      <c r="L37" s="331"/>
      <c r="M37" s="331"/>
      <c r="N37" s="331"/>
    </row>
    <row r="38" spans="1:14" ht="9" customHeight="1" x14ac:dyDescent="0.25">
      <c r="A38" s="332" t="s">
        <v>264</v>
      </c>
      <c r="B38" s="332"/>
      <c r="C38" s="332"/>
      <c r="D38" s="332"/>
      <c r="E38" s="332"/>
      <c r="F38" s="332"/>
      <c r="G38" s="332"/>
      <c r="H38" s="332"/>
      <c r="I38" s="332"/>
      <c r="J38" s="332"/>
      <c r="K38" s="332"/>
      <c r="L38" s="332"/>
      <c r="M38" s="332"/>
      <c r="N38" s="333"/>
    </row>
    <row r="39" spans="1:14" ht="9" customHeight="1" x14ac:dyDescent="0.25">
      <c r="A39" s="332" t="s">
        <v>265</v>
      </c>
      <c r="B39" s="332"/>
      <c r="C39" s="332"/>
      <c r="D39" s="332"/>
      <c r="E39" s="332"/>
      <c r="F39" s="332"/>
      <c r="G39" s="332"/>
      <c r="H39" s="332"/>
      <c r="I39" s="332"/>
      <c r="J39" s="332"/>
      <c r="K39" s="332"/>
      <c r="L39" s="332"/>
      <c r="M39" s="332"/>
      <c r="N39" s="333"/>
    </row>
    <row r="40" spans="1:14" ht="9" customHeight="1" x14ac:dyDescent="0.25">
      <c r="A40" s="332" t="s">
        <v>266</v>
      </c>
      <c r="B40" s="332"/>
      <c r="C40" s="332"/>
      <c r="D40" s="332"/>
      <c r="E40" s="332"/>
      <c r="F40" s="332"/>
      <c r="G40" s="332"/>
      <c r="H40" s="332"/>
      <c r="I40" s="332"/>
      <c r="J40" s="332"/>
      <c r="K40" s="332"/>
      <c r="L40" s="332"/>
      <c r="M40" s="332"/>
      <c r="N40" s="333"/>
    </row>
    <row r="41" spans="1:14" ht="9" customHeight="1" x14ac:dyDescent="0.25">
      <c r="A41" s="332" t="s">
        <v>267</v>
      </c>
      <c r="B41" s="332"/>
      <c r="C41" s="332"/>
      <c r="D41" s="332"/>
      <c r="E41" s="332"/>
      <c r="F41" s="332"/>
      <c r="G41" s="332"/>
      <c r="H41" s="332"/>
      <c r="I41" s="332"/>
      <c r="J41" s="332"/>
      <c r="K41" s="332"/>
      <c r="L41" s="332"/>
      <c r="M41" s="332"/>
      <c r="N41" s="333"/>
    </row>
    <row r="42" spans="1:14" ht="9" customHeight="1" x14ac:dyDescent="0.25">
      <c r="A42" s="332" t="s">
        <v>268</v>
      </c>
      <c r="B42" s="332"/>
      <c r="C42" s="332"/>
      <c r="D42" s="332"/>
      <c r="E42" s="332"/>
      <c r="F42" s="332"/>
      <c r="G42" s="332"/>
      <c r="H42" s="332"/>
      <c r="I42" s="332"/>
      <c r="J42" s="332"/>
      <c r="K42" s="332"/>
      <c r="L42" s="332"/>
      <c r="M42" s="332"/>
      <c r="N42" s="333"/>
    </row>
    <row r="43" spans="1:14" ht="9" customHeight="1" x14ac:dyDescent="0.25">
      <c r="A43" s="332"/>
      <c r="B43" s="332"/>
      <c r="C43" s="332"/>
      <c r="D43" s="332"/>
      <c r="E43" s="332"/>
      <c r="F43" s="332"/>
      <c r="G43" s="332"/>
      <c r="H43" s="332"/>
      <c r="I43" s="332"/>
      <c r="J43" s="332"/>
      <c r="K43" s="332"/>
      <c r="L43" s="332"/>
      <c r="M43" s="332"/>
      <c r="N43" s="333"/>
    </row>
  </sheetData>
  <mergeCells count="6">
    <mergeCell ref="A2:N2"/>
    <mergeCell ref="B3:D3"/>
    <mergeCell ref="E3:H3"/>
    <mergeCell ref="I3:J3"/>
    <mergeCell ref="K3:L3"/>
    <mergeCell ref="M3:N3"/>
  </mergeCells>
  <hyperlinks>
    <hyperlink ref="A1" location="ToC!A2" display="Back to Table of Contents" xr:uid="{A014AF28-BBD4-4207-8140-2F466F23A54C}"/>
  </hyperlinks>
  <pageMargins left="0.5" right="0.5" top="0.5" bottom="0.5" header="0.25" footer="0.25"/>
  <pageSetup scale="69" orientation="landscape" r:id="rId1"/>
  <headerFooter>
    <oddFooter>&amp;L&amp;G&amp;C&amp;"Scotia,Regular"&amp;9Supplementary Financial Information (SFI)&amp;R2&amp;"Scotia,Regular"&amp;7</oddFooter>
  </headerFooter>
  <ignoredErrors>
    <ignoredError sqref="B3:L4" numberStoredAsText="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C474-D019-4EBF-8C45-E65B572BA8EB}">
  <sheetPr>
    <pageSetUpPr fitToPage="1"/>
  </sheetPr>
  <dimension ref="A1:N34"/>
  <sheetViews>
    <sheetView showGridLines="0" zoomScaleNormal="100" workbookViewId="0"/>
  </sheetViews>
  <sheetFormatPr defaultColWidth="8.77734375" defaultRowHeight="13.2" x14ac:dyDescent="0.25"/>
  <cols>
    <col min="1" max="1" width="70.77734375" style="22" customWidth="1"/>
    <col min="2" max="14" width="9.21875" style="22" customWidth="1"/>
    <col min="15" max="16384" width="8.77734375" style="22"/>
  </cols>
  <sheetData>
    <row r="1" spans="1:14" ht="19.95" customHeight="1" x14ac:dyDescent="0.25">
      <c r="A1" s="21" t="s">
        <v>12</v>
      </c>
    </row>
    <row r="2" spans="1:14" ht="24.6" customHeight="1" x14ac:dyDescent="0.25">
      <c r="A2" s="3466" t="s">
        <v>269</v>
      </c>
      <c r="B2" s="3466" t="s">
        <v>14</v>
      </c>
      <c r="C2" s="3466" t="s">
        <v>14</v>
      </c>
      <c r="D2" s="3466" t="s">
        <v>14</v>
      </c>
      <c r="E2" s="3466" t="s">
        <v>14</v>
      </c>
      <c r="F2" s="3466" t="s">
        <v>14</v>
      </c>
      <c r="G2" s="3466" t="s">
        <v>14</v>
      </c>
      <c r="H2" s="3466" t="s">
        <v>14</v>
      </c>
      <c r="I2" s="3466" t="s">
        <v>14</v>
      </c>
      <c r="J2" s="3466" t="s">
        <v>14</v>
      </c>
      <c r="K2" s="3466" t="s">
        <v>14</v>
      </c>
      <c r="L2" s="3466" t="s">
        <v>14</v>
      </c>
      <c r="M2" s="3466" t="s">
        <v>14</v>
      </c>
      <c r="N2" s="3466" t="s">
        <v>14</v>
      </c>
    </row>
    <row r="3" spans="1:14" ht="13.35" customHeight="1" x14ac:dyDescent="0.25">
      <c r="A3" s="91"/>
      <c r="B3" s="3467" t="s">
        <v>172</v>
      </c>
      <c r="C3" s="3467" t="s">
        <v>14</v>
      </c>
      <c r="D3" s="3484" t="s">
        <v>14</v>
      </c>
      <c r="E3" s="3472">
        <v>2024</v>
      </c>
      <c r="F3" s="3485" t="s">
        <v>14</v>
      </c>
      <c r="G3" s="3485" t="s">
        <v>14</v>
      </c>
      <c r="H3" s="3473" t="s">
        <v>14</v>
      </c>
      <c r="I3" s="3472">
        <v>2023</v>
      </c>
      <c r="J3" s="3485" t="s">
        <v>14</v>
      </c>
      <c r="K3" s="3472" t="s">
        <v>173</v>
      </c>
      <c r="L3" s="3473" t="s">
        <v>14</v>
      </c>
      <c r="M3" s="3485" t="s">
        <v>174</v>
      </c>
      <c r="N3" s="3485" t="s">
        <v>14</v>
      </c>
    </row>
    <row r="4" spans="1:14" ht="13.35" customHeight="1" x14ac:dyDescent="0.25">
      <c r="A4" s="334" t="s">
        <v>270</v>
      </c>
      <c r="B4" s="221" t="s">
        <v>176</v>
      </c>
      <c r="C4" s="222" t="s">
        <v>177</v>
      </c>
      <c r="D4" s="223" t="s">
        <v>178</v>
      </c>
      <c r="E4" s="224" t="s">
        <v>179</v>
      </c>
      <c r="F4" s="222" t="s">
        <v>180</v>
      </c>
      <c r="G4" s="222" t="s">
        <v>177</v>
      </c>
      <c r="H4" s="225" t="s">
        <v>178</v>
      </c>
      <c r="I4" s="224" t="s">
        <v>179</v>
      </c>
      <c r="J4" s="222" t="s">
        <v>180</v>
      </c>
      <c r="K4" s="97" t="s">
        <v>181</v>
      </c>
      <c r="L4" s="98">
        <v>2024</v>
      </c>
      <c r="M4" s="99">
        <v>2024</v>
      </c>
      <c r="N4" s="99">
        <v>2023</v>
      </c>
    </row>
    <row r="5" spans="1:14" ht="13.35" customHeight="1" x14ac:dyDescent="0.25">
      <c r="A5" s="335" t="s">
        <v>271</v>
      </c>
      <c r="B5" s="167">
        <v>14120</v>
      </c>
      <c r="C5" s="168">
        <v>14287</v>
      </c>
      <c r="D5" s="283">
        <v>14980</v>
      </c>
      <c r="E5" s="336">
        <v>15325</v>
      </c>
      <c r="F5" s="337">
        <v>15683</v>
      </c>
      <c r="G5" s="337">
        <v>15212</v>
      </c>
      <c r="H5" s="338">
        <v>15439</v>
      </c>
      <c r="I5" s="170">
        <v>15109</v>
      </c>
      <c r="J5" s="171">
        <v>14689</v>
      </c>
      <c r="K5" s="339">
        <v>43387</v>
      </c>
      <c r="L5" s="169">
        <v>46334</v>
      </c>
      <c r="M5" s="337">
        <v>61659</v>
      </c>
      <c r="N5" s="171">
        <v>56824</v>
      </c>
    </row>
    <row r="6" spans="1:14" ht="13.35" customHeight="1" x14ac:dyDescent="0.25">
      <c r="A6" s="340" t="s">
        <v>272</v>
      </c>
      <c r="B6" s="109">
        <v>8627</v>
      </c>
      <c r="C6" s="110">
        <v>9017</v>
      </c>
      <c r="D6" s="200">
        <v>9807</v>
      </c>
      <c r="E6" s="341">
        <v>10402</v>
      </c>
      <c r="F6" s="342">
        <v>10821</v>
      </c>
      <c r="G6" s="342">
        <v>10518</v>
      </c>
      <c r="H6" s="343">
        <v>10666</v>
      </c>
      <c r="I6" s="112">
        <v>10443</v>
      </c>
      <c r="J6" s="113">
        <v>10116</v>
      </c>
      <c r="K6" s="115">
        <v>27451</v>
      </c>
      <c r="L6" s="111">
        <v>32005</v>
      </c>
      <c r="M6" s="342">
        <v>42407</v>
      </c>
      <c r="N6" s="113">
        <v>38562</v>
      </c>
    </row>
    <row r="7" spans="1:14" ht="13.35" customHeight="1" x14ac:dyDescent="0.25">
      <c r="A7" s="344" t="s">
        <v>273</v>
      </c>
      <c r="B7" s="109">
        <v>5493</v>
      </c>
      <c r="C7" s="110">
        <v>5270</v>
      </c>
      <c r="D7" s="200">
        <v>5173</v>
      </c>
      <c r="E7" s="341">
        <v>4923</v>
      </c>
      <c r="F7" s="342">
        <v>4862</v>
      </c>
      <c r="G7" s="342">
        <v>4694</v>
      </c>
      <c r="H7" s="343">
        <v>4773</v>
      </c>
      <c r="I7" s="112">
        <v>4666</v>
      </c>
      <c r="J7" s="113">
        <v>4573</v>
      </c>
      <c r="K7" s="115">
        <v>15936</v>
      </c>
      <c r="L7" s="111">
        <v>14329</v>
      </c>
      <c r="M7" s="342">
        <v>19252</v>
      </c>
      <c r="N7" s="113">
        <v>18262</v>
      </c>
    </row>
    <row r="8" spans="1:14" ht="13.35" customHeight="1" x14ac:dyDescent="0.25">
      <c r="A8" s="344"/>
      <c r="B8" s="131"/>
      <c r="C8" s="132"/>
      <c r="D8" s="289"/>
      <c r="E8" s="345"/>
      <c r="F8" s="346"/>
      <c r="G8" s="346"/>
      <c r="H8" s="347"/>
      <c r="I8" s="134"/>
      <c r="J8" s="135"/>
      <c r="K8" s="137"/>
      <c r="L8" s="133"/>
      <c r="M8" s="346"/>
      <c r="N8" s="135"/>
    </row>
    <row r="9" spans="1:14" ht="13.35" customHeight="1" x14ac:dyDescent="0.25">
      <c r="A9" s="340" t="s">
        <v>274</v>
      </c>
      <c r="B9" s="109">
        <v>3993</v>
      </c>
      <c r="C9" s="110">
        <v>3810</v>
      </c>
      <c r="D9" s="200">
        <v>4199</v>
      </c>
      <c r="E9" s="341">
        <v>3603</v>
      </c>
      <c r="F9" s="342">
        <v>3502</v>
      </c>
      <c r="G9" s="342">
        <v>3653</v>
      </c>
      <c r="H9" s="343">
        <v>3660</v>
      </c>
      <c r="I9" s="112">
        <v>3606</v>
      </c>
      <c r="J9" s="113">
        <v>3494</v>
      </c>
      <c r="K9" s="115">
        <v>12002</v>
      </c>
      <c r="L9" s="111">
        <v>10815</v>
      </c>
      <c r="M9" s="342">
        <v>14418</v>
      </c>
      <c r="N9" s="113">
        <v>13952</v>
      </c>
    </row>
    <row r="10" spans="1:14" ht="13.35" customHeight="1" x14ac:dyDescent="0.25">
      <c r="A10" s="344" t="s">
        <v>275</v>
      </c>
      <c r="B10" s="109">
        <v>9486</v>
      </c>
      <c r="C10" s="110">
        <v>9080</v>
      </c>
      <c r="D10" s="200">
        <v>9372</v>
      </c>
      <c r="E10" s="341">
        <v>8526</v>
      </c>
      <c r="F10" s="342">
        <v>8364</v>
      </c>
      <c r="G10" s="342">
        <v>8347</v>
      </c>
      <c r="H10" s="343">
        <v>8433</v>
      </c>
      <c r="I10" s="112">
        <v>8272</v>
      </c>
      <c r="J10" s="113">
        <v>8067</v>
      </c>
      <c r="K10" s="115">
        <v>27938</v>
      </c>
      <c r="L10" s="111">
        <v>25144</v>
      </c>
      <c r="M10" s="342">
        <v>33670</v>
      </c>
      <c r="N10" s="113">
        <v>32214</v>
      </c>
    </row>
    <row r="11" spans="1:14" ht="13.35" customHeight="1" x14ac:dyDescent="0.25">
      <c r="A11" s="344"/>
      <c r="B11" s="131"/>
      <c r="C11" s="132"/>
      <c r="D11" s="289"/>
      <c r="E11" s="345"/>
      <c r="F11" s="346"/>
      <c r="G11" s="346"/>
      <c r="H11" s="347"/>
      <c r="I11" s="134"/>
      <c r="J11" s="135"/>
      <c r="K11" s="137"/>
      <c r="L11" s="133"/>
      <c r="M11" s="346"/>
      <c r="N11" s="135"/>
    </row>
    <row r="12" spans="1:14" ht="13.35" customHeight="1" x14ac:dyDescent="0.25">
      <c r="A12" s="340" t="s">
        <v>276</v>
      </c>
      <c r="B12" s="109">
        <v>1041</v>
      </c>
      <c r="C12" s="110">
        <v>1398</v>
      </c>
      <c r="D12" s="200">
        <v>1162</v>
      </c>
      <c r="E12" s="341">
        <v>1030</v>
      </c>
      <c r="F12" s="342">
        <v>1052</v>
      </c>
      <c r="G12" s="342">
        <v>1007</v>
      </c>
      <c r="H12" s="343">
        <v>962</v>
      </c>
      <c r="I12" s="112">
        <v>1256</v>
      </c>
      <c r="J12" s="113">
        <v>819</v>
      </c>
      <c r="K12" s="115">
        <v>3601</v>
      </c>
      <c r="L12" s="111">
        <v>3021</v>
      </c>
      <c r="M12" s="342">
        <v>4051</v>
      </c>
      <c r="N12" s="113">
        <v>3422</v>
      </c>
    </row>
    <row r="13" spans="1:14" ht="13.35" customHeight="1" x14ac:dyDescent="0.25">
      <c r="A13" s="340" t="s">
        <v>277</v>
      </c>
      <c r="B13" s="109">
        <v>5089</v>
      </c>
      <c r="C13" s="110">
        <v>5110</v>
      </c>
      <c r="D13" s="200">
        <v>6491</v>
      </c>
      <c r="E13" s="341">
        <v>5296</v>
      </c>
      <c r="F13" s="342">
        <v>4949</v>
      </c>
      <c r="G13" s="342">
        <v>4711</v>
      </c>
      <c r="H13" s="343">
        <v>4739</v>
      </c>
      <c r="I13" s="112">
        <v>5527</v>
      </c>
      <c r="J13" s="113">
        <v>4559</v>
      </c>
      <c r="K13" s="115">
        <v>16690</v>
      </c>
      <c r="L13" s="111">
        <v>14399</v>
      </c>
      <c r="M13" s="342">
        <v>19695</v>
      </c>
      <c r="N13" s="113">
        <v>19121</v>
      </c>
    </row>
    <row r="14" spans="1:14" ht="13.35" customHeight="1" x14ac:dyDescent="0.25">
      <c r="A14" s="344" t="s">
        <v>278</v>
      </c>
      <c r="B14" s="109">
        <v>3356</v>
      </c>
      <c r="C14" s="110">
        <v>2572</v>
      </c>
      <c r="D14" s="200">
        <v>1719</v>
      </c>
      <c r="E14" s="341">
        <v>2200</v>
      </c>
      <c r="F14" s="342">
        <v>2363</v>
      </c>
      <c r="G14" s="342">
        <v>2629</v>
      </c>
      <c r="H14" s="343">
        <v>2732</v>
      </c>
      <c r="I14" s="112">
        <v>1489</v>
      </c>
      <c r="J14" s="113">
        <v>2689</v>
      </c>
      <c r="K14" s="115">
        <v>7647</v>
      </c>
      <c r="L14" s="111">
        <v>7724</v>
      </c>
      <c r="M14" s="342">
        <v>9924</v>
      </c>
      <c r="N14" s="113">
        <v>9671</v>
      </c>
    </row>
    <row r="15" spans="1:14" ht="13.35" customHeight="1" x14ac:dyDescent="0.25">
      <c r="A15" s="344"/>
      <c r="B15" s="131"/>
      <c r="C15" s="132"/>
      <c r="D15" s="289"/>
      <c r="E15" s="345"/>
      <c r="F15" s="346"/>
      <c r="G15" s="346"/>
      <c r="H15" s="347"/>
      <c r="I15" s="134"/>
      <c r="J15" s="135"/>
      <c r="K15" s="137"/>
      <c r="L15" s="133"/>
      <c r="M15" s="346"/>
      <c r="N15" s="135"/>
    </row>
    <row r="16" spans="1:14" ht="13.35" customHeight="1" x14ac:dyDescent="0.25">
      <c r="A16" s="340" t="s">
        <v>279</v>
      </c>
      <c r="B16" s="109">
        <v>829</v>
      </c>
      <c r="C16" s="110">
        <v>540</v>
      </c>
      <c r="D16" s="200">
        <v>726</v>
      </c>
      <c r="E16" s="341">
        <v>511</v>
      </c>
      <c r="F16" s="342">
        <v>451</v>
      </c>
      <c r="G16" s="342">
        <v>537</v>
      </c>
      <c r="H16" s="343">
        <v>533</v>
      </c>
      <c r="I16" s="112">
        <v>135</v>
      </c>
      <c r="J16" s="113">
        <v>497</v>
      </c>
      <c r="K16" s="115">
        <v>2095</v>
      </c>
      <c r="L16" s="111">
        <v>1521</v>
      </c>
      <c r="M16" s="342">
        <v>2032</v>
      </c>
      <c r="N16" s="113">
        <v>2221</v>
      </c>
    </row>
    <row r="17" spans="1:14" ht="13.35" customHeight="1" x14ac:dyDescent="0.25">
      <c r="A17" s="344" t="s">
        <v>280</v>
      </c>
      <c r="B17" s="109">
        <v>2527</v>
      </c>
      <c r="C17" s="110">
        <v>2032</v>
      </c>
      <c r="D17" s="200">
        <v>993</v>
      </c>
      <c r="E17" s="341">
        <v>1689</v>
      </c>
      <c r="F17" s="342">
        <v>1912</v>
      </c>
      <c r="G17" s="342">
        <v>2092</v>
      </c>
      <c r="H17" s="343">
        <v>2199</v>
      </c>
      <c r="I17" s="112">
        <v>1354</v>
      </c>
      <c r="J17" s="113">
        <v>2192</v>
      </c>
      <c r="K17" s="115">
        <v>5552</v>
      </c>
      <c r="L17" s="111">
        <v>6203</v>
      </c>
      <c r="M17" s="342">
        <v>7892</v>
      </c>
      <c r="N17" s="113">
        <v>7450</v>
      </c>
    </row>
    <row r="18" spans="1:14" ht="13.35" customHeight="1" x14ac:dyDescent="0.25">
      <c r="A18" s="348"/>
      <c r="B18" s="131"/>
      <c r="C18" s="132"/>
      <c r="D18" s="289"/>
      <c r="E18" s="134"/>
      <c r="F18" s="135"/>
      <c r="G18" s="135"/>
      <c r="H18" s="136"/>
      <c r="I18" s="134"/>
      <c r="J18" s="135"/>
      <c r="K18" s="137"/>
      <c r="L18" s="133"/>
      <c r="M18" s="346"/>
      <c r="N18" s="135"/>
    </row>
    <row r="19" spans="1:14" ht="13.35" customHeight="1" x14ac:dyDescent="0.25">
      <c r="A19" s="340" t="s">
        <v>281</v>
      </c>
      <c r="B19" s="109">
        <v>-9</v>
      </c>
      <c r="C19" s="110">
        <v>40</v>
      </c>
      <c r="D19" s="200">
        <v>1369</v>
      </c>
      <c r="E19" s="112">
        <v>430</v>
      </c>
      <c r="F19" s="113">
        <v>279</v>
      </c>
      <c r="G19" s="113">
        <v>13</v>
      </c>
      <c r="H19" s="114">
        <v>13</v>
      </c>
      <c r="I19" s="112">
        <v>289</v>
      </c>
      <c r="J19" s="113">
        <v>15</v>
      </c>
      <c r="K19" s="115">
        <v>1400</v>
      </c>
      <c r="L19" s="111">
        <v>305</v>
      </c>
      <c r="M19" s="342">
        <v>735</v>
      </c>
      <c r="N19" s="113">
        <v>913</v>
      </c>
    </row>
    <row r="20" spans="1:14" ht="13.35" customHeight="1" x14ac:dyDescent="0.25">
      <c r="A20" s="344" t="s">
        <v>282</v>
      </c>
      <c r="B20" s="109">
        <v>2518</v>
      </c>
      <c r="C20" s="110">
        <v>2072</v>
      </c>
      <c r="D20" s="200">
        <v>2362</v>
      </c>
      <c r="E20" s="341">
        <v>2119</v>
      </c>
      <c r="F20" s="342">
        <v>2191</v>
      </c>
      <c r="G20" s="342">
        <v>2105</v>
      </c>
      <c r="H20" s="343">
        <v>2212</v>
      </c>
      <c r="I20" s="112">
        <v>1643</v>
      </c>
      <c r="J20" s="113">
        <v>2207</v>
      </c>
      <c r="K20" s="115">
        <v>6952</v>
      </c>
      <c r="L20" s="111">
        <v>6508</v>
      </c>
      <c r="M20" s="342">
        <v>8627</v>
      </c>
      <c r="N20" s="113">
        <v>8363</v>
      </c>
    </row>
    <row r="21" spans="1:14" ht="13.35" customHeight="1" x14ac:dyDescent="0.25">
      <c r="A21" s="344"/>
      <c r="B21" s="131"/>
      <c r="C21" s="132"/>
      <c r="D21" s="289"/>
      <c r="E21" s="134"/>
      <c r="F21" s="135"/>
      <c r="G21" s="135"/>
      <c r="H21" s="136"/>
      <c r="I21" s="134"/>
      <c r="J21" s="135"/>
      <c r="K21" s="137"/>
      <c r="L21" s="133"/>
      <c r="M21" s="135"/>
      <c r="N21" s="135"/>
    </row>
    <row r="22" spans="1:14" ht="13.35" customHeight="1" x14ac:dyDescent="0.25">
      <c r="A22" s="340" t="s">
        <v>283</v>
      </c>
      <c r="B22" s="109">
        <v>80</v>
      </c>
      <c r="C22" s="110">
        <v>56</v>
      </c>
      <c r="D22" s="200">
        <v>-154</v>
      </c>
      <c r="E22" s="341">
        <v>47</v>
      </c>
      <c r="F22" s="342">
        <v>36</v>
      </c>
      <c r="G22" s="342">
        <v>26</v>
      </c>
      <c r="H22" s="343">
        <v>25</v>
      </c>
      <c r="I22" s="112">
        <v>31</v>
      </c>
      <c r="J22" s="113">
        <v>20</v>
      </c>
      <c r="K22" s="115">
        <v>-18</v>
      </c>
      <c r="L22" s="111">
        <v>87</v>
      </c>
      <c r="M22" s="342">
        <v>134</v>
      </c>
      <c r="N22" s="113">
        <v>112</v>
      </c>
    </row>
    <row r="23" spans="1:14" ht="13.35" customHeight="1" x14ac:dyDescent="0.25">
      <c r="A23" s="340" t="s">
        <v>284</v>
      </c>
      <c r="B23" s="109">
        <v>43</v>
      </c>
      <c r="C23" s="110">
        <v>40</v>
      </c>
      <c r="D23" s="200">
        <v>37</v>
      </c>
      <c r="E23" s="341">
        <v>47</v>
      </c>
      <c r="F23" s="342">
        <v>38</v>
      </c>
      <c r="G23" s="342">
        <v>26</v>
      </c>
      <c r="H23" s="343">
        <v>25</v>
      </c>
      <c r="I23" s="112">
        <v>34</v>
      </c>
      <c r="J23" s="113">
        <v>20</v>
      </c>
      <c r="K23" s="115">
        <v>120</v>
      </c>
      <c r="L23" s="111">
        <v>89</v>
      </c>
      <c r="M23" s="342">
        <v>136</v>
      </c>
      <c r="N23" s="113">
        <v>115</v>
      </c>
    </row>
    <row r="24" spans="1:14" ht="13.35" customHeight="1" x14ac:dyDescent="0.25">
      <c r="A24" s="340"/>
      <c r="B24" s="131"/>
      <c r="C24" s="132"/>
      <c r="D24" s="289"/>
      <c r="E24" s="134"/>
      <c r="F24" s="135"/>
      <c r="G24" s="135"/>
      <c r="H24" s="136"/>
      <c r="I24" s="134"/>
      <c r="J24" s="135"/>
      <c r="K24" s="137"/>
      <c r="L24" s="133"/>
      <c r="M24" s="135"/>
      <c r="N24" s="135"/>
    </row>
    <row r="25" spans="1:14" ht="13.35" customHeight="1" x14ac:dyDescent="0.25">
      <c r="A25" s="340" t="s">
        <v>285</v>
      </c>
      <c r="B25" s="109">
        <v>2447</v>
      </c>
      <c r="C25" s="110">
        <v>1976</v>
      </c>
      <c r="D25" s="200">
        <v>1147</v>
      </c>
      <c r="E25" s="112">
        <v>1642</v>
      </c>
      <c r="F25" s="113">
        <v>1876</v>
      </c>
      <c r="G25" s="113">
        <v>2066</v>
      </c>
      <c r="H25" s="114">
        <v>2174</v>
      </c>
      <c r="I25" s="112">
        <v>1323</v>
      </c>
      <c r="J25" s="113">
        <v>2172</v>
      </c>
      <c r="K25" s="115">
        <v>5570</v>
      </c>
      <c r="L25" s="111">
        <v>6116</v>
      </c>
      <c r="M25" s="113">
        <v>7758</v>
      </c>
      <c r="N25" s="113">
        <v>7338</v>
      </c>
    </row>
    <row r="26" spans="1:14" ht="13.35" customHeight="1" x14ac:dyDescent="0.25">
      <c r="A26" s="153" t="s">
        <v>286</v>
      </c>
      <c r="B26" s="349">
        <v>134</v>
      </c>
      <c r="C26" s="350">
        <v>135</v>
      </c>
      <c r="D26" s="351">
        <v>122</v>
      </c>
      <c r="E26" s="112">
        <v>121</v>
      </c>
      <c r="F26" s="113">
        <v>120</v>
      </c>
      <c r="G26" s="113">
        <v>123</v>
      </c>
      <c r="H26" s="114">
        <v>108</v>
      </c>
      <c r="I26" s="112">
        <v>109</v>
      </c>
      <c r="J26" s="113">
        <v>105</v>
      </c>
      <c r="K26" s="115">
        <v>391</v>
      </c>
      <c r="L26" s="111">
        <v>351</v>
      </c>
      <c r="M26" s="113">
        <v>472</v>
      </c>
      <c r="N26" s="113">
        <v>419</v>
      </c>
    </row>
    <row r="27" spans="1:14" ht="13.35" customHeight="1" x14ac:dyDescent="0.25">
      <c r="A27" s="153" t="s">
        <v>287</v>
      </c>
      <c r="B27" s="349">
        <v>2313</v>
      </c>
      <c r="C27" s="350">
        <v>1841</v>
      </c>
      <c r="D27" s="351">
        <v>1025</v>
      </c>
      <c r="E27" s="112">
        <v>1521</v>
      </c>
      <c r="F27" s="113">
        <v>1756</v>
      </c>
      <c r="G27" s="113">
        <v>1943</v>
      </c>
      <c r="H27" s="114">
        <v>2066</v>
      </c>
      <c r="I27" s="112">
        <v>1214</v>
      </c>
      <c r="J27" s="113">
        <v>2067</v>
      </c>
      <c r="K27" s="352">
        <v>5179</v>
      </c>
      <c r="L27" s="353">
        <v>5765</v>
      </c>
      <c r="M27" s="113">
        <v>7286</v>
      </c>
      <c r="N27" s="113">
        <v>6919</v>
      </c>
    </row>
    <row r="28" spans="1:14" ht="13.35" customHeight="1" x14ac:dyDescent="0.25">
      <c r="A28" s="340" t="s">
        <v>288</v>
      </c>
      <c r="B28" s="109">
        <v>2475</v>
      </c>
      <c r="C28" s="110">
        <v>2032</v>
      </c>
      <c r="D28" s="200">
        <v>2325</v>
      </c>
      <c r="E28" s="112">
        <v>2072</v>
      </c>
      <c r="F28" s="113">
        <v>2153</v>
      </c>
      <c r="G28" s="113">
        <v>2079</v>
      </c>
      <c r="H28" s="114">
        <v>2187</v>
      </c>
      <c r="I28" s="112">
        <v>1609</v>
      </c>
      <c r="J28" s="113">
        <v>2187</v>
      </c>
      <c r="K28" s="115">
        <v>6832</v>
      </c>
      <c r="L28" s="111">
        <v>6419</v>
      </c>
      <c r="M28" s="113">
        <v>8491</v>
      </c>
      <c r="N28" s="113">
        <v>8248</v>
      </c>
    </row>
    <row r="29" spans="1:14" ht="13.35" customHeight="1" x14ac:dyDescent="0.25">
      <c r="A29" s="354" t="s">
        <v>289</v>
      </c>
      <c r="B29" s="349">
        <v>2341</v>
      </c>
      <c r="C29" s="350">
        <v>1897</v>
      </c>
      <c r="D29" s="351">
        <v>2203</v>
      </c>
      <c r="E29" s="112">
        <v>1951</v>
      </c>
      <c r="F29" s="113">
        <v>2033</v>
      </c>
      <c r="G29" s="113">
        <v>1956</v>
      </c>
      <c r="H29" s="114">
        <v>2079</v>
      </c>
      <c r="I29" s="112">
        <v>1500</v>
      </c>
      <c r="J29" s="113">
        <v>2082</v>
      </c>
      <c r="K29" s="352">
        <v>6441</v>
      </c>
      <c r="L29" s="353">
        <v>6068</v>
      </c>
      <c r="M29" s="113">
        <v>8019</v>
      </c>
      <c r="N29" s="113">
        <v>7829</v>
      </c>
    </row>
    <row r="30" spans="1:14" ht="13.35" customHeight="1" x14ac:dyDescent="0.25">
      <c r="A30" s="153" t="s">
        <v>290</v>
      </c>
      <c r="B30" s="349">
        <v>8</v>
      </c>
      <c r="C30" s="350">
        <v>1</v>
      </c>
      <c r="D30" s="351">
        <v>-7</v>
      </c>
      <c r="E30" s="112">
        <v>-3</v>
      </c>
      <c r="F30" s="113">
        <v>-16</v>
      </c>
      <c r="G30" s="113">
        <v>-15</v>
      </c>
      <c r="H30" s="114">
        <v>-15</v>
      </c>
      <c r="I30" s="112">
        <v>-10</v>
      </c>
      <c r="J30" s="113">
        <v>2</v>
      </c>
      <c r="K30" s="115">
        <v>3</v>
      </c>
      <c r="L30" s="111">
        <v>-46</v>
      </c>
      <c r="M30" s="113">
        <v>-49</v>
      </c>
      <c r="N30" s="113">
        <v>-34</v>
      </c>
    </row>
    <row r="31" spans="1:14" ht="13.35" customHeight="1" x14ac:dyDescent="0.25">
      <c r="A31" s="355" t="s">
        <v>291</v>
      </c>
      <c r="B31" s="356">
        <v>2349</v>
      </c>
      <c r="C31" s="357">
        <v>1898</v>
      </c>
      <c r="D31" s="358">
        <v>2196</v>
      </c>
      <c r="E31" s="299">
        <v>1948</v>
      </c>
      <c r="F31" s="300">
        <v>2017</v>
      </c>
      <c r="G31" s="300">
        <v>1941</v>
      </c>
      <c r="H31" s="301">
        <v>2064</v>
      </c>
      <c r="I31" s="299">
        <v>1490</v>
      </c>
      <c r="J31" s="300">
        <v>2084</v>
      </c>
      <c r="K31" s="359">
        <v>6444</v>
      </c>
      <c r="L31" s="360">
        <v>6022</v>
      </c>
      <c r="M31" s="300">
        <v>7970</v>
      </c>
      <c r="N31" s="300">
        <v>7795</v>
      </c>
    </row>
    <row r="32" spans="1:14" ht="13.35" customHeight="1" x14ac:dyDescent="0.25">
      <c r="A32" s="361"/>
      <c r="B32" s="361"/>
      <c r="C32" s="361"/>
      <c r="D32" s="361"/>
      <c r="E32" s="361"/>
      <c r="F32" s="361"/>
      <c r="G32" s="361"/>
      <c r="H32" s="361"/>
      <c r="I32" s="361"/>
      <c r="J32" s="361"/>
      <c r="K32" s="361"/>
      <c r="L32" s="361"/>
      <c r="M32" s="361"/>
      <c r="N32" s="361"/>
    </row>
    <row r="33" spans="1:14" ht="10.35" customHeight="1" x14ac:dyDescent="0.25">
      <c r="A33" s="3439" t="s">
        <v>292</v>
      </c>
      <c r="B33" s="3440" t="s">
        <v>14</v>
      </c>
      <c r="C33" s="3440" t="s">
        <v>14</v>
      </c>
      <c r="D33" s="3440" t="s">
        <v>14</v>
      </c>
      <c r="E33" s="3440" t="s">
        <v>14</v>
      </c>
      <c r="F33" s="3440" t="s">
        <v>14</v>
      </c>
      <c r="G33" s="3440" t="s">
        <v>14</v>
      </c>
      <c r="H33" s="3440" t="s">
        <v>14</v>
      </c>
      <c r="I33" s="3440" t="s">
        <v>14</v>
      </c>
      <c r="J33" s="3440" t="s">
        <v>14</v>
      </c>
      <c r="K33" s="3440" t="s">
        <v>14</v>
      </c>
      <c r="L33" s="3440" t="s">
        <v>14</v>
      </c>
      <c r="M33" s="3440" t="s">
        <v>14</v>
      </c>
      <c r="N33" s="3440" t="s">
        <v>14</v>
      </c>
    </row>
    <row r="34" spans="1:14" ht="10.35" customHeight="1" x14ac:dyDescent="0.25">
      <c r="A34" s="3439" t="s">
        <v>293</v>
      </c>
      <c r="B34" s="3440" t="s">
        <v>14</v>
      </c>
      <c r="C34" s="3440" t="s">
        <v>14</v>
      </c>
      <c r="D34" s="3440" t="s">
        <v>14</v>
      </c>
      <c r="E34" s="3440" t="s">
        <v>14</v>
      </c>
      <c r="F34" s="3440" t="s">
        <v>14</v>
      </c>
      <c r="G34" s="3440" t="s">
        <v>14</v>
      </c>
      <c r="H34" s="3440" t="s">
        <v>14</v>
      </c>
      <c r="I34" s="3440" t="s">
        <v>14</v>
      </c>
      <c r="J34" s="3440" t="s">
        <v>14</v>
      </c>
      <c r="K34" s="3440" t="s">
        <v>14</v>
      </c>
      <c r="L34" s="3440" t="s">
        <v>14</v>
      </c>
      <c r="M34" s="3440" t="s">
        <v>14</v>
      </c>
      <c r="N34" s="3440" t="s">
        <v>14</v>
      </c>
    </row>
  </sheetData>
  <mergeCells count="8">
    <mergeCell ref="A33:N33"/>
    <mergeCell ref="A34:N34"/>
    <mergeCell ref="A2:N2"/>
    <mergeCell ref="B3:D3"/>
    <mergeCell ref="E3:H3"/>
    <mergeCell ref="I3:J3"/>
    <mergeCell ref="K3:L3"/>
    <mergeCell ref="M3:N3"/>
  </mergeCells>
  <hyperlinks>
    <hyperlink ref="A1" location="ToC!A2" display="Back to Table of Contents" xr:uid="{F9FF0C35-8DF3-4D40-A8D3-922DFFDEC3E1}"/>
  </hyperlinks>
  <pageMargins left="0.5" right="0.5" top="0.5" bottom="0.5" header="0.25" footer="0.25"/>
  <pageSetup scale="67" orientation="landscape" r:id="rId1"/>
  <headerFooter>
    <oddFooter>&amp;L&amp;G&amp;C&amp;"Scotia,Regular"&amp;9Supplementary Financial Information (SFI)&amp;R3&amp;"Scotia,Regular"&amp;7</oddFooter>
  </headerFooter>
  <ignoredErrors>
    <ignoredError sqref="B3 K4" numberStoredAsText="1"/>
  </ignoredError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289A-B411-4BFA-9F78-FEDF795C0F2B}">
  <sheetPr>
    <pageSetUpPr fitToPage="1"/>
  </sheetPr>
  <dimension ref="A1:N60"/>
  <sheetViews>
    <sheetView showGridLines="0" zoomScaleNormal="100" workbookViewId="0"/>
  </sheetViews>
  <sheetFormatPr defaultColWidth="8.77734375" defaultRowHeight="13.2" x14ac:dyDescent="0.25"/>
  <cols>
    <col min="1" max="1" width="100.5546875" style="22" customWidth="1"/>
    <col min="2" max="3" width="9" style="22" customWidth="1"/>
    <col min="4" max="14" width="8.77734375" style="22" customWidth="1"/>
    <col min="15" max="16384" width="8.77734375" style="22"/>
  </cols>
  <sheetData>
    <row r="1" spans="1:14" ht="19.95" customHeight="1" x14ac:dyDescent="0.25">
      <c r="A1" s="21" t="s">
        <v>12</v>
      </c>
    </row>
    <row r="2" spans="1:14" ht="24" customHeight="1" x14ac:dyDescent="0.25">
      <c r="A2" s="3490" t="s">
        <v>294</v>
      </c>
      <c r="B2" s="3490" t="s">
        <v>14</v>
      </c>
      <c r="C2" s="3490" t="s">
        <v>14</v>
      </c>
      <c r="D2" s="3490" t="s">
        <v>14</v>
      </c>
      <c r="E2" s="3490" t="s">
        <v>14</v>
      </c>
      <c r="F2" s="3490" t="s">
        <v>14</v>
      </c>
      <c r="G2" s="3490" t="s">
        <v>14</v>
      </c>
      <c r="H2" s="3490" t="s">
        <v>14</v>
      </c>
      <c r="I2" s="3490" t="s">
        <v>14</v>
      </c>
      <c r="J2" s="3490" t="s">
        <v>14</v>
      </c>
      <c r="K2" s="3490" t="s">
        <v>14</v>
      </c>
      <c r="L2" s="3490" t="s">
        <v>14</v>
      </c>
      <c r="M2" s="3490" t="s">
        <v>14</v>
      </c>
      <c r="N2" s="3490" t="s">
        <v>14</v>
      </c>
    </row>
    <row r="3" spans="1:14" ht="13.5" customHeight="1" x14ac:dyDescent="0.25">
      <c r="A3" s="362"/>
      <c r="B3" s="3491" t="s">
        <v>172</v>
      </c>
      <c r="C3" s="3491" t="s">
        <v>14</v>
      </c>
      <c r="D3" s="3492" t="s">
        <v>14</v>
      </c>
      <c r="E3" s="3493">
        <v>2024</v>
      </c>
      <c r="F3" s="3494" t="s">
        <v>14</v>
      </c>
      <c r="G3" s="3494" t="s">
        <v>14</v>
      </c>
      <c r="H3" s="3495" t="s">
        <v>14</v>
      </c>
      <c r="I3" s="3496">
        <v>2023</v>
      </c>
      <c r="J3" s="3494" t="s">
        <v>14</v>
      </c>
      <c r="K3" s="3497" t="s">
        <v>173</v>
      </c>
      <c r="L3" s="3498" t="s">
        <v>14</v>
      </c>
      <c r="M3" s="3499" t="s">
        <v>174</v>
      </c>
      <c r="N3" s="3499" t="s">
        <v>14</v>
      </c>
    </row>
    <row r="4" spans="1:14" ht="13.5" customHeight="1" x14ac:dyDescent="0.25">
      <c r="A4" s="363"/>
      <c r="B4" s="364" t="s">
        <v>176</v>
      </c>
      <c r="C4" s="365" t="s">
        <v>177</v>
      </c>
      <c r="D4" s="366" t="s">
        <v>178</v>
      </c>
      <c r="E4" s="367" t="s">
        <v>179</v>
      </c>
      <c r="F4" s="368" t="s">
        <v>180</v>
      </c>
      <c r="G4" s="368" t="s">
        <v>177</v>
      </c>
      <c r="H4" s="369" t="s">
        <v>178</v>
      </c>
      <c r="I4" s="370" t="s">
        <v>179</v>
      </c>
      <c r="J4" s="368" t="s">
        <v>180</v>
      </c>
      <c r="K4" s="371">
        <v>2025</v>
      </c>
      <c r="L4" s="372">
        <v>2024</v>
      </c>
      <c r="M4" s="373">
        <v>2024</v>
      </c>
      <c r="N4" s="365">
        <v>2023</v>
      </c>
    </row>
    <row r="5" spans="1:14" ht="15" customHeight="1" x14ac:dyDescent="0.25">
      <c r="A5" s="374" t="s">
        <v>295</v>
      </c>
      <c r="B5" s="375"/>
      <c r="C5" s="376"/>
      <c r="D5" s="377"/>
      <c r="E5" s="378"/>
      <c r="F5" s="379"/>
      <c r="G5" s="379"/>
      <c r="H5" s="380"/>
      <c r="I5" s="381"/>
      <c r="J5" s="379"/>
      <c r="K5" s="382"/>
      <c r="L5" s="383"/>
      <c r="M5" s="375"/>
      <c r="N5" s="375"/>
    </row>
    <row r="6" spans="1:14" ht="15" customHeight="1" x14ac:dyDescent="0.25">
      <c r="A6" s="384" t="s">
        <v>296</v>
      </c>
      <c r="B6" s="385">
        <v>2641</v>
      </c>
      <c r="C6" s="386">
        <v>2524</v>
      </c>
      <c r="D6" s="387">
        <v>2647</v>
      </c>
      <c r="E6" s="388">
        <v>2635</v>
      </c>
      <c r="F6" s="389">
        <v>2577</v>
      </c>
      <c r="G6" s="390">
        <v>2482</v>
      </c>
      <c r="H6" s="391">
        <v>2491</v>
      </c>
      <c r="I6" s="392">
        <v>2455</v>
      </c>
      <c r="J6" s="393">
        <v>2361</v>
      </c>
      <c r="K6" s="394">
        <v>7812</v>
      </c>
      <c r="L6" s="395">
        <v>7550</v>
      </c>
      <c r="M6" s="393">
        <v>10185</v>
      </c>
      <c r="N6" s="393">
        <v>9375</v>
      </c>
    </row>
    <row r="7" spans="1:14" ht="15" customHeight="1" x14ac:dyDescent="0.25">
      <c r="A7" s="384" t="s">
        <v>297</v>
      </c>
      <c r="B7" s="385">
        <v>730</v>
      </c>
      <c r="C7" s="386">
        <v>711</v>
      </c>
      <c r="D7" s="387">
        <v>765</v>
      </c>
      <c r="E7" s="388">
        <v>684</v>
      </c>
      <c r="F7" s="389">
        <v>728</v>
      </c>
      <c r="G7" s="390">
        <v>702</v>
      </c>
      <c r="H7" s="391">
        <v>734</v>
      </c>
      <c r="I7" s="392">
        <v>749</v>
      </c>
      <c r="J7" s="393">
        <v>734</v>
      </c>
      <c r="K7" s="394">
        <v>2206</v>
      </c>
      <c r="L7" s="395">
        <v>2164</v>
      </c>
      <c r="M7" s="393">
        <v>2848</v>
      </c>
      <c r="N7" s="393">
        <v>3046</v>
      </c>
    </row>
    <row r="8" spans="1:14" ht="15" customHeight="1" x14ac:dyDescent="0.25">
      <c r="A8" s="396" t="s">
        <v>298</v>
      </c>
      <c r="B8" s="397">
        <v>618</v>
      </c>
      <c r="C8" s="398">
        <v>598</v>
      </c>
      <c r="D8" s="399">
        <v>608</v>
      </c>
      <c r="E8" s="388">
        <v>599</v>
      </c>
      <c r="F8" s="400">
        <v>610</v>
      </c>
      <c r="G8" s="401">
        <v>619</v>
      </c>
      <c r="H8" s="402">
        <v>635</v>
      </c>
      <c r="I8" s="403">
        <v>643</v>
      </c>
      <c r="J8" s="404">
        <v>632</v>
      </c>
      <c r="K8" s="405">
        <v>1824</v>
      </c>
      <c r="L8" s="406">
        <v>1864</v>
      </c>
      <c r="M8" s="393">
        <v>2463</v>
      </c>
      <c r="N8" s="404">
        <v>2556</v>
      </c>
    </row>
    <row r="9" spans="1:14" ht="15" customHeight="1" x14ac:dyDescent="0.25">
      <c r="A9" s="396" t="s">
        <v>299</v>
      </c>
      <c r="B9" s="397">
        <v>-2</v>
      </c>
      <c r="C9" s="398">
        <v>-2</v>
      </c>
      <c r="D9" s="399">
        <v>24</v>
      </c>
      <c r="E9" s="388">
        <v>-2</v>
      </c>
      <c r="F9" s="400">
        <v>0</v>
      </c>
      <c r="G9" s="401">
        <v>-7</v>
      </c>
      <c r="H9" s="402">
        <v>0</v>
      </c>
      <c r="I9" s="403">
        <v>24</v>
      </c>
      <c r="J9" s="404">
        <v>8</v>
      </c>
      <c r="K9" s="405">
        <v>20</v>
      </c>
      <c r="L9" s="406">
        <v>-7</v>
      </c>
      <c r="M9" s="393">
        <v>-9</v>
      </c>
      <c r="N9" s="404">
        <v>72</v>
      </c>
    </row>
    <row r="10" spans="1:14" ht="15" customHeight="1" x14ac:dyDescent="0.25">
      <c r="A10" s="396" t="s">
        <v>300</v>
      </c>
      <c r="B10" s="397">
        <v>114</v>
      </c>
      <c r="C10" s="398">
        <v>115</v>
      </c>
      <c r="D10" s="399">
        <v>133</v>
      </c>
      <c r="E10" s="388">
        <v>87</v>
      </c>
      <c r="F10" s="400">
        <v>118</v>
      </c>
      <c r="G10" s="401">
        <v>90</v>
      </c>
      <c r="H10" s="402">
        <v>99</v>
      </c>
      <c r="I10" s="403">
        <v>82</v>
      </c>
      <c r="J10" s="404">
        <v>94</v>
      </c>
      <c r="K10" s="405">
        <v>362</v>
      </c>
      <c r="L10" s="406">
        <v>307</v>
      </c>
      <c r="M10" s="393">
        <v>394</v>
      </c>
      <c r="N10" s="404">
        <v>418</v>
      </c>
    </row>
    <row r="11" spans="1:14" ht="15" customHeight="1" x14ac:dyDescent="0.25">
      <c r="A11" s="407" t="s">
        <v>301</v>
      </c>
      <c r="B11" s="385">
        <v>3371</v>
      </c>
      <c r="C11" s="386">
        <v>3235</v>
      </c>
      <c r="D11" s="387">
        <v>3412</v>
      </c>
      <c r="E11" s="388">
        <v>3319</v>
      </c>
      <c r="F11" s="389">
        <v>3305</v>
      </c>
      <c r="G11" s="390">
        <v>3184</v>
      </c>
      <c r="H11" s="391">
        <v>3225</v>
      </c>
      <c r="I11" s="392">
        <v>3204</v>
      </c>
      <c r="J11" s="393">
        <v>3095</v>
      </c>
      <c r="K11" s="394">
        <v>10018</v>
      </c>
      <c r="L11" s="395">
        <v>9714</v>
      </c>
      <c r="M11" s="393">
        <v>13033</v>
      </c>
      <c r="N11" s="393">
        <v>12421</v>
      </c>
    </row>
    <row r="12" spans="1:14" ht="15" customHeight="1" x14ac:dyDescent="0.25">
      <c r="A12" s="384" t="s">
        <v>302</v>
      </c>
      <c r="B12" s="385">
        <v>456</v>
      </c>
      <c r="C12" s="386">
        <v>805</v>
      </c>
      <c r="D12" s="387">
        <v>538</v>
      </c>
      <c r="E12" s="388">
        <v>450</v>
      </c>
      <c r="F12" s="389">
        <v>435</v>
      </c>
      <c r="G12" s="390">
        <v>428</v>
      </c>
      <c r="H12" s="391">
        <v>378</v>
      </c>
      <c r="I12" s="392">
        <v>700</v>
      </c>
      <c r="J12" s="393">
        <v>307</v>
      </c>
      <c r="K12" s="394">
        <v>1799</v>
      </c>
      <c r="L12" s="395">
        <v>1241</v>
      </c>
      <c r="M12" s="393">
        <v>1691</v>
      </c>
      <c r="N12" s="393">
        <v>1443</v>
      </c>
    </row>
    <row r="13" spans="1:14" ht="15" customHeight="1" x14ac:dyDescent="0.25">
      <c r="A13" s="384" t="s">
        <v>303</v>
      </c>
      <c r="B13" s="385">
        <v>1596</v>
      </c>
      <c r="C13" s="386">
        <v>1581</v>
      </c>
      <c r="D13" s="387">
        <v>1611</v>
      </c>
      <c r="E13" s="388">
        <v>1578</v>
      </c>
      <c r="F13" s="389">
        <v>1528</v>
      </c>
      <c r="G13" s="390">
        <v>1520</v>
      </c>
      <c r="H13" s="391">
        <v>1499</v>
      </c>
      <c r="I13" s="392">
        <v>1516</v>
      </c>
      <c r="J13" s="393">
        <v>1449</v>
      </c>
      <c r="K13" s="394">
        <v>4788</v>
      </c>
      <c r="L13" s="395">
        <v>4547</v>
      </c>
      <c r="M13" s="393">
        <v>6125</v>
      </c>
      <c r="N13" s="393">
        <v>5876</v>
      </c>
    </row>
    <row r="14" spans="1:14" ht="15" customHeight="1" x14ac:dyDescent="0.25">
      <c r="A14" s="407" t="s">
        <v>278</v>
      </c>
      <c r="B14" s="385">
        <v>1319</v>
      </c>
      <c r="C14" s="386">
        <v>849</v>
      </c>
      <c r="D14" s="387">
        <v>1263</v>
      </c>
      <c r="E14" s="388">
        <v>1291</v>
      </c>
      <c r="F14" s="389">
        <v>1342</v>
      </c>
      <c r="G14" s="390">
        <v>1236</v>
      </c>
      <c r="H14" s="391">
        <v>1348</v>
      </c>
      <c r="I14" s="392">
        <v>988</v>
      </c>
      <c r="J14" s="393">
        <v>1339</v>
      </c>
      <c r="K14" s="394">
        <v>3431</v>
      </c>
      <c r="L14" s="395">
        <v>3926</v>
      </c>
      <c r="M14" s="393">
        <v>5217</v>
      </c>
      <c r="N14" s="393">
        <v>5102</v>
      </c>
    </row>
    <row r="15" spans="1:14" ht="15" customHeight="1" x14ac:dyDescent="0.25">
      <c r="A15" s="384" t="s">
        <v>304</v>
      </c>
      <c r="B15" s="385">
        <v>361</v>
      </c>
      <c r="C15" s="386">
        <v>236</v>
      </c>
      <c r="D15" s="387">
        <v>350</v>
      </c>
      <c r="E15" s="388">
        <v>357</v>
      </c>
      <c r="F15" s="389">
        <v>365</v>
      </c>
      <c r="G15" s="390">
        <v>343</v>
      </c>
      <c r="H15" s="391">
        <v>375</v>
      </c>
      <c r="I15" s="392">
        <v>279</v>
      </c>
      <c r="J15" s="393">
        <v>373</v>
      </c>
      <c r="K15" s="394">
        <v>947</v>
      </c>
      <c r="L15" s="395">
        <v>1083</v>
      </c>
      <c r="M15" s="393">
        <v>1440</v>
      </c>
      <c r="N15" s="393">
        <v>1421</v>
      </c>
    </row>
    <row r="16" spans="1:14" ht="15" customHeight="1" x14ac:dyDescent="0.25">
      <c r="A16" s="407" t="s">
        <v>305</v>
      </c>
      <c r="B16" s="385">
        <v>958</v>
      </c>
      <c r="C16" s="386">
        <v>613</v>
      </c>
      <c r="D16" s="387">
        <v>913</v>
      </c>
      <c r="E16" s="388">
        <v>934</v>
      </c>
      <c r="F16" s="389">
        <v>977</v>
      </c>
      <c r="G16" s="390">
        <v>893</v>
      </c>
      <c r="H16" s="391">
        <v>973</v>
      </c>
      <c r="I16" s="392">
        <v>709</v>
      </c>
      <c r="J16" s="393">
        <v>966</v>
      </c>
      <c r="K16" s="394">
        <v>2484</v>
      </c>
      <c r="L16" s="395">
        <v>2843</v>
      </c>
      <c r="M16" s="393">
        <v>3777</v>
      </c>
      <c r="N16" s="393">
        <v>3681</v>
      </c>
    </row>
    <row r="17" spans="1:14" ht="15" customHeight="1" x14ac:dyDescent="0.25">
      <c r="A17" s="384" t="s">
        <v>306</v>
      </c>
      <c r="B17" s="385">
        <v>1</v>
      </c>
      <c r="C17" s="386">
        <v>0</v>
      </c>
      <c r="D17" s="387">
        <v>1</v>
      </c>
      <c r="E17" s="408">
        <v>1</v>
      </c>
      <c r="F17" s="386">
        <v>1</v>
      </c>
      <c r="G17" s="386">
        <v>0</v>
      </c>
      <c r="H17" s="409">
        <v>1</v>
      </c>
      <c r="I17" s="392">
        <v>0</v>
      </c>
      <c r="J17" s="393">
        <v>1</v>
      </c>
      <c r="K17" s="394">
        <v>2</v>
      </c>
      <c r="L17" s="395">
        <v>2</v>
      </c>
      <c r="M17" s="393">
        <v>3</v>
      </c>
      <c r="N17" s="393">
        <v>3</v>
      </c>
    </row>
    <row r="18" spans="1:14" ht="15" customHeight="1" x14ac:dyDescent="0.25">
      <c r="A18" s="407" t="s">
        <v>282</v>
      </c>
      <c r="B18" s="385">
        <v>959</v>
      </c>
      <c r="C18" s="386">
        <v>613</v>
      </c>
      <c r="D18" s="387">
        <v>914</v>
      </c>
      <c r="E18" s="410">
        <v>935</v>
      </c>
      <c r="F18" s="411">
        <v>978</v>
      </c>
      <c r="G18" s="412">
        <v>893</v>
      </c>
      <c r="H18" s="413">
        <v>974</v>
      </c>
      <c r="I18" s="392">
        <v>709</v>
      </c>
      <c r="J18" s="393">
        <v>967</v>
      </c>
      <c r="K18" s="394">
        <v>2486</v>
      </c>
      <c r="L18" s="395">
        <v>2845</v>
      </c>
      <c r="M18" s="393">
        <v>3780</v>
      </c>
      <c r="N18" s="393">
        <v>3684</v>
      </c>
    </row>
    <row r="19" spans="1:14" ht="15" customHeight="1" x14ac:dyDescent="0.25">
      <c r="A19" s="407"/>
      <c r="B19" s="414"/>
      <c r="C19" s="415"/>
      <c r="D19" s="416"/>
      <c r="E19" s="417"/>
      <c r="F19" s="415"/>
      <c r="G19" s="415"/>
      <c r="H19" s="418"/>
      <c r="I19" s="419"/>
      <c r="J19" s="420"/>
      <c r="K19" s="421"/>
      <c r="L19" s="422"/>
      <c r="M19" s="420"/>
      <c r="N19" s="420"/>
    </row>
    <row r="20" spans="1:14" ht="15" customHeight="1" x14ac:dyDescent="0.25">
      <c r="A20" s="407" t="s">
        <v>307</v>
      </c>
      <c r="B20" s="385">
        <v>958</v>
      </c>
      <c r="C20" s="386">
        <v>613</v>
      </c>
      <c r="D20" s="387">
        <v>913</v>
      </c>
      <c r="E20" s="423">
        <v>934</v>
      </c>
      <c r="F20" s="424">
        <v>977</v>
      </c>
      <c r="G20" s="425">
        <v>893</v>
      </c>
      <c r="H20" s="426">
        <v>973</v>
      </c>
      <c r="I20" s="392">
        <v>709</v>
      </c>
      <c r="J20" s="393">
        <v>966</v>
      </c>
      <c r="K20" s="394">
        <v>2484</v>
      </c>
      <c r="L20" s="395">
        <v>2843</v>
      </c>
      <c r="M20" s="393">
        <v>3777</v>
      </c>
      <c r="N20" s="393">
        <v>3681</v>
      </c>
    </row>
    <row r="21" spans="1:14" ht="15" customHeight="1" x14ac:dyDescent="0.25">
      <c r="A21" s="407"/>
      <c r="B21" s="414"/>
      <c r="C21" s="415"/>
      <c r="D21" s="416"/>
      <c r="E21" s="417"/>
      <c r="F21" s="415"/>
      <c r="G21" s="415"/>
      <c r="H21" s="418"/>
      <c r="I21" s="419"/>
      <c r="J21" s="420"/>
      <c r="K21" s="421"/>
      <c r="L21" s="422"/>
      <c r="M21" s="420"/>
      <c r="N21" s="420"/>
    </row>
    <row r="22" spans="1:14" ht="15" customHeight="1" x14ac:dyDescent="0.25">
      <c r="A22" s="407" t="s">
        <v>308</v>
      </c>
      <c r="B22" s="385">
        <v>959</v>
      </c>
      <c r="C22" s="386">
        <v>613</v>
      </c>
      <c r="D22" s="387">
        <v>914</v>
      </c>
      <c r="E22" s="427">
        <v>935</v>
      </c>
      <c r="F22" s="428">
        <v>978</v>
      </c>
      <c r="G22" s="429">
        <v>893</v>
      </c>
      <c r="H22" s="430">
        <v>974</v>
      </c>
      <c r="I22" s="392">
        <v>709</v>
      </c>
      <c r="J22" s="393">
        <v>967</v>
      </c>
      <c r="K22" s="394">
        <v>2486</v>
      </c>
      <c r="L22" s="395">
        <v>2845</v>
      </c>
      <c r="M22" s="393">
        <v>3780</v>
      </c>
      <c r="N22" s="393">
        <v>3684</v>
      </c>
    </row>
    <row r="23" spans="1:14" ht="15" customHeight="1" x14ac:dyDescent="0.25">
      <c r="A23" s="431"/>
      <c r="B23" s="432"/>
      <c r="C23" s="433"/>
      <c r="D23" s="434"/>
      <c r="E23" s="435"/>
      <c r="F23" s="436"/>
      <c r="G23" s="436"/>
      <c r="H23" s="437"/>
      <c r="I23" s="438"/>
      <c r="J23" s="439"/>
      <c r="K23" s="440"/>
      <c r="L23" s="441"/>
      <c r="M23" s="439"/>
      <c r="N23" s="439"/>
    </row>
    <row r="24" spans="1:14" ht="15" customHeight="1" x14ac:dyDescent="0.25">
      <c r="A24" s="442" t="s">
        <v>309</v>
      </c>
      <c r="B24" s="364"/>
      <c r="C24" s="443"/>
      <c r="D24" s="366"/>
      <c r="E24" s="367"/>
      <c r="F24" s="368"/>
      <c r="G24" s="368"/>
      <c r="H24" s="369"/>
      <c r="I24" s="444"/>
      <c r="J24" s="445"/>
      <c r="K24" s="446"/>
      <c r="L24" s="447"/>
      <c r="M24" s="445"/>
      <c r="N24" s="445"/>
    </row>
    <row r="25" spans="1:14" ht="15" customHeight="1" x14ac:dyDescent="0.25">
      <c r="A25" s="448" t="s">
        <v>310</v>
      </c>
      <c r="B25" s="449">
        <v>2.29</v>
      </c>
      <c r="C25" s="450">
        <v>2.27</v>
      </c>
      <c r="D25" s="451">
        <v>2.31</v>
      </c>
      <c r="E25" s="452">
        <v>2.3199999999999998</v>
      </c>
      <c r="F25" s="450">
        <v>2.36</v>
      </c>
      <c r="G25" s="450">
        <v>2.41</v>
      </c>
      <c r="H25" s="453">
        <v>2.41</v>
      </c>
      <c r="I25" s="454">
        <v>2.36</v>
      </c>
      <c r="J25" s="455">
        <v>2.25</v>
      </c>
      <c r="K25" s="456">
        <v>2.29</v>
      </c>
      <c r="L25" s="457">
        <v>2.39</v>
      </c>
      <c r="M25" s="455">
        <v>2.38</v>
      </c>
      <c r="N25" s="455">
        <v>2.25</v>
      </c>
    </row>
    <row r="26" spans="1:14" ht="15" customHeight="1" x14ac:dyDescent="0.25">
      <c r="A26" s="384" t="s">
        <v>311</v>
      </c>
      <c r="B26" s="458">
        <v>0.4</v>
      </c>
      <c r="C26" s="459">
        <v>0.38</v>
      </c>
      <c r="D26" s="460">
        <v>0.37</v>
      </c>
      <c r="E26" s="461">
        <v>0.37</v>
      </c>
      <c r="F26" s="459">
        <v>0.28999999999999998</v>
      </c>
      <c r="G26" s="459">
        <v>0.33</v>
      </c>
      <c r="H26" s="462">
        <v>0.28999999999999998</v>
      </c>
      <c r="I26" s="463">
        <v>0.22</v>
      </c>
      <c r="J26" s="464">
        <v>0.2</v>
      </c>
      <c r="K26" s="465">
        <v>0.39</v>
      </c>
      <c r="L26" s="466">
        <v>0.3</v>
      </c>
      <c r="M26" s="464">
        <v>0.32</v>
      </c>
      <c r="N26" s="464">
        <v>0.19</v>
      </c>
    </row>
    <row r="27" spans="1:14" ht="15" customHeight="1" x14ac:dyDescent="0.25">
      <c r="A27" s="407" t="s">
        <v>312</v>
      </c>
      <c r="B27" s="467"/>
      <c r="C27" s="468"/>
      <c r="D27" s="469"/>
      <c r="E27" s="470"/>
      <c r="F27" s="468"/>
      <c r="G27" s="468"/>
      <c r="H27" s="471"/>
      <c r="I27" s="472"/>
      <c r="J27" s="473"/>
      <c r="K27" s="465"/>
      <c r="L27" s="474"/>
      <c r="M27" s="473"/>
      <c r="N27" s="473"/>
    </row>
    <row r="28" spans="1:14" ht="15" customHeight="1" x14ac:dyDescent="0.25">
      <c r="A28" s="396" t="s">
        <v>313</v>
      </c>
      <c r="B28" s="475">
        <v>18.399999999999999</v>
      </c>
      <c r="C28" s="476">
        <v>12</v>
      </c>
      <c r="D28" s="477">
        <v>16.7</v>
      </c>
      <c r="E28" s="478">
        <v>17.5</v>
      </c>
      <c r="F28" s="479">
        <v>18.899999999999999</v>
      </c>
      <c r="G28" s="480">
        <v>17.7</v>
      </c>
      <c r="H28" s="481">
        <v>19.3</v>
      </c>
      <c r="I28" s="482">
        <v>14.9</v>
      </c>
      <c r="J28" s="483">
        <v>20.5</v>
      </c>
      <c r="K28" s="484">
        <v>15.8</v>
      </c>
      <c r="L28" s="485">
        <v>18.7</v>
      </c>
      <c r="M28" s="483">
        <v>18.3</v>
      </c>
      <c r="N28" s="483">
        <v>19.5</v>
      </c>
    </row>
    <row r="29" spans="1:14" ht="15" customHeight="1" x14ac:dyDescent="0.25">
      <c r="A29" s="396" t="s">
        <v>314</v>
      </c>
      <c r="B29" s="458">
        <v>0.4</v>
      </c>
      <c r="C29" s="459">
        <v>0.72</v>
      </c>
      <c r="D29" s="460">
        <v>0.47</v>
      </c>
      <c r="E29" s="461">
        <v>0.4</v>
      </c>
      <c r="F29" s="459">
        <v>0.39</v>
      </c>
      <c r="G29" s="459">
        <v>0.4</v>
      </c>
      <c r="H29" s="462">
        <v>0.34</v>
      </c>
      <c r="I29" s="463">
        <v>0.63</v>
      </c>
      <c r="J29" s="464">
        <v>0.27</v>
      </c>
      <c r="K29" s="465">
        <v>0.53</v>
      </c>
      <c r="L29" s="474">
        <v>0.38</v>
      </c>
      <c r="M29" s="464">
        <v>0.38</v>
      </c>
      <c r="N29" s="464">
        <v>0.32</v>
      </c>
    </row>
    <row r="30" spans="1:14" ht="15" customHeight="1" x14ac:dyDescent="0.25">
      <c r="A30" s="396" t="s">
        <v>315</v>
      </c>
      <c r="B30" s="458">
        <v>0.39</v>
      </c>
      <c r="C30" s="459">
        <v>0.44</v>
      </c>
      <c r="D30" s="460">
        <v>0.43</v>
      </c>
      <c r="E30" s="486">
        <v>0.41</v>
      </c>
      <c r="F30" s="459">
        <v>0.3</v>
      </c>
      <c r="G30" s="459">
        <v>0.37</v>
      </c>
      <c r="H30" s="462">
        <v>0.33</v>
      </c>
      <c r="I30" s="463">
        <v>0.26</v>
      </c>
      <c r="J30" s="464">
        <v>0.23</v>
      </c>
      <c r="K30" s="465">
        <v>0.42</v>
      </c>
      <c r="L30" s="474">
        <v>0.33</v>
      </c>
      <c r="M30" s="464">
        <v>0.35</v>
      </c>
      <c r="N30" s="464">
        <v>0.21</v>
      </c>
    </row>
    <row r="31" spans="1:14" ht="15" customHeight="1" x14ac:dyDescent="0.25">
      <c r="A31" s="396" t="s">
        <v>316</v>
      </c>
      <c r="B31" s="475">
        <v>47.3</v>
      </c>
      <c r="C31" s="476">
        <v>48.8</v>
      </c>
      <c r="D31" s="477">
        <v>47.3</v>
      </c>
      <c r="E31" s="487">
        <v>47.5</v>
      </c>
      <c r="F31" s="488">
        <v>46.2</v>
      </c>
      <c r="G31" s="489">
        <v>47.7</v>
      </c>
      <c r="H31" s="490">
        <v>46.5</v>
      </c>
      <c r="I31" s="482">
        <v>47.3</v>
      </c>
      <c r="J31" s="483">
        <v>46.9</v>
      </c>
      <c r="K31" s="484">
        <v>47.8</v>
      </c>
      <c r="L31" s="485">
        <v>46.8</v>
      </c>
      <c r="M31" s="483">
        <v>47</v>
      </c>
      <c r="N31" s="483">
        <v>47.3</v>
      </c>
    </row>
    <row r="32" spans="1:14" ht="15" customHeight="1" x14ac:dyDescent="0.25">
      <c r="A32" s="491" t="s">
        <v>317</v>
      </c>
      <c r="B32" s="492"/>
      <c r="C32" s="493"/>
      <c r="D32" s="494"/>
      <c r="E32" s="495"/>
      <c r="F32" s="493"/>
      <c r="G32" s="493"/>
      <c r="H32" s="496"/>
      <c r="I32" s="497"/>
      <c r="J32" s="498"/>
      <c r="K32" s="499"/>
      <c r="L32" s="500"/>
      <c r="M32" s="498"/>
      <c r="N32" s="498"/>
    </row>
    <row r="33" spans="1:14" ht="15" customHeight="1" x14ac:dyDescent="0.25">
      <c r="A33" s="396" t="s">
        <v>318</v>
      </c>
      <c r="B33" s="475">
        <v>18.5</v>
      </c>
      <c r="C33" s="476">
        <v>12</v>
      </c>
      <c r="D33" s="477">
        <v>16.7</v>
      </c>
      <c r="E33" s="501">
        <v>17.5</v>
      </c>
      <c r="F33" s="502">
        <v>19</v>
      </c>
      <c r="G33" s="503">
        <v>17.7</v>
      </c>
      <c r="H33" s="504">
        <v>19.3</v>
      </c>
      <c r="I33" s="482">
        <v>14.9</v>
      </c>
      <c r="J33" s="483">
        <v>20.5</v>
      </c>
      <c r="K33" s="484">
        <v>15.8</v>
      </c>
      <c r="L33" s="485">
        <v>18.7</v>
      </c>
      <c r="M33" s="483">
        <v>18.399999999999999</v>
      </c>
      <c r="N33" s="483">
        <v>19.5</v>
      </c>
    </row>
    <row r="34" spans="1:14" ht="15" customHeight="1" x14ac:dyDescent="0.25">
      <c r="A34" s="505" t="s">
        <v>319</v>
      </c>
      <c r="B34" s="506">
        <v>47.3</v>
      </c>
      <c r="C34" s="507">
        <v>48.8</v>
      </c>
      <c r="D34" s="508">
        <v>47.2</v>
      </c>
      <c r="E34" s="509">
        <v>47.5</v>
      </c>
      <c r="F34" s="510">
        <v>46.2</v>
      </c>
      <c r="G34" s="511">
        <v>47.7</v>
      </c>
      <c r="H34" s="512">
        <v>46.4</v>
      </c>
      <c r="I34" s="513">
        <v>47.3</v>
      </c>
      <c r="J34" s="514">
        <v>46.8</v>
      </c>
      <c r="K34" s="515">
        <v>47.8</v>
      </c>
      <c r="L34" s="516">
        <v>46.8</v>
      </c>
      <c r="M34" s="514">
        <v>47</v>
      </c>
      <c r="N34" s="514">
        <v>47.3</v>
      </c>
    </row>
    <row r="35" spans="1:14" ht="15" customHeight="1" x14ac:dyDescent="0.25">
      <c r="A35" s="442" t="s">
        <v>320</v>
      </c>
      <c r="B35" s="364"/>
      <c r="C35" s="368"/>
      <c r="D35" s="366"/>
      <c r="E35" s="367"/>
      <c r="F35" s="368"/>
      <c r="G35" s="368"/>
      <c r="H35" s="369"/>
      <c r="I35" s="444"/>
      <c r="J35" s="445"/>
      <c r="K35" s="446"/>
      <c r="L35" s="447"/>
      <c r="M35" s="445"/>
      <c r="N35" s="445"/>
    </row>
    <row r="36" spans="1:14" ht="15" customHeight="1" x14ac:dyDescent="0.25">
      <c r="A36" s="517" t="s">
        <v>321</v>
      </c>
      <c r="B36" s="518">
        <v>283.8</v>
      </c>
      <c r="C36" s="519">
        <v>282.7</v>
      </c>
      <c r="D36" s="520">
        <v>278.89999999999998</v>
      </c>
      <c r="E36" s="521">
        <v>274.7</v>
      </c>
      <c r="F36" s="522">
        <v>270.8</v>
      </c>
      <c r="G36" s="523">
        <v>267.60000000000002</v>
      </c>
      <c r="H36" s="524">
        <v>268.5</v>
      </c>
      <c r="I36" s="525">
        <v>271.39999999999998</v>
      </c>
      <c r="J36" s="526">
        <v>277</v>
      </c>
      <c r="K36" s="527">
        <v>281.8</v>
      </c>
      <c r="L36" s="528">
        <v>269</v>
      </c>
      <c r="M36" s="519">
        <v>270.39999999999998</v>
      </c>
      <c r="N36" s="519">
        <v>278.10000000000002</v>
      </c>
    </row>
    <row r="37" spans="1:14" ht="15" customHeight="1" x14ac:dyDescent="0.25">
      <c r="A37" s="529" t="s">
        <v>322</v>
      </c>
      <c r="B37" s="530">
        <v>73.599999999999994</v>
      </c>
      <c r="C37" s="531">
        <v>73.599999999999994</v>
      </c>
      <c r="D37" s="532">
        <v>74.300000000000011</v>
      </c>
      <c r="E37" s="533">
        <v>74.599999999999994</v>
      </c>
      <c r="F37" s="534">
        <v>74.2</v>
      </c>
      <c r="G37" s="535">
        <v>73.8</v>
      </c>
      <c r="H37" s="536">
        <v>73.7</v>
      </c>
      <c r="I37" s="537">
        <v>73.900000000000006</v>
      </c>
      <c r="J37" s="531">
        <v>73.599999999999994</v>
      </c>
      <c r="K37" s="538">
        <v>73.8</v>
      </c>
      <c r="L37" s="539">
        <v>73.900000000000006</v>
      </c>
      <c r="M37" s="531">
        <v>74.099999999999994</v>
      </c>
      <c r="N37" s="531">
        <v>73.099999999999994</v>
      </c>
    </row>
    <row r="38" spans="1:14" ht="15" customHeight="1" x14ac:dyDescent="0.25">
      <c r="A38" s="529" t="s">
        <v>323</v>
      </c>
      <c r="B38" s="530">
        <v>9.4</v>
      </c>
      <c r="C38" s="531">
        <v>9.1999999999999993</v>
      </c>
      <c r="D38" s="532">
        <v>9.5</v>
      </c>
      <c r="E38" s="533">
        <v>9.5</v>
      </c>
      <c r="F38" s="534">
        <v>9.3000000000000007</v>
      </c>
      <c r="G38" s="535">
        <v>8.9</v>
      </c>
      <c r="H38" s="536">
        <v>8.8000000000000007</v>
      </c>
      <c r="I38" s="537">
        <v>8.4</v>
      </c>
      <c r="J38" s="531">
        <v>8</v>
      </c>
      <c r="K38" s="538">
        <v>9.4</v>
      </c>
      <c r="L38" s="539">
        <v>9</v>
      </c>
      <c r="M38" s="531">
        <v>9.1</v>
      </c>
      <c r="N38" s="531">
        <v>7.9</v>
      </c>
    </row>
    <row r="39" spans="1:14" ht="15" customHeight="1" x14ac:dyDescent="0.25">
      <c r="A39" s="529" t="s">
        <v>324</v>
      </c>
      <c r="B39" s="530">
        <v>94</v>
      </c>
      <c r="C39" s="531">
        <v>93.4</v>
      </c>
      <c r="D39" s="532">
        <v>94.3</v>
      </c>
      <c r="E39" s="533">
        <v>95.1</v>
      </c>
      <c r="F39" s="534">
        <v>94.3</v>
      </c>
      <c r="G39" s="535">
        <v>92.1</v>
      </c>
      <c r="H39" s="536">
        <v>91.3</v>
      </c>
      <c r="I39" s="537">
        <v>90.1</v>
      </c>
      <c r="J39" s="531">
        <v>87.9</v>
      </c>
      <c r="K39" s="538">
        <v>93.9</v>
      </c>
      <c r="L39" s="539">
        <v>92.6</v>
      </c>
      <c r="M39" s="531">
        <v>93.2</v>
      </c>
      <c r="N39" s="531">
        <v>86.8</v>
      </c>
    </row>
    <row r="40" spans="1:14" ht="15" customHeight="1" x14ac:dyDescent="0.25">
      <c r="A40" s="540" t="s">
        <v>325</v>
      </c>
      <c r="B40" s="530">
        <v>460.8</v>
      </c>
      <c r="C40" s="531">
        <v>458.9</v>
      </c>
      <c r="D40" s="532">
        <v>457</v>
      </c>
      <c r="E40" s="533">
        <v>453.9</v>
      </c>
      <c r="F40" s="534">
        <v>448.6</v>
      </c>
      <c r="G40" s="535">
        <v>442.4</v>
      </c>
      <c r="H40" s="536">
        <v>442.3</v>
      </c>
      <c r="I40" s="541">
        <v>443.8</v>
      </c>
      <c r="J40" s="476">
        <v>446.5</v>
      </c>
      <c r="K40" s="484">
        <v>458.9</v>
      </c>
      <c r="L40" s="542">
        <v>444.5</v>
      </c>
      <c r="M40" s="543">
        <v>446.8</v>
      </c>
      <c r="N40" s="531">
        <v>445.9</v>
      </c>
    </row>
    <row r="41" spans="1:14" ht="15" customHeight="1" x14ac:dyDescent="0.25">
      <c r="A41" s="540" t="s">
        <v>326</v>
      </c>
      <c r="B41" s="530">
        <v>2.2999999999999998</v>
      </c>
      <c r="C41" s="531">
        <v>2.5</v>
      </c>
      <c r="D41" s="532">
        <v>2.9</v>
      </c>
      <c r="E41" s="533">
        <v>2.9</v>
      </c>
      <c r="F41" s="534">
        <v>2.6</v>
      </c>
      <c r="G41" s="535">
        <v>2.5</v>
      </c>
      <c r="H41" s="536">
        <v>2.6</v>
      </c>
      <c r="I41" s="541">
        <v>3.6</v>
      </c>
      <c r="J41" s="476">
        <v>3.7</v>
      </c>
      <c r="K41" s="484">
        <v>2.6</v>
      </c>
      <c r="L41" s="542">
        <v>2.5</v>
      </c>
      <c r="M41" s="543">
        <v>2.7</v>
      </c>
      <c r="N41" s="531">
        <v>3.7</v>
      </c>
    </row>
    <row r="42" spans="1:14" ht="15" customHeight="1" x14ac:dyDescent="0.25">
      <c r="A42" s="544" t="s">
        <v>327</v>
      </c>
      <c r="B42" s="530">
        <v>463.1</v>
      </c>
      <c r="C42" s="531">
        <v>461.4</v>
      </c>
      <c r="D42" s="532">
        <v>459.9</v>
      </c>
      <c r="E42" s="533">
        <v>456.8</v>
      </c>
      <c r="F42" s="534">
        <v>451.2</v>
      </c>
      <c r="G42" s="535">
        <v>444.9</v>
      </c>
      <c r="H42" s="536">
        <v>444.9</v>
      </c>
      <c r="I42" s="541">
        <v>447.4</v>
      </c>
      <c r="J42" s="476">
        <v>450.2</v>
      </c>
      <c r="K42" s="484">
        <v>461.5</v>
      </c>
      <c r="L42" s="542">
        <v>447</v>
      </c>
      <c r="M42" s="543">
        <v>449.5</v>
      </c>
      <c r="N42" s="531">
        <v>449.6</v>
      </c>
    </row>
    <row r="43" spans="1:14" ht="15" customHeight="1" x14ac:dyDescent="0.25">
      <c r="A43" s="540" t="s">
        <v>328</v>
      </c>
      <c r="B43" s="530">
        <v>237.9</v>
      </c>
      <c r="C43" s="531">
        <v>238.6</v>
      </c>
      <c r="D43" s="532">
        <v>239</v>
      </c>
      <c r="E43" s="533">
        <v>237.1</v>
      </c>
      <c r="F43" s="534">
        <v>233</v>
      </c>
      <c r="G43" s="535">
        <v>231.4</v>
      </c>
      <c r="H43" s="536">
        <v>229.3</v>
      </c>
      <c r="I43" s="541">
        <v>225.5</v>
      </c>
      <c r="J43" s="476">
        <v>222.5</v>
      </c>
      <c r="K43" s="484">
        <v>238.5</v>
      </c>
      <c r="L43" s="542">
        <v>231.3</v>
      </c>
      <c r="M43" s="543">
        <v>232.7</v>
      </c>
      <c r="N43" s="531">
        <v>219.7</v>
      </c>
    </row>
    <row r="44" spans="1:14" ht="15" customHeight="1" x14ac:dyDescent="0.25">
      <c r="A44" s="540" t="s">
        <v>329</v>
      </c>
      <c r="B44" s="530">
        <v>138.80000000000001</v>
      </c>
      <c r="C44" s="531">
        <v>140.4</v>
      </c>
      <c r="D44" s="532">
        <v>141.69999999999999</v>
      </c>
      <c r="E44" s="533">
        <v>141.5</v>
      </c>
      <c r="F44" s="534">
        <v>137.80000000000001</v>
      </c>
      <c r="G44" s="535">
        <v>130.5</v>
      </c>
      <c r="H44" s="536">
        <v>129</v>
      </c>
      <c r="I44" s="541">
        <v>127.1</v>
      </c>
      <c r="J44" s="476">
        <v>121.6</v>
      </c>
      <c r="K44" s="484">
        <v>140.30000000000001</v>
      </c>
      <c r="L44" s="542">
        <v>132.4</v>
      </c>
      <c r="M44" s="543">
        <v>134.69999999999999</v>
      </c>
      <c r="N44" s="531">
        <v>120.6</v>
      </c>
    </row>
    <row r="45" spans="1:14" ht="15" customHeight="1" x14ac:dyDescent="0.25">
      <c r="A45" s="544" t="s">
        <v>330</v>
      </c>
      <c r="B45" s="530">
        <v>376.7</v>
      </c>
      <c r="C45" s="531">
        <v>379</v>
      </c>
      <c r="D45" s="532">
        <v>380.7</v>
      </c>
      <c r="E45" s="533">
        <v>378.6</v>
      </c>
      <c r="F45" s="534">
        <v>370.8</v>
      </c>
      <c r="G45" s="535">
        <v>361.9</v>
      </c>
      <c r="H45" s="536">
        <v>358.3</v>
      </c>
      <c r="I45" s="541">
        <v>352.6</v>
      </c>
      <c r="J45" s="476">
        <v>344.1</v>
      </c>
      <c r="K45" s="484">
        <v>378.8</v>
      </c>
      <c r="L45" s="542">
        <v>363.7</v>
      </c>
      <c r="M45" s="543">
        <v>367.4</v>
      </c>
      <c r="N45" s="531">
        <v>340.3</v>
      </c>
    </row>
    <row r="46" spans="1:14" ht="15" customHeight="1" x14ac:dyDescent="0.25">
      <c r="A46" s="540" t="s">
        <v>331</v>
      </c>
      <c r="B46" s="530">
        <v>4.5</v>
      </c>
      <c r="C46" s="531">
        <v>4.5999999999999996</v>
      </c>
      <c r="D46" s="532">
        <v>5</v>
      </c>
      <c r="E46" s="533">
        <v>6.6</v>
      </c>
      <c r="F46" s="534">
        <v>18.2</v>
      </c>
      <c r="G46" s="535">
        <v>27.2</v>
      </c>
      <c r="H46" s="536">
        <v>34.200000000000003</v>
      </c>
      <c r="I46" s="541">
        <v>33.6</v>
      </c>
      <c r="J46" s="476">
        <v>32.1</v>
      </c>
      <c r="K46" s="484">
        <v>4.7</v>
      </c>
      <c r="L46" s="542">
        <v>26.5</v>
      </c>
      <c r="M46" s="543">
        <v>21.6</v>
      </c>
      <c r="N46" s="531">
        <v>31.3</v>
      </c>
    </row>
    <row r="47" spans="1:14" ht="15" customHeight="1" x14ac:dyDescent="0.25">
      <c r="A47" s="545" t="s">
        <v>332</v>
      </c>
      <c r="B47" s="546">
        <v>381.2</v>
      </c>
      <c r="C47" s="547">
        <v>383.6</v>
      </c>
      <c r="D47" s="548">
        <v>385.7</v>
      </c>
      <c r="E47" s="549">
        <v>385.2</v>
      </c>
      <c r="F47" s="550">
        <v>389</v>
      </c>
      <c r="G47" s="551">
        <v>389.1</v>
      </c>
      <c r="H47" s="552">
        <v>392.5</v>
      </c>
      <c r="I47" s="553">
        <v>386.2</v>
      </c>
      <c r="J47" s="554">
        <v>376.2</v>
      </c>
      <c r="K47" s="555">
        <v>383.5</v>
      </c>
      <c r="L47" s="556">
        <v>390.2</v>
      </c>
      <c r="M47" s="557">
        <v>389</v>
      </c>
      <c r="N47" s="547">
        <v>371.6</v>
      </c>
    </row>
    <row r="48" spans="1:14" ht="15" customHeight="1" x14ac:dyDescent="0.25">
      <c r="A48" s="558" t="s">
        <v>333</v>
      </c>
      <c r="B48" s="559"/>
      <c r="C48" s="560"/>
      <c r="D48" s="561"/>
      <c r="E48" s="367"/>
      <c r="F48" s="562"/>
      <c r="G48" s="562"/>
      <c r="H48" s="369"/>
      <c r="I48" s="563"/>
      <c r="J48" s="564"/>
      <c r="K48" s="565"/>
      <c r="L48" s="566"/>
      <c r="M48" s="564"/>
      <c r="N48" s="564"/>
    </row>
    <row r="49" spans="1:14" ht="15" customHeight="1" x14ac:dyDescent="0.3">
      <c r="A49" s="540" t="s">
        <v>334</v>
      </c>
      <c r="B49" s="567">
        <v>21617</v>
      </c>
      <c r="C49" s="568">
        <v>21619</v>
      </c>
      <c r="D49" s="569">
        <v>21461</v>
      </c>
      <c r="E49" s="570">
        <v>21427</v>
      </c>
      <c r="F49" s="571">
        <v>21610</v>
      </c>
      <c r="G49" s="571">
        <v>21644</v>
      </c>
      <c r="H49" s="572">
        <v>21595</v>
      </c>
      <c r="I49" s="573">
        <v>21738</v>
      </c>
      <c r="J49" s="571">
        <v>22184</v>
      </c>
      <c r="K49" s="574"/>
      <c r="L49" s="575"/>
      <c r="M49" s="576"/>
      <c r="N49" s="576"/>
    </row>
    <row r="50" spans="1:14" ht="15" customHeight="1" x14ac:dyDescent="0.3">
      <c r="A50" s="577" t="s">
        <v>335</v>
      </c>
      <c r="B50" s="578">
        <v>891</v>
      </c>
      <c r="C50" s="579">
        <v>890</v>
      </c>
      <c r="D50" s="572">
        <v>892</v>
      </c>
      <c r="E50" s="570">
        <v>898</v>
      </c>
      <c r="F50" s="580">
        <v>914</v>
      </c>
      <c r="G50" s="580">
        <v>937</v>
      </c>
      <c r="H50" s="572">
        <v>949</v>
      </c>
      <c r="I50" s="570">
        <v>947</v>
      </c>
      <c r="J50" s="580">
        <v>945</v>
      </c>
      <c r="K50" s="581"/>
      <c r="L50" s="582"/>
      <c r="M50" s="583"/>
      <c r="N50" s="583"/>
    </row>
    <row r="51" spans="1:14" ht="15" customHeight="1" x14ac:dyDescent="0.3">
      <c r="A51" s="584" t="s">
        <v>252</v>
      </c>
      <c r="B51" s="585">
        <v>3550</v>
      </c>
      <c r="C51" s="586">
        <v>3555</v>
      </c>
      <c r="D51" s="587">
        <v>3562</v>
      </c>
      <c r="E51" s="588">
        <v>3578</v>
      </c>
      <c r="F51" s="589">
        <v>3627</v>
      </c>
      <c r="G51" s="589">
        <v>3682</v>
      </c>
      <c r="H51" s="590">
        <v>3697</v>
      </c>
      <c r="I51" s="591">
        <v>3703</v>
      </c>
      <c r="J51" s="589">
        <v>3706</v>
      </c>
      <c r="K51" s="592"/>
      <c r="L51" s="593"/>
      <c r="M51" s="594"/>
      <c r="N51" s="594"/>
    </row>
    <row r="52" spans="1:14" ht="13.05" customHeight="1" x14ac:dyDescent="0.25">
      <c r="A52" s="595"/>
      <c r="B52" s="596"/>
      <c r="C52" s="597"/>
      <c r="D52" s="597"/>
      <c r="E52" s="597"/>
      <c r="F52" s="597"/>
      <c r="G52" s="597"/>
      <c r="H52" s="597"/>
      <c r="I52" s="597"/>
      <c r="J52" s="597"/>
      <c r="K52" s="597"/>
      <c r="L52" s="597"/>
      <c r="M52" s="597"/>
      <c r="N52" s="597"/>
    </row>
    <row r="53" spans="1:14" ht="10.35" customHeight="1" x14ac:dyDescent="0.25">
      <c r="A53" s="3486" t="s">
        <v>336</v>
      </c>
      <c r="B53" s="3486" t="s">
        <v>14</v>
      </c>
      <c r="C53" s="3486" t="s">
        <v>14</v>
      </c>
      <c r="D53" s="3486" t="s">
        <v>14</v>
      </c>
      <c r="E53" s="3486" t="s">
        <v>14</v>
      </c>
      <c r="F53" s="3486" t="s">
        <v>14</v>
      </c>
      <c r="G53" s="3486" t="s">
        <v>14</v>
      </c>
      <c r="H53" s="3486" t="s">
        <v>14</v>
      </c>
      <c r="I53" s="3486" t="s">
        <v>14</v>
      </c>
      <c r="J53" s="3486" t="s">
        <v>14</v>
      </c>
      <c r="K53" s="3486" t="s">
        <v>14</v>
      </c>
      <c r="L53" s="3486" t="s">
        <v>14</v>
      </c>
      <c r="M53" s="3486" t="s">
        <v>14</v>
      </c>
      <c r="N53" s="3486" t="s">
        <v>14</v>
      </c>
    </row>
    <row r="54" spans="1:14" ht="10.35" customHeight="1" x14ac:dyDescent="0.25">
      <c r="A54" s="598" t="s">
        <v>337</v>
      </c>
      <c r="B54" s="598"/>
      <c r="C54" s="598"/>
      <c r="D54" s="598"/>
      <c r="E54" s="598"/>
      <c r="F54" s="598"/>
      <c r="G54" s="598"/>
      <c r="H54" s="598"/>
      <c r="I54" s="598"/>
      <c r="J54" s="598"/>
      <c r="K54" s="598"/>
      <c r="L54" s="598"/>
      <c r="M54" s="598"/>
      <c r="N54" s="598"/>
    </row>
    <row r="55" spans="1:14" ht="10.35" customHeight="1" x14ac:dyDescent="0.25">
      <c r="A55" s="598" t="s">
        <v>338</v>
      </c>
      <c r="B55" s="598"/>
      <c r="C55" s="598"/>
      <c r="D55" s="598"/>
      <c r="E55" s="598"/>
      <c r="F55" s="598"/>
      <c r="G55" s="598"/>
      <c r="H55" s="598"/>
      <c r="I55" s="598"/>
      <c r="J55" s="598"/>
      <c r="K55" s="598"/>
      <c r="L55" s="598"/>
      <c r="M55" s="598"/>
      <c r="N55" s="598"/>
    </row>
    <row r="56" spans="1:14" ht="10.35" customHeight="1" x14ac:dyDescent="0.25">
      <c r="A56" s="598" t="s">
        <v>339</v>
      </c>
      <c r="B56" s="598"/>
      <c r="C56" s="598"/>
      <c r="D56" s="598"/>
      <c r="E56" s="598"/>
      <c r="F56" s="598"/>
      <c r="G56" s="598"/>
      <c r="H56" s="598"/>
      <c r="I56" s="598"/>
      <c r="J56" s="598"/>
      <c r="K56" s="598"/>
      <c r="L56" s="598"/>
      <c r="M56" s="598"/>
      <c r="N56" s="598"/>
    </row>
    <row r="57" spans="1:14" ht="10.35" customHeight="1" x14ac:dyDescent="0.25">
      <c r="A57" s="598" t="s">
        <v>340</v>
      </c>
      <c r="B57" s="598"/>
      <c r="C57" s="598"/>
      <c r="D57" s="598"/>
      <c r="E57" s="598"/>
      <c r="F57" s="598"/>
      <c r="G57" s="598"/>
      <c r="H57" s="598"/>
      <c r="I57" s="598"/>
      <c r="J57" s="598"/>
      <c r="K57" s="598"/>
      <c r="L57" s="598"/>
      <c r="M57" s="598"/>
      <c r="N57" s="598"/>
    </row>
    <row r="58" spans="1:14" ht="4.5" customHeight="1" x14ac:dyDescent="0.25">
      <c r="A58" s="3487" t="s">
        <v>341</v>
      </c>
      <c r="B58" s="3487" t="s">
        <v>14</v>
      </c>
      <c r="C58" s="3487" t="s">
        <v>14</v>
      </c>
      <c r="D58" s="3487" t="s">
        <v>14</v>
      </c>
      <c r="E58" s="3487" t="s">
        <v>14</v>
      </c>
      <c r="F58" s="3487" t="s">
        <v>14</v>
      </c>
      <c r="G58" s="3487" t="s">
        <v>14</v>
      </c>
      <c r="H58" s="3487" t="s">
        <v>14</v>
      </c>
      <c r="I58" s="3487" t="s">
        <v>14</v>
      </c>
      <c r="J58" s="3487" t="s">
        <v>14</v>
      </c>
      <c r="K58" s="3487" t="s">
        <v>14</v>
      </c>
      <c r="L58" s="3487" t="s">
        <v>14</v>
      </c>
      <c r="M58" s="3487" t="s">
        <v>14</v>
      </c>
      <c r="N58" s="3487" t="s">
        <v>14</v>
      </c>
    </row>
    <row r="59" spans="1:14" ht="5.25" customHeight="1" x14ac:dyDescent="0.25">
      <c r="A59" s="3488" t="s">
        <v>14</v>
      </c>
      <c r="B59" s="3488" t="s">
        <v>14</v>
      </c>
      <c r="C59" s="3488" t="s">
        <v>14</v>
      </c>
      <c r="D59" s="3488" t="s">
        <v>14</v>
      </c>
      <c r="E59" s="3488" t="s">
        <v>14</v>
      </c>
      <c r="F59" s="3488" t="s">
        <v>14</v>
      </c>
      <c r="G59" s="3488" t="s">
        <v>14</v>
      </c>
      <c r="H59" s="3488" t="s">
        <v>14</v>
      </c>
      <c r="I59" s="3488" t="s">
        <v>14</v>
      </c>
      <c r="J59" s="3488" t="s">
        <v>14</v>
      </c>
      <c r="K59" s="3488" t="s">
        <v>14</v>
      </c>
      <c r="L59" s="3488" t="s">
        <v>14</v>
      </c>
      <c r="M59" s="3488" t="s">
        <v>14</v>
      </c>
      <c r="N59" s="3488" t="s">
        <v>14</v>
      </c>
    </row>
    <row r="60" spans="1:14" ht="10.35" customHeight="1" x14ac:dyDescent="0.25">
      <c r="A60" s="3489"/>
      <c r="B60" s="3489" t="s">
        <v>14</v>
      </c>
      <c r="C60" s="3489" t="s">
        <v>14</v>
      </c>
      <c r="D60" s="3489" t="s">
        <v>14</v>
      </c>
      <c r="E60" s="3489" t="s">
        <v>14</v>
      </c>
      <c r="F60" s="3489" t="s">
        <v>14</v>
      </c>
      <c r="G60" s="3489" t="s">
        <v>14</v>
      </c>
      <c r="H60" s="3489" t="s">
        <v>14</v>
      </c>
      <c r="I60" s="3489" t="s">
        <v>14</v>
      </c>
      <c r="J60" s="3489" t="s">
        <v>14</v>
      </c>
      <c r="K60" s="3489" t="s">
        <v>14</v>
      </c>
      <c r="L60" s="3489" t="s">
        <v>14</v>
      </c>
      <c r="M60" s="599"/>
      <c r="N60" s="599"/>
    </row>
  </sheetData>
  <mergeCells count="9">
    <mergeCell ref="A53:N53"/>
    <mergeCell ref="A58:N59"/>
    <mergeCell ref="A60:L60"/>
    <mergeCell ref="A2:N2"/>
    <mergeCell ref="B3:D3"/>
    <mergeCell ref="E3:H3"/>
    <mergeCell ref="I3:J3"/>
    <mergeCell ref="K3:L3"/>
    <mergeCell ref="M3:N3"/>
  </mergeCells>
  <hyperlinks>
    <hyperlink ref="A1" location="ToC!A2" display="Back to Table of Contents" xr:uid="{956D60ED-EE16-4312-ACF9-8741AC0B7189}"/>
  </hyperlinks>
  <pageMargins left="0.5" right="0.5" top="0.5" bottom="0.5" header="0.25" footer="0.25"/>
  <pageSetup scale="59" orientation="landscape" r:id="rId1"/>
  <headerFooter>
    <oddFooter>&amp;L&amp;G&amp;C&amp;"Scotia,Regular"&amp;9Supplementary Financial Information (SFI)&amp;R4&amp;"Scotia,Regular"&amp;7</oddFooter>
  </headerFooter>
  <ignoredErrors>
    <ignoredError sqref="B3" numberStoredAsText="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89E97-895B-4779-A83A-DE439F0AB5ED}">
  <sheetPr>
    <pageSetUpPr fitToPage="1"/>
  </sheetPr>
  <dimension ref="A1:N60"/>
  <sheetViews>
    <sheetView showGridLines="0" zoomScaleNormal="100" workbookViewId="0"/>
  </sheetViews>
  <sheetFormatPr defaultColWidth="8.77734375" defaultRowHeight="13.2" x14ac:dyDescent="0.25"/>
  <cols>
    <col min="1" max="1" width="97.5546875" style="22" customWidth="1"/>
    <col min="2" max="14" width="12.77734375" style="22" customWidth="1"/>
    <col min="15" max="16384" width="8.77734375" style="22"/>
  </cols>
  <sheetData>
    <row r="1" spans="1:14" ht="19.95" customHeight="1" x14ac:dyDescent="0.25">
      <c r="A1" s="21" t="s">
        <v>12</v>
      </c>
    </row>
    <row r="2" spans="1:14" ht="25.35" customHeight="1" x14ac:dyDescent="0.25">
      <c r="A2" s="3502" t="s">
        <v>342</v>
      </c>
      <c r="B2" s="3503" t="s">
        <v>14</v>
      </c>
      <c r="C2" s="3503" t="s">
        <v>14</v>
      </c>
      <c r="D2" s="3503" t="s">
        <v>14</v>
      </c>
      <c r="E2" s="3503" t="s">
        <v>14</v>
      </c>
      <c r="F2" s="3503" t="s">
        <v>14</v>
      </c>
      <c r="G2" s="3503" t="s">
        <v>14</v>
      </c>
      <c r="H2" s="3503" t="s">
        <v>14</v>
      </c>
      <c r="I2" s="3503" t="s">
        <v>14</v>
      </c>
      <c r="J2" s="3503" t="s">
        <v>14</v>
      </c>
      <c r="K2" s="3503" t="s">
        <v>14</v>
      </c>
      <c r="L2" s="3503" t="s">
        <v>14</v>
      </c>
      <c r="M2" s="3503" t="s">
        <v>14</v>
      </c>
      <c r="N2" s="3503" t="s">
        <v>14</v>
      </c>
    </row>
    <row r="3" spans="1:14" ht="15" customHeight="1" x14ac:dyDescent="0.25">
      <c r="A3" s="600"/>
      <c r="B3" s="3504" t="s">
        <v>172</v>
      </c>
      <c r="C3" s="3504" t="s">
        <v>14</v>
      </c>
      <c r="D3" s="3505" t="s">
        <v>14</v>
      </c>
      <c r="E3" s="3506" t="s">
        <v>343</v>
      </c>
      <c r="F3" s="3507" t="s">
        <v>14</v>
      </c>
      <c r="G3" s="3507" t="s">
        <v>14</v>
      </c>
      <c r="H3" s="3508" t="s">
        <v>14</v>
      </c>
      <c r="I3" s="3506" t="s">
        <v>344</v>
      </c>
      <c r="J3" s="3507" t="s">
        <v>14</v>
      </c>
      <c r="K3" s="3506" t="s">
        <v>173</v>
      </c>
      <c r="L3" s="3509" t="s">
        <v>14</v>
      </c>
      <c r="M3" s="3507" t="s">
        <v>174</v>
      </c>
      <c r="N3" s="3507" t="s">
        <v>14</v>
      </c>
    </row>
    <row r="4" spans="1:14" ht="15" customHeight="1" x14ac:dyDescent="0.25">
      <c r="A4" s="601"/>
      <c r="B4" s="602" t="s">
        <v>176</v>
      </c>
      <c r="C4" s="603" t="s">
        <v>177</v>
      </c>
      <c r="D4" s="604" t="s">
        <v>178</v>
      </c>
      <c r="E4" s="605" t="s">
        <v>179</v>
      </c>
      <c r="F4" s="606" t="s">
        <v>180</v>
      </c>
      <c r="G4" s="606" t="s">
        <v>177</v>
      </c>
      <c r="H4" s="607" t="s">
        <v>178</v>
      </c>
      <c r="I4" s="605" t="s">
        <v>179</v>
      </c>
      <c r="J4" s="606" t="s">
        <v>180</v>
      </c>
      <c r="K4" s="608">
        <v>2025</v>
      </c>
      <c r="L4" s="609">
        <v>2024</v>
      </c>
      <c r="M4" s="610">
        <v>2024</v>
      </c>
      <c r="N4" s="611">
        <v>2023</v>
      </c>
    </row>
    <row r="5" spans="1:14" ht="15" customHeight="1" x14ac:dyDescent="0.25">
      <c r="A5" s="612" t="s">
        <v>345</v>
      </c>
      <c r="B5" s="613"/>
      <c r="C5" s="614"/>
      <c r="D5" s="615"/>
      <c r="E5" s="616"/>
      <c r="F5" s="617"/>
      <c r="G5" s="617"/>
      <c r="H5" s="618"/>
      <c r="I5" s="619"/>
      <c r="J5" s="617"/>
      <c r="K5" s="620"/>
      <c r="L5" s="621"/>
      <c r="M5" s="622"/>
      <c r="N5" s="622"/>
    </row>
    <row r="6" spans="1:14" ht="15" customHeight="1" x14ac:dyDescent="0.25">
      <c r="A6" s="623" t="s">
        <v>346</v>
      </c>
      <c r="B6" s="624">
        <v>2245</v>
      </c>
      <c r="C6" s="625">
        <v>2179</v>
      </c>
      <c r="D6" s="626">
        <v>2169</v>
      </c>
      <c r="E6" s="627">
        <v>2147</v>
      </c>
      <c r="F6" s="628">
        <v>2226</v>
      </c>
      <c r="G6" s="628">
        <v>2254</v>
      </c>
      <c r="H6" s="629">
        <v>2240</v>
      </c>
      <c r="I6" s="630">
        <v>2125</v>
      </c>
      <c r="J6" s="631">
        <v>2106</v>
      </c>
      <c r="K6" s="632">
        <v>6593</v>
      </c>
      <c r="L6" s="633">
        <v>6720</v>
      </c>
      <c r="M6" s="634">
        <v>8867</v>
      </c>
      <c r="N6" s="634">
        <v>8110</v>
      </c>
    </row>
    <row r="7" spans="1:14" ht="15" customHeight="1" x14ac:dyDescent="0.25">
      <c r="A7" s="623" t="s">
        <v>297</v>
      </c>
      <c r="B7" s="624">
        <v>758</v>
      </c>
      <c r="C7" s="625">
        <v>780</v>
      </c>
      <c r="D7" s="626">
        <v>861</v>
      </c>
      <c r="E7" s="627">
        <v>712</v>
      </c>
      <c r="F7" s="628">
        <v>747</v>
      </c>
      <c r="G7" s="628">
        <v>706</v>
      </c>
      <c r="H7" s="629">
        <v>834</v>
      </c>
      <c r="I7" s="630">
        <v>630</v>
      </c>
      <c r="J7" s="631">
        <v>696</v>
      </c>
      <c r="K7" s="632">
        <v>2399</v>
      </c>
      <c r="L7" s="633">
        <v>2287</v>
      </c>
      <c r="M7" s="634">
        <v>2999</v>
      </c>
      <c r="N7" s="634">
        <v>2805</v>
      </c>
    </row>
    <row r="8" spans="1:14" ht="15" customHeight="1" x14ac:dyDescent="0.25">
      <c r="A8" s="635" t="s">
        <v>298</v>
      </c>
      <c r="B8" s="636">
        <v>657</v>
      </c>
      <c r="C8" s="637">
        <v>662</v>
      </c>
      <c r="D8" s="638">
        <v>678</v>
      </c>
      <c r="E8" s="627">
        <v>621</v>
      </c>
      <c r="F8" s="628">
        <v>658</v>
      </c>
      <c r="G8" s="628">
        <v>647</v>
      </c>
      <c r="H8" s="629">
        <v>690</v>
      </c>
      <c r="I8" s="639">
        <v>588</v>
      </c>
      <c r="J8" s="640">
        <v>624</v>
      </c>
      <c r="K8" s="632">
        <v>1997</v>
      </c>
      <c r="L8" s="641">
        <v>1995</v>
      </c>
      <c r="M8" s="642">
        <v>2616</v>
      </c>
      <c r="N8" s="642">
        <v>2436</v>
      </c>
    </row>
    <row r="9" spans="1:14" ht="15" customHeight="1" x14ac:dyDescent="0.25">
      <c r="A9" s="635" t="s">
        <v>299</v>
      </c>
      <c r="B9" s="636">
        <v>39</v>
      </c>
      <c r="C9" s="637">
        <v>38</v>
      </c>
      <c r="D9" s="638">
        <v>35</v>
      </c>
      <c r="E9" s="627">
        <v>36</v>
      </c>
      <c r="F9" s="628">
        <v>36</v>
      </c>
      <c r="G9" s="628">
        <v>24</v>
      </c>
      <c r="H9" s="629">
        <v>34</v>
      </c>
      <c r="I9" s="639">
        <v>29</v>
      </c>
      <c r="J9" s="640">
        <v>31</v>
      </c>
      <c r="K9" s="632">
        <v>112</v>
      </c>
      <c r="L9" s="641">
        <v>94</v>
      </c>
      <c r="M9" s="642">
        <v>130</v>
      </c>
      <c r="N9" s="642">
        <v>128</v>
      </c>
    </row>
    <row r="10" spans="1:14" ht="15" customHeight="1" x14ac:dyDescent="0.25">
      <c r="A10" s="635" t="s">
        <v>300</v>
      </c>
      <c r="B10" s="636">
        <v>62</v>
      </c>
      <c r="C10" s="637">
        <v>80</v>
      </c>
      <c r="D10" s="638">
        <v>148</v>
      </c>
      <c r="E10" s="627">
        <v>55</v>
      </c>
      <c r="F10" s="628">
        <v>53</v>
      </c>
      <c r="G10" s="628">
        <v>35</v>
      </c>
      <c r="H10" s="629">
        <v>110</v>
      </c>
      <c r="I10" s="639">
        <v>13</v>
      </c>
      <c r="J10" s="640">
        <v>41</v>
      </c>
      <c r="K10" s="632">
        <v>290</v>
      </c>
      <c r="L10" s="641">
        <v>198</v>
      </c>
      <c r="M10" s="642">
        <v>253</v>
      </c>
      <c r="N10" s="642">
        <v>241</v>
      </c>
    </row>
    <row r="11" spans="1:14" ht="15" customHeight="1" x14ac:dyDescent="0.25">
      <c r="A11" s="643" t="s">
        <v>301</v>
      </c>
      <c r="B11" s="624">
        <v>3003</v>
      </c>
      <c r="C11" s="625">
        <v>2959</v>
      </c>
      <c r="D11" s="626">
        <v>3030</v>
      </c>
      <c r="E11" s="627">
        <v>2859</v>
      </c>
      <c r="F11" s="628">
        <v>2973</v>
      </c>
      <c r="G11" s="628">
        <v>2960</v>
      </c>
      <c r="H11" s="629">
        <v>3074</v>
      </c>
      <c r="I11" s="630">
        <v>2755</v>
      </c>
      <c r="J11" s="631">
        <v>2802</v>
      </c>
      <c r="K11" s="632">
        <v>8992</v>
      </c>
      <c r="L11" s="633">
        <v>9007</v>
      </c>
      <c r="M11" s="634">
        <v>11866</v>
      </c>
      <c r="N11" s="634">
        <v>10915</v>
      </c>
    </row>
    <row r="12" spans="1:14" ht="15" customHeight="1" x14ac:dyDescent="0.25">
      <c r="A12" s="623" t="s">
        <v>276</v>
      </c>
      <c r="B12" s="624">
        <v>562</v>
      </c>
      <c r="C12" s="625">
        <v>550</v>
      </c>
      <c r="D12" s="644">
        <v>602</v>
      </c>
      <c r="E12" s="627">
        <v>556</v>
      </c>
      <c r="F12" s="628">
        <v>589</v>
      </c>
      <c r="G12" s="628">
        <v>566</v>
      </c>
      <c r="H12" s="645">
        <v>574</v>
      </c>
      <c r="I12" s="630">
        <v>512</v>
      </c>
      <c r="J12" s="631">
        <v>516</v>
      </c>
      <c r="K12" s="632">
        <v>1714</v>
      </c>
      <c r="L12" s="633">
        <v>1729</v>
      </c>
      <c r="M12" s="634">
        <v>2285</v>
      </c>
      <c r="N12" s="634">
        <v>1868</v>
      </c>
    </row>
    <row r="13" spans="1:14" ht="15" customHeight="1" x14ac:dyDescent="0.25">
      <c r="A13" s="623" t="s">
        <v>347</v>
      </c>
      <c r="B13" s="624">
        <v>1511</v>
      </c>
      <c r="C13" s="625">
        <v>1523</v>
      </c>
      <c r="D13" s="644">
        <v>1553</v>
      </c>
      <c r="E13" s="627">
        <v>1491</v>
      </c>
      <c r="F13" s="628">
        <v>1550</v>
      </c>
      <c r="G13" s="628">
        <v>1547</v>
      </c>
      <c r="H13" s="645">
        <v>1582</v>
      </c>
      <c r="I13" s="630">
        <v>1531</v>
      </c>
      <c r="J13" s="631">
        <v>1502</v>
      </c>
      <c r="K13" s="632">
        <v>4587</v>
      </c>
      <c r="L13" s="633">
        <v>4679</v>
      </c>
      <c r="M13" s="634">
        <v>6170</v>
      </c>
      <c r="N13" s="634">
        <v>5961</v>
      </c>
    </row>
    <row r="14" spans="1:14" ht="15" customHeight="1" x14ac:dyDescent="0.25">
      <c r="A14" s="643" t="s">
        <v>278</v>
      </c>
      <c r="B14" s="624">
        <v>930</v>
      </c>
      <c r="C14" s="625">
        <v>886</v>
      </c>
      <c r="D14" s="644">
        <v>875</v>
      </c>
      <c r="E14" s="627">
        <v>812</v>
      </c>
      <c r="F14" s="628">
        <v>834</v>
      </c>
      <c r="G14" s="628">
        <v>847</v>
      </c>
      <c r="H14" s="645">
        <v>918</v>
      </c>
      <c r="I14" s="630">
        <v>712</v>
      </c>
      <c r="J14" s="631">
        <v>784</v>
      </c>
      <c r="K14" s="632">
        <v>2691</v>
      </c>
      <c r="L14" s="633">
        <v>2599</v>
      </c>
      <c r="M14" s="634">
        <v>3411</v>
      </c>
      <c r="N14" s="634">
        <v>3086</v>
      </c>
    </row>
    <row r="15" spans="1:14" ht="15" customHeight="1" x14ac:dyDescent="0.25">
      <c r="A15" s="623" t="s">
        <v>304</v>
      </c>
      <c r="B15" s="624">
        <v>219</v>
      </c>
      <c r="C15" s="625">
        <v>172</v>
      </c>
      <c r="D15" s="644">
        <v>189</v>
      </c>
      <c r="E15" s="627">
        <v>168</v>
      </c>
      <c r="F15" s="628">
        <v>170</v>
      </c>
      <c r="G15" s="628">
        <v>184</v>
      </c>
      <c r="H15" s="645">
        <v>183</v>
      </c>
      <c r="I15" s="630">
        <v>161</v>
      </c>
      <c r="J15" s="631">
        <v>174</v>
      </c>
      <c r="K15" s="632">
        <v>580</v>
      </c>
      <c r="L15" s="633">
        <v>537</v>
      </c>
      <c r="M15" s="634">
        <v>705</v>
      </c>
      <c r="N15" s="634">
        <v>660</v>
      </c>
    </row>
    <row r="16" spans="1:14" ht="15" customHeight="1" x14ac:dyDescent="0.25">
      <c r="A16" s="643" t="s">
        <v>305</v>
      </c>
      <c r="B16" s="624">
        <v>711</v>
      </c>
      <c r="C16" s="625">
        <v>714</v>
      </c>
      <c r="D16" s="644">
        <v>686</v>
      </c>
      <c r="E16" s="627">
        <v>644</v>
      </c>
      <c r="F16" s="628">
        <v>664</v>
      </c>
      <c r="G16" s="628">
        <v>663</v>
      </c>
      <c r="H16" s="645">
        <v>735</v>
      </c>
      <c r="I16" s="630">
        <v>551</v>
      </c>
      <c r="J16" s="631">
        <v>610</v>
      </c>
      <c r="K16" s="632">
        <v>2111</v>
      </c>
      <c r="L16" s="633">
        <v>2062</v>
      </c>
      <c r="M16" s="634">
        <v>2706</v>
      </c>
      <c r="N16" s="634">
        <v>2426</v>
      </c>
    </row>
    <row r="17" spans="1:14" ht="15" customHeight="1" x14ac:dyDescent="0.25">
      <c r="A17" s="623" t="s">
        <v>306</v>
      </c>
      <c r="B17" s="624">
        <v>5</v>
      </c>
      <c r="C17" s="625">
        <v>5</v>
      </c>
      <c r="D17" s="644">
        <v>6</v>
      </c>
      <c r="E17" s="627">
        <v>6</v>
      </c>
      <c r="F17" s="628">
        <v>5</v>
      </c>
      <c r="G17" s="628">
        <v>6</v>
      </c>
      <c r="H17" s="645">
        <v>6</v>
      </c>
      <c r="I17" s="630">
        <v>8</v>
      </c>
      <c r="J17" s="631">
        <v>7</v>
      </c>
      <c r="K17" s="632">
        <v>16</v>
      </c>
      <c r="L17" s="633">
        <v>17</v>
      </c>
      <c r="M17" s="634">
        <v>23</v>
      </c>
      <c r="N17" s="634">
        <v>30</v>
      </c>
    </row>
    <row r="18" spans="1:14" ht="15" customHeight="1" x14ac:dyDescent="0.25">
      <c r="A18" s="643" t="s">
        <v>282</v>
      </c>
      <c r="B18" s="624">
        <v>716</v>
      </c>
      <c r="C18" s="625">
        <v>719</v>
      </c>
      <c r="D18" s="644">
        <v>692</v>
      </c>
      <c r="E18" s="627">
        <v>650</v>
      </c>
      <c r="F18" s="628">
        <v>669</v>
      </c>
      <c r="G18" s="628">
        <v>669</v>
      </c>
      <c r="H18" s="645">
        <v>741</v>
      </c>
      <c r="I18" s="630">
        <v>559</v>
      </c>
      <c r="J18" s="631">
        <v>617</v>
      </c>
      <c r="K18" s="646">
        <v>2127</v>
      </c>
      <c r="L18" s="647">
        <v>2079</v>
      </c>
      <c r="M18" s="631">
        <v>2729</v>
      </c>
      <c r="N18" s="631">
        <v>2456</v>
      </c>
    </row>
    <row r="19" spans="1:14" ht="15" customHeight="1" x14ac:dyDescent="0.25">
      <c r="A19" s="643" t="s">
        <v>348</v>
      </c>
      <c r="B19" s="624">
        <v>41</v>
      </c>
      <c r="C19" s="625">
        <v>38</v>
      </c>
      <c r="D19" s="644">
        <v>35</v>
      </c>
      <c r="E19" s="627">
        <v>44</v>
      </c>
      <c r="F19" s="628">
        <v>35</v>
      </c>
      <c r="G19" s="628">
        <v>24</v>
      </c>
      <c r="H19" s="645">
        <v>22</v>
      </c>
      <c r="I19" s="630">
        <v>32</v>
      </c>
      <c r="J19" s="631">
        <v>18</v>
      </c>
      <c r="K19" s="632">
        <v>114</v>
      </c>
      <c r="L19" s="633">
        <v>81</v>
      </c>
      <c r="M19" s="634">
        <v>125</v>
      </c>
      <c r="N19" s="634">
        <v>106</v>
      </c>
    </row>
    <row r="20" spans="1:14" ht="15" customHeight="1" x14ac:dyDescent="0.25">
      <c r="A20" s="643" t="s">
        <v>349</v>
      </c>
      <c r="B20" s="624">
        <v>670</v>
      </c>
      <c r="C20" s="625">
        <v>676</v>
      </c>
      <c r="D20" s="644">
        <v>651</v>
      </c>
      <c r="E20" s="627">
        <v>600</v>
      </c>
      <c r="F20" s="628">
        <v>629</v>
      </c>
      <c r="G20" s="628">
        <v>639</v>
      </c>
      <c r="H20" s="645">
        <v>713</v>
      </c>
      <c r="I20" s="630">
        <v>519</v>
      </c>
      <c r="J20" s="631">
        <v>592</v>
      </c>
      <c r="K20" s="646">
        <v>1997</v>
      </c>
      <c r="L20" s="647">
        <v>1981</v>
      </c>
      <c r="M20" s="631">
        <v>2581</v>
      </c>
      <c r="N20" s="631">
        <v>2320</v>
      </c>
    </row>
    <row r="21" spans="1:14" ht="15" customHeight="1" x14ac:dyDescent="0.25">
      <c r="A21" s="643" t="s">
        <v>350</v>
      </c>
      <c r="B21" s="624">
        <v>41</v>
      </c>
      <c r="C21" s="625">
        <v>38</v>
      </c>
      <c r="D21" s="644">
        <v>35</v>
      </c>
      <c r="E21" s="627">
        <v>44</v>
      </c>
      <c r="F21" s="628">
        <v>35</v>
      </c>
      <c r="G21" s="628">
        <v>24</v>
      </c>
      <c r="H21" s="645">
        <v>22</v>
      </c>
      <c r="I21" s="630">
        <v>32</v>
      </c>
      <c r="J21" s="631">
        <v>18</v>
      </c>
      <c r="K21" s="632">
        <v>114</v>
      </c>
      <c r="L21" s="633">
        <v>81</v>
      </c>
      <c r="M21" s="634">
        <v>125</v>
      </c>
      <c r="N21" s="634">
        <v>106</v>
      </c>
    </row>
    <row r="22" spans="1:14" ht="15" customHeight="1" x14ac:dyDescent="0.25">
      <c r="A22" s="643" t="s">
        <v>351</v>
      </c>
      <c r="B22" s="624">
        <v>675</v>
      </c>
      <c r="C22" s="625">
        <v>681</v>
      </c>
      <c r="D22" s="644">
        <v>657</v>
      </c>
      <c r="E22" s="627">
        <v>606</v>
      </c>
      <c r="F22" s="628">
        <v>634</v>
      </c>
      <c r="G22" s="628">
        <v>645</v>
      </c>
      <c r="H22" s="645">
        <v>719</v>
      </c>
      <c r="I22" s="630">
        <v>527</v>
      </c>
      <c r="J22" s="631">
        <v>599</v>
      </c>
      <c r="K22" s="646">
        <v>2013</v>
      </c>
      <c r="L22" s="647">
        <v>1998</v>
      </c>
      <c r="M22" s="631">
        <v>2604</v>
      </c>
      <c r="N22" s="631">
        <v>2350</v>
      </c>
    </row>
    <row r="23" spans="1:14" ht="15" customHeight="1" x14ac:dyDescent="0.25">
      <c r="A23" s="648" t="s">
        <v>309</v>
      </c>
      <c r="B23" s="649"/>
      <c r="C23" s="650"/>
      <c r="D23" s="651"/>
      <c r="E23" s="652"/>
      <c r="F23" s="650"/>
      <c r="G23" s="650"/>
      <c r="H23" s="653"/>
      <c r="I23" s="654"/>
      <c r="J23" s="650"/>
      <c r="K23" s="655"/>
      <c r="L23" s="656"/>
      <c r="M23" s="657"/>
      <c r="N23" s="657"/>
    </row>
    <row r="24" spans="1:14" ht="15" customHeight="1" x14ac:dyDescent="0.25">
      <c r="A24" s="658" t="s">
        <v>310</v>
      </c>
      <c r="B24" s="659">
        <v>4.54</v>
      </c>
      <c r="C24" s="660">
        <v>4.5</v>
      </c>
      <c r="D24" s="661">
        <v>4.4000000000000004</v>
      </c>
      <c r="E24" s="662">
        <v>4.42</v>
      </c>
      <c r="F24" s="660">
        <v>4.41</v>
      </c>
      <c r="G24" s="660">
        <v>4.46</v>
      </c>
      <c r="H24" s="661">
        <v>4.3499999999999996</v>
      </c>
      <c r="I24" s="662">
        <v>4.16</v>
      </c>
      <c r="J24" s="663">
        <v>4.08</v>
      </c>
      <c r="K24" s="664">
        <v>4.4800000000000004</v>
      </c>
      <c r="L24" s="665">
        <v>4.41</v>
      </c>
      <c r="M24" s="666">
        <v>4.41</v>
      </c>
      <c r="N24" s="666">
        <v>4.08</v>
      </c>
    </row>
    <row r="25" spans="1:14" ht="15" customHeight="1" x14ac:dyDescent="0.25">
      <c r="A25" s="667" t="s">
        <v>311</v>
      </c>
      <c r="B25" s="668">
        <v>1.1200000000000001</v>
      </c>
      <c r="C25" s="669">
        <v>1.19</v>
      </c>
      <c r="D25" s="670">
        <v>1.27</v>
      </c>
      <c r="E25" s="671">
        <v>1.31</v>
      </c>
      <c r="F25" s="669">
        <v>1.27</v>
      </c>
      <c r="G25" s="669">
        <v>1.3</v>
      </c>
      <c r="H25" s="670">
        <v>1.1299999999999999</v>
      </c>
      <c r="I25" s="671">
        <v>1.02</v>
      </c>
      <c r="J25" s="672">
        <v>0.98</v>
      </c>
      <c r="K25" s="673">
        <v>1.2</v>
      </c>
      <c r="L25" s="674">
        <v>1.24</v>
      </c>
      <c r="M25" s="675">
        <v>1.25</v>
      </c>
      <c r="N25" s="675">
        <v>0.93</v>
      </c>
    </row>
    <row r="26" spans="1:14" ht="15" customHeight="1" x14ac:dyDescent="0.25">
      <c r="A26" s="676" t="s">
        <v>312</v>
      </c>
      <c r="B26" s="677"/>
      <c r="C26" s="678"/>
      <c r="D26" s="679"/>
      <c r="E26" s="680"/>
      <c r="F26" s="681"/>
      <c r="G26" s="681"/>
      <c r="H26" s="679"/>
      <c r="I26" s="682"/>
      <c r="J26" s="678"/>
      <c r="K26" s="673"/>
      <c r="L26" s="674"/>
      <c r="M26" s="675"/>
      <c r="N26" s="675"/>
    </row>
    <row r="27" spans="1:14" ht="15" customHeight="1" x14ac:dyDescent="0.25">
      <c r="A27" s="683" t="s">
        <v>313</v>
      </c>
      <c r="B27" s="684">
        <v>14.9</v>
      </c>
      <c r="C27" s="685">
        <v>15.3</v>
      </c>
      <c r="D27" s="686">
        <v>14.2</v>
      </c>
      <c r="E27" s="687">
        <v>12.7</v>
      </c>
      <c r="F27" s="688">
        <v>13.1</v>
      </c>
      <c r="G27" s="688">
        <v>13.6</v>
      </c>
      <c r="H27" s="689">
        <v>14.5</v>
      </c>
      <c r="I27" s="690">
        <v>11.3</v>
      </c>
      <c r="J27" s="691">
        <v>12.5</v>
      </c>
      <c r="K27" s="692">
        <v>14.8</v>
      </c>
      <c r="L27" s="693">
        <v>13.7</v>
      </c>
      <c r="M27" s="694">
        <v>13.5</v>
      </c>
      <c r="N27" s="694">
        <v>12.1</v>
      </c>
    </row>
    <row r="28" spans="1:14" ht="15" customHeight="1" x14ac:dyDescent="0.25">
      <c r="A28" s="683" t="s">
        <v>314</v>
      </c>
      <c r="B28" s="695">
        <v>1.39</v>
      </c>
      <c r="C28" s="696">
        <v>1.37</v>
      </c>
      <c r="D28" s="697">
        <v>1.46</v>
      </c>
      <c r="E28" s="698">
        <v>1.37</v>
      </c>
      <c r="F28" s="696">
        <v>1.39</v>
      </c>
      <c r="G28" s="696">
        <v>1.38</v>
      </c>
      <c r="H28" s="697">
        <v>1.35</v>
      </c>
      <c r="I28" s="698">
        <v>1.19</v>
      </c>
      <c r="J28" s="699">
        <v>1.18</v>
      </c>
      <c r="K28" s="700">
        <v>1.41</v>
      </c>
      <c r="L28" s="701">
        <v>1.37</v>
      </c>
      <c r="M28" s="702">
        <v>1.37</v>
      </c>
      <c r="N28" s="702">
        <v>1.0900000000000001</v>
      </c>
    </row>
    <row r="29" spans="1:14" ht="15" customHeight="1" x14ac:dyDescent="0.25">
      <c r="A29" s="683" t="s">
        <v>315</v>
      </c>
      <c r="B29" s="695">
        <v>1.29</v>
      </c>
      <c r="C29" s="696">
        <v>1.31</v>
      </c>
      <c r="D29" s="697">
        <v>1.39</v>
      </c>
      <c r="E29" s="698">
        <v>1.42</v>
      </c>
      <c r="F29" s="696">
        <v>1.46</v>
      </c>
      <c r="G29" s="696">
        <v>1.38</v>
      </c>
      <c r="H29" s="697">
        <v>1.35</v>
      </c>
      <c r="I29" s="698">
        <v>1.18</v>
      </c>
      <c r="J29" s="699">
        <v>1.1100000000000001</v>
      </c>
      <c r="K29" s="700">
        <v>1.33</v>
      </c>
      <c r="L29" s="701">
        <v>1.4</v>
      </c>
      <c r="M29" s="702">
        <v>1.4</v>
      </c>
      <c r="N29" s="702">
        <v>1.03</v>
      </c>
    </row>
    <row r="30" spans="1:14" ht="15" customHeight="1" x14ac:dyDescent="0.25">
      <c r="A30" s="703" t="s">
        <v>316</v>
      </c>
      <c r="B30" s="684">
        <v>50.3</v>
      </c>
      <c r="C30" s="685">
        <v>51.4</v>
      </c>
      <c r="D30" s="686">
        <v>51.3</v>
      </c>
      <c r="E30" s="687">
        <v>52.2</v>
      </c>
      <c r="F30" s="688">
        <v>52.1</v>
      </c>
      <c r="G30" s="688">
        <v>52.3</v>
      </c>
      <c r="H30" s="689">
        <v>51.5</v>
      </c>
      <c r="I30" s="690">
        <v>55.6</v>
      </c>
      <c r="J30" s="691">
        <v>53.6</v>
      </c>
      <c r="K30" s="692">
        <v>51</v>
      </c>
      <c r="L30" s="693">
        <v>51.9</v>
      </c>
      <c r="M30" s="694">
        <v>52</v>
      </c>
      <c r="N30" s="694">
        <v>54.6</v>
      </c>
    </row>
    <row r="31" spans="1:14" ht="15" customHeight="1" x14ac:dyDescent="0.25">
      <c r="A31" s="704" t="s">
        <v>317</v>
      </c>
      <c r="B31" s="705"/>
      <c r="C31" s="706"/>
      <c r="D31" s="707"/>
      <c r="E31" s="708"/>
      <c r="F31" s="709"/>
      <c r="G31" s="709"/>
      <c r="H31" s="707"/>
      <c r="I31" s="710"/>
      <c r="J31" s="706"/>
      <c r="K31" s="711"/>
      <c r="L31" s="712"/>
      <c r="M31" s="713"/>
      <c r="N31" s="713"/>
    </row>
    <row r="32" spans="1:14" ht="15" customHeight="1" x14ac:dyDescent="0.25">
      <c r="A32" s="714" t="s">
        <v>318</v>
      </c>
      <c r="B32" s="715">
        <v>15</v>
      </c>
      <c r="C32" s="716">
        <v>15.5</v>
      </c>
      <c r="D32" s="717">
        <v>14.3</v>
      </c>
      <c r="E32" s="718">
        <v>12.8</v>
      </c>
      <c r="F32" s="716">
        <v>13.2</v>
      </c>
      <c r="G32" s="716">
        <v>13.7</v>
      </c>
      <c r="H32" s="717">
        <v>14.6</v>
      </c>
      <c r="I32" s="718">
        <v>11.4</v>
      </c>
      <c r="J32" s="719">
        <v>12.7</v>
      </c>
      <c r="K32" s="711">
        <v>14.9</v>
      </c>
      <c r="L32" s="712">
        <v>13.8</v>
      </c>
      <c r="M32" s="713">
        <v>13.6</v>
      </c>
      <c r="N32" s="713">
        <v>12.3</v>
      </c>
    </row>
    <row r="33" spans="1:14" ht="15" customHeight="1" x14ac:dyDescent="0.25">
      <c r="A33" s="720" t="s">
        <v>319</v>
      </c>
      <c r="B33" s="721">
        <v>50.1</v>
      </c>
      <c r="C33" s="722">
        <v>51.2</v>
      </c>
      <c r="D33" s="723">
        <v>51</v>
      </c>
      <c r="E33" s="718">
        <v>51.9</v>
      </c>
      <c r="F33" s="716">
        <v>51.9</v>
      </c>
      <c r="G33" s="716">
        <v>52</v>
      </c>
      <c r="H33" s="717">
        <v>51.2</v>
      </c>
      <c r="I33" s="718">
        <v>55.2</v>
      </c>
      <c r="J33" s="719">
        <v>53.2</v>
      </c>
      <c r="K33" s="724">
        <v>50.8</v>
      </c>
      <c r="L33" s="725">
        <v>51.7</v>
      </c>
      <c r="M33" s="726">
        <v>51.7</v>
      </c>
      <c r="N33" s="726">
        <v>54.2</v>
      </c>
    </row>
    <row r="34" spans="1:14" ht="15" customHeight="1" x14ac:dyDescent="0.25">
      <c r="A34" s="648" t="s">
        <v>352</v>
      </c>
      <c r="B34" s="727"/>
      <c r="C34" s="728"/>
      <c r="D34" s="729"/>
      <c r="E34" s="730"/>
      <c r="F34" s="731"/>
      <c r="G34" s="731"/>
      <c r="H34" s="729"/>
      <c r="I34" s="732"/>
      <c r="J34" s="728"/>
      <c r="K34" s="733"/>
      <c r="L34" s="734"/>
      <c r="M34" s="735"/>
      <c r="N34" s="735"/>
    </row>
    <row r="35" spans="1:14" ht="15" customHeight="1" x14ac:dyDescent="0.25">
      <c r="A35" s="736" t="s">
        <v>321</v>
      </c>
      <c r="B35" s="737">
        <v>54.9</v>
      </c>
      <c r="C35" s="738">
        <v>54.9</v>
      </c>
      <c r="D35" s="739">
        <v>53.6</v>
      </c>
      <c r="E35" s="740">
        <v>53.1</v>
      </c>
      <c r="F35" s="738">
        <v>54.6</v>
      </c>
      <c r="G35" s="738">
        <v>53.6</v>
      </c>
      <c r="H35" s="739">
        <v>53.9</v>
      </c>
      <c r="I35" s="740">
        <v>53.1</v>
      </c>
      <c r="J35" s="741">
        <v>53.9</v>
      </c>
      <c r="K35" s="742">
        <v>54.5</v>
      </c>
      <c r="L35" s="743">
        <v>54</v>
      </c>
      <c r="M35" s="744">
        <v>53.8</v>
      </c>
      <c r="N35" s="744">
        <v>52.1</v>
      </c>
    </row>
    <row r="36" spans="1:14" ht="15" customHeight="1" x14ac:dyDescent="0.25">
      <c r="A36" s="745" t="s">
        <v>353</v>
      </c>
      <c r="B36" s="715">
        <v>19.8</v>
      </c>
      <c r="C36" s="716">
        <v>19.899999999999999</v>
      </c>
      <c r="D36" s="746">
        <v>19.7</v>
      </c>
      <c r="E36" s="718">
        <v>18.899999999999999</v>
      </c>
      <c r="F36" s="716">
        <v>19.100000000000001</v>
      </c>
      <c r="G36" s="716">
        <v>18.8</v>
      </c>
      <c r="H36" s="717">
        <v>18.7</v>
      </c>
      <c r="I36" s="718">
        <v>18.5</v>
      </c>
      <c r="J36" s="719">
        <v>19.2</v>
      </c>
      <c r="K36" s="711">
        <v>19.8</v>
      </c>
      <c r="L36" s="712">
        <v>18.899999999999999</v>
      </c>
      <c r="M36" s="713">
        <v>18.8</v>
      </c>
      <c r="N36" s="713">
        <v>18.8</v>
      </c>
    </row>
    <row r="37" spans="1:14" ht="15" customHeight="1" x14ac:dyDescent="0.25">
      <c r="A37" s="745" t="s">
        <v>354</v>
      </c>
      <c r="B37" s="715">
        <v>8.4</v>
      </c>
      <c r="C37" s="716">
        <v>8.6</v>
      </c>
      <c r="D37" s="717">
        <v>8.5</v>
      </c>
      <c r="E37" s="718">
        <v>8.4</v>
      </c>
      <c r="F37" s="716">
        <v>8.8000000000000007</v>
      </c>
      <c r="G37" s="716">
        <v>8.6999999999999993</v>
      </c>
      <c r="H37" s="717">
        <v>8.8000000000000007</v>
      </c>
      <c r="I37" s="718">
        <v>8.6999999999999993</v>
      </c>
      <c r="J37" s="719">
        <v>8.8000000000000007</v>
      </c>
      <c r="K37" s="711">
        <v>8.5</v>
      </c>
      <c r="L37" s="712">
        <v>8.6999999999999993</v>
      </c>
      <c r="M37" s="713">
        <v>8.6</v>
      </c>
      <c r="N37" s="713">
        <v>8.6</v>
      </c>
    </row>
    <row r="38" spans="1:14" ht="15" customHeight="1" x14ac:dyDescent="0.25">
      <c r="A38" s="745" t="s">
        <v>324</v>
      </c>
      <c r="B38" s="715">
        <v>81.600000000000009</v>
      </c>
      <c r="C38" s="716">
        <v>84.6</v>
      </c>
      <c r="D38" s="717">
        <v>85.8</v>
      </c>
      <c r="E38" s="718">
        <v>85.6</v>
      </c>
      <c r="F38" s="716">
        <v>89.4</v>
      </c>
      <c r="G38" s="716">
        <v>90.2</v>
      </c>
      <c r="H38" s="717">
        <v>92.1</v>
      </c>
      <c r="I38" s="718">
        <v>94.2</v>
      </c>
      <c r="J38" s="719">
        <v>96.2</v>
      </c>
      <c r="K38" s="711">
        <v>84.1</v>
      </c>
      <c r="L38" s="712">
        <v>90.6</v>
      </c>
      <c r="M38" s="713">
        <v>89.3</v>
      </c>
      <c r="N38" s="713">
        <v>95.6</v>
      </c>
    </row>
    <row r="39" spans="1:14" ht="15" customHeight="1" x14ac:dyDescent="0.25">
      <c r="A39" s="747" t="s">
        <v>355</v>
      </c>
      <c r="B39" s="715">
        <v>164.7</v>
      </c>
      <c r="C39" s="716">
        <v>168</v>
      </c>
      <c r="D39" s="717">
        <v>167.6</v>
      </c>
      <c r="E39" s="718">
        <v>166</v>
      </c>
      <c r="F39" s="716">
        <v>171.9</v>
      </c>
      <c r="G39" s="716">
        <v>171.3</v>
      </c>
      <c r="H39" s="717">
        <v>173.5</v>
      </c>
      <c r="I39" s="718">
        <v>174.5</v>
      </c>
      <c r="J39" s="719">
        <v>178.1</v>
      </c>
      <c r="K39" s="742">
        <v>166.9</v>
      </c>
      <c r="L39" s="748">
        <v>172.2</v>
      </c>
      <c r="M39" s="719">
        <v>170.5</v>
      </c>
      <c r="N39" s="719">
        <v>175.1</v>
      </c>
    </row>
    <row r="40" spans="1:14" ht="15" customHeight="1" x14ac:dyDescent="0.25">
      <c r="A40" s="745" t="s">
        <v>356</v>
      </c>
      <c r="B40" s="715">
        <v>21.6</v>
      </c>
      <c r="C40" s="716">
        <v>22.6</v>
      </c>
      <c r="D40" s="717">
        <v>21.8</v>
      </c>
      <c r="E40" s="718">
        <v>20.6</v>
      </c>
      <c r="F40" s="716">
        <v>21.5</v>
      </c>
      <c r="G40" s="716">
        <v>22.9</v>
      </c>
      <c r="H40" s="717">
        <v>22.6</v>
      </c>
      <c r="I40" s="718">
        <v>20.3</v>
      </c>
      <c r="J40" s="719">
        <v>19.8</v>
      </c>
      <c r="K40" s="742">
        <v>22</v>
      </c>
      <c r="L40" s="748">
        <v>22.4</v>
      </c>
      <c r="M40" s="719">
        <v>21.9</v>
      </c>
      <c r="N40" s="719">
        <v>19</v>
      </c>
    </row>
    <row r="41" spans="1:14" ht="15" customHeight="1" x14ac:dyDescent="0.25">
      <c r="A41" s="745" t="s">
        <v>357</v>
      </c>
      <c r="B41" s="715">
        <v>17.5</v>
      </c>
      <c r="C41" s="716">
        <v>17.7</v>
      </c>
      <c r="D41" s="717">
        <v>17.7</v>
      </c>
      <c r="E41" s="718">
        <v>16.2</v>
      </c>
      <c r="F41" s="716">
        <v>16.600000000000001</v>
      </c>
      <c r="G41" s="716">
        <v>16.600000000000001</v>
      </c>
      <c r="H41" s="717">
        <v>16.100000000000001</v>
      </c>
      <c r="I41" s="718">
        <v>17.2</v>
      </c>
      <c r="J41" s="719">
        <v>16.7</v>
      </c>
      <c r="K41" s="742">
        <v>17.600000000000001</v>
      </c>
      <c r="L41" s="748">
        <v>16.399999999999999</v>
      </c>
      <c r="M41" s="719">
        <v>16.399999999999999</v>
      </c>
      <c r="N41" s="719">
        <v>16.399999999999999</v>
      </c>
    </row>
    <row r="42" spans="1:14" ht="15" customHeight="1" x14ac:dyDescent="0.25">
      <c r="A42" s="745" t="s">
        <v>326</v>
      </c>
      <c r="B42" s="715">
        <v>19.5</v>
      </c>
      <c r="C42" s="716">
        <v>20.8</v>
      </c>
      <c r="D42" s="717">
        <v>21.8</v>
      </c>
      <c r="E42" s="749">
        <v>20.7</v>
      </c>
      <c r="F42" s="716">
        <v>22.6</v>
      </c>
      <c r="G42" s="716">
        <v>23.5</v>
      </c>
      <c r="H42" s="717">
        <v>23.3</v>
      </c>
      <c r="I42" s="718">
        <v>25.2</v>
      </c>
      <c r="J42" s="719">
        <v>25.7</v>
      </c>
      <c r="K42" s="742">
        <v>20.599999999999994</v>
      </c>
      <c r="L42" s="748">
        <v>23.099999999999994</v>
      </c>
      <c r="M42" s="719">
        <v>22.7</v>
      </c>
      <c r="N42" s="719">
        <v>25</v>
      </c>
    </row>
    <row r="43" spans="1:14" ht="15" customHeight="1" x14ac:dyDescent="0.25">
      <c r="A43" s="747" t="s">
        <v>327</v>
      </c>
      <c r="B43" s="715">
        <v>223.3</v>
      </c>
      <c r="C43" s="716">
        <v>229.1</v>
      </c>
      <c r="D43" s="717">
        <v>228.9</v>
      </c>
      <c r="E43" s="749">
        <v>223.5</v>
      </c>
      <c r="F43" s="716">
        <v>232.6</v>
      </c>
      <c r="G43" s="716">
        <v>234.3</v>
      </c>
      <c r="H43" s="717">
        <v>235.5</v>
      </c>
      <c r="I43" s="718">
        <v>237.2</v>
      </c>
      <c r="J43" s="719">
        <v>240.3</v>
      </c>
      <c r="K43" s="742">
        <v>227.1</v>
      </c>
      <c r="L43" s="748">
        <v>234.1</v>
      </c>
      <c r="M43" s="719">
        <v>231.5</v>
      </c>
      <c r="N43" s="719">
        <v>235.5</v>
      </c>
    </row>
    <row r="44" spans="1:14" ht="15" customHeight="1" x14ac:dyDescent="0.25">
      <c r="A44" s="745" t="s">
        <v>328</v>
      </c>
      <c r="B44" s="715">
        <v>40.9</v>
      </c>
      <c r="C44" s="716">
        <v>41.4</v>
      </c>
      <c r="D44" s="717">
        <v>41.1</v>
      </c>
      <c r="E44" s="718">
        <v>40.1</v>
      </c>
      <c r="F44" s="716">
        <v>41.3</v>
      </c>
      <c r="G44" s="716">
        <v>41.2</v>
      </c>
      <c r="H44" s="717">
        <v>41.4</v>
      </c>
      <c r="I44" s="718">
        <v>41</v>
      </c>
      <c r="J44" s="719">
        <v>41.3</v>
      </c>
      <c r="K44" s="742">
        <v>41.1</v>
      </c>
      <c r="L44" s="748">
        <v>41.3</v>
      </c>
      <c r="M44" s="719">
        <v>41</v>
      </c>
      <c r="N44" s="719">
        <v>40.200000000000003</v>
      </c>
    </row>
    <row r="45" spans="1:14" ht="15" customHeight="1" x14ac:dyDescent="0.25">
      <c r="A45" s="745" t="s">
        <v>329</v>
      </c>
      <c r="B45" s="715">
        <v>88.8</v>
      </c>
      <c r="C45" s="716">
        <v>89.1</v>
      </c>
      <c r="D45" s="717">
        <v>85.7</v>
      </c>
      <c r="E45" s="718">
        <v>84.6</v>
      </c>
      <c r="F45" s="716">
        <v>90.5</v>
      </c>
      <c r="G45" s="716">
        <v>92.9</v>
      </c>
      <c r="H45" s="717">
        <v>89</v>
      </c>
      <c r="I45" s="750">
        <v>90.1</v>
      </c>
      <c r="J45" s="719">
        <v>86.6</v>
      </c>
      <c r="K45" s="711">
        <v>87.8</v>
      </c>
      <c r="L45" s="712">
        <v>90.8</v>
      </c>
      <c r="M45" s="713">
        <v>89.2</v>
      </c>
      <c r="N45" s="713">
        <v>85.3</v>
      </c>
    </row>
    <row r="46" spans="1:14" ht="15" customHeight="1" x14ac:dyDescent="0.25">
      <c r="A46" s="751" t="s">
        <v>330</v>
      </c>
      <c r="B46" s="752">
        <v>129.69999999999999</v>
      </c>
      <c r="C46" s="753">
        <v>130.5</v>
      </c>
      <c r="D46" s="754">
        <v>126.8</v>
      </c>
      <c r="E46" s="755">
        <v>124.7</v>
      </c>
      <c r="F46" s="753">
        <v>131.80000000000001</v>
      </c>
      <c r="G46" s="753">
        <v>134.1</v>
      </c>
      <c r="H46" s="754">
        <v>130.4</v>
      </c>
      <c r="I46" s="755">
        <v>131.1</v>
      </c>
      <c r="J46" s="756">
        <v>127.9</v>
      </c>
      <c r="K46" s="757">
        <v>128.9</v>
      </c>
      <c r="L46" s="758">
        <v>132.1</v>
      </c>
      <c r="M46" s="759">
        <v>130.19999999999999</v>
      </c>
      <c r="N46" s="759">
        <v>125.5</v>
      </c>
    </row>
    <row r="47" spans="1:14" ht="15" customHeight="1" x14ac:dyDescent="0.25">
      <c r="A47" s="760" t="s">
        <v>331</v>
      </c>
      <c r="B47" s="761">
        <v>43</v>
      </c>
      <c r="C47" s="762">
        <v>46.9</v>
      </c>
      <c r="D47" s="763">
        <v>47.3</v>
      </c>
      <c r="E47" s="764">
        <v>46.5</v>
      </c>
      <c r="F47" s="762">
        <v>46.8</v>
      </c>
      <c r="G47" s="762">
        <v>47.7</v>
      </c>
      <c r="H47" s="763">
        <v>52.4</v>
      </c>
      <c r="I47" s="765">
        <v>51.6</v>
      </c>
      <c r="J47" s="766">
        <v>55.5</v>
      </c>
      <c r="K47" s="767">
        <v>45.799999999999983</v>
      </c>
      <c r="L47" s="768">
        <v>49</v>
      </c>
      <c r="M47" s="769">
        <v>48.4</v>
      </c>
      <c r="N47" s="769">
        <v>52.9</v>
      </c>
    </row>
    <row r="48" spans="1:14" ht="15" customHeight="1" x14ac:dyDescent="0.25">
      <c r="A48" s="643" t="s">
        <v>332</v>
      </c>
      <c r="B48" s="684">
        <v>172.7</v>
      </c>
      <c r="C48" s="685">
        <v>177.4</v>
      </c>
      <c r="D48" s="770">
        <v>174.1</v>
      </c>
      <c r="E48" s="771">
        <v>171.2</v>
      </c>
      <c r="F48" s="685">
        <v>178.6</v>
      </c>
      <c r="G48" s="685">
        <v>181.8</v>
      </c>
      <c r="H48" s="686">
        <v>182.8</v>
      </c>
      <c r="I48" s="690">
        <v>182.7</v>
      </c>
      <c r="J48" s="691">
        <v>183.4</v>
      </c>
      <c r="K48" s="692">
        <v>174.7</v>
      </c>
      <c r="L48" s="693">
        <v>181.1</v>
      </c>
      <c r="M48" s="694">
        <v>178.6</v>
      </c>
      <c r="N48" s="694">
        <v>178.4</v>
      </c>
    </row>
    <row r="49" spans="1:14" ht="15" customHeight="1" x14ac:dyDescent="0.25">
      <c r="A49" s="772" t="s">
        <v>333</v>
      </c>
      <c r="B49" s="773"/>
      <c r="C49" s="774"/>
      <c r="D49" s="775"/>
      <c r="E49" s="776"/>
      <c r="F49" s="774"/>
      <c r="G49" s="774"/>
      <c r="H49" s="777"/>
      <c r="I49" s="778"/>
      <c r="J49" s="774"/>
      <c r="K49" s="779"/>
      <c r="L49" s="780"/>
      <c r="M49" s="781"/>
      <c r="N49" s="781"/>
    </row>
    <row r="50" spans="1:14" ht="15" customHeight="1" x14ac:dyDescent="0.25">
      <c r="A50" s="623" t="s">
        <v>358</v>
      </c>
      <c r="B50" s="624">
        <v>36885</v>
      </c>
      <c r="C50" s="625">
        <v>36998</v>
      </c>
      <c r="D50" s="782">
        <v>39257</v>
      </c>
      <c r="E50" s="630">
        <v>39397</v>
      </c>
      <c r="F50" s="631">
        <v>40011</v>
      </c>
      <c r="G50" s="631">
        <v>40287</v>
      </c>
      <c r="H50" s="783">
        <v>40488</v>
      </c>
      <c r="I50" s="630">
        <v>40697</v>
      </c>
      <c r="J50" s="631">
        <v>41289</v>
      </c>
      <c r="K50" s="784"/>
      <c r="L50" s="785"/>
      <c r="M50" s="786"/>
      <c r="N50" s="786"/>
    </row>
    <row r="51" spans="1:14" ht="15" customHeight="1" x14ac:dyDescent="0.25">
      <c r="A51" s="667" t="s">
        <v>335</v>
      </c>
      <c r="B51" s="787">
        <v>963</v>
      </c>
      <c r="C51" s="788">
        <v>968</v>
      </c>
      <c r="D51" s="789">
        <v>1046</v>
      </c>
      <c r="E51" s="790">
        <v>1050</v>
      </c>
      <c r="F51" s="791">
        <v>1074</v>
      </c>
      <c r="G51" s="791">
        <v>1088</v>
      </c>
      <c r="H51" s="792">
        <v>1112</v>
      </c>
      <c r="I51" s="790">
        <v>1140</v>
      </c>
      <c r="J51" s="791">
        <v>1161</v>
      </c>
      <c r="K51" s="793"/>
      <c r="L51" s="794"/>
      <c r="M51" s="795"/>
      <c r="N51" s="795"/>
    </row>
    <row r="52" spans="1:14" ht="15" customHeight="1" x14ac:dyDescent="0.25">
      <c r="A52" s="623" t="s">
        <v>252</v>
      </c>
      <c r="B52" s="624">
        <v>4899</v>
      </c>
      <c r="C52" s="625">
        <v>4945</v>
      </c>
      <c r="D52" s="789">
        <v>4940</v>
      </c>
      <c r="E52" s="630">
        <v>4955</v>
      </c>
      <c r="F52" s="631">
        <v>4957</v>
      </c>
      <c r="G52" s="631">
        <v>4931</v>
      </c>
      <c r="H52" s="783">
        <v>4949</v>
      </c>
      <c r="I52" s="630">
        <v>4976</v>
      </c>
      <c r="J52" s="631">
        <v>4845</v>
      </c>
      <c r="K52" s="796"/>
      <c r="L52" s="797"/>
      <c r="M52" s="795"/>
      <c r="N52" s="795"/>
    </row>
    <row r="53" spans="1:14" ht="15" customHeight="1" x14ac:dyDescent="0.25">
      <c r="A53" s="798" t="s">
        <v>359</v>
      </c>
      <c r="B53" s="799">
        <v>7</v>
      </c>
      <c r="C53" s="800">
        <v>7</v>
      </c>
      <c r="D53" s="801">
        <v>8</v>
      </c>
      <c r="E53" s="802">
        <v>9</v>
      </c>
      <c r="F53" s="803">
        <v>7</v>
      </c>
      <c r="G53" s="803">
        <v>8</v>
      </c>
      <c r="H53" s="804">
        <v>8</v>
      </c>
      <c r="I53" s="802">
        <v>10</v>
      </c>
      <c r="J53" s="803">
        <v>10</v>
      </c>
      <c r="K53" s="805">
        <v>22</v>
      </c>
      <c r="L53" s="806">
        <v>23</v>
      </c>
      <c r="M53" s="807">
        <v>32</v>
      </c>
      <c r="N53" s="807">
        <v>41</v>
      </c>
    </row>
    <row r="54" spans="1:14" ht="15" customHeight="1" x14ac:dyDescent="0.25">
      <c r="A54" s="808"/>
      <c r="B54" s="809"/>
      <c r="C54" s="810"/>
      <c r="D54" s="810"/>
      <c r="E54" s="811"/>
      <c r="F54" s="811"/>
      <c r="G54" s="811"/>
      <c r="H54" s="811"/>
      <c r="I54" s="811"/>
      <c r="J54" s="811"/>
      <c r="K54" s="811"/>
      <c r="L54" s="811"/>
      <c r="M54" s="811"/>
      <c r="N54" s="811"/>
    </row>
    <row r="55" spans="1:14" ht="12" customHeight="1" x14ac:dyDescent="0.25">
      <c r="A55" s="3500" t="s">
        <v>360</v>
      </c>
      <c r="B55" s="3500" t="s">
        <v>14</v>
      </c>
      <c r="C55" s="3500" t="s">
        <v>14</v>
      </c>
      <c r="D55" s="3500" t="s">
        <v>14</v>
      </c>
      <c r="E55" s="3500" t="s">
        <v>14</v>
      </c>
      <c r="F55" s="3500" t="s">
        <v>14</v>
      </c>
      <c r="G55" s="3500" t="s">
        <v>14</v>
      </c>
      <c r="H55" s="3500" t="s">
        <v>14</v>
      </c>
      <c r="I55" s="3500" t="s">
        <v>14</v>
      </c>
      <c r="J55" s="3500" t="s">
        <v>14</v>
      </c>
      <c r="K55" s="3500" t="s">
        <v>14</v>
      </c>
      <c r="L55" s="3500" t="s">
        <v>14</v>
      </c>
      <c r="M55" s="3500" t="s">
        <v>14</v>
      </c>
      <c r="N55" s="3500" t="s">
        <v>14</v>
      </c>
    </row>
    <row r="56" spans="1:14" ht="12" customHeight="1" x14ac:dyDescent="0.25">
      <c r="A56" s="3501" t="s">
        <v>361</v>
      </c>
      <c r="B56" s="3500" t="s">
        <v>14</v>
      </c>
      <c r="C56" s="3500" t="s">
        <v>14</v>
      </c>
      <c r="D56" s="3500" t="s">
        <v>14</v>
      </c>
      <c r="E56" s="3500" t="s">
        <v>14</v>
      </c>
      <c r="F56" s="3500" t="s">
        <v>14</v>
      </c>
      <c r="G56" s="3500" t="s">
        <v>14</v>
      </c>
      <c r="H56" s="3500" t="s">
        <v>14</v>
      </c>
      <c r="I56" s="3500" t="s">
        <v>14</v>
      </c>
      <c r="J56" s="3500" t="s">
        <v>14</v>
      </c>
      <c r="K56" s="3500" t="s">
        <v>14</v>
      </c>
      <c r="L56" s="3500" t="s">
        <v>14</v>
      </c>
      <c r="M56" s="3500" t="s">
        <v>14</v>
      </c>
      <c r="N56" s="3500" t="s">
        <v>14</v>
      </c>
    </row>
    <row r="57" spans="1:14" ht="12" customHeight="1" x14ac:dyDescent="0.25">
      <c r="A57" s="3501" t="s">
        <v>362</v>
      </c>
      <c r="B57" s="3501" t="s">
        <v>14</v>
      </c>
      <c r="C57" s="3501" t="s">
        <v>14</v>
      </c>
      <c r="D57" s="3501" t="s">
        <v>14</v>
      </c>
      <c r="E57" s="3501" t="s">
        <v>14</v>
      </c>
      <c r="F57" s="3501" t="s">
        <v>14</v>
      </c>
      <c r="G57" s="3501" t="s">
        <v>14</v>
      </c>
      <c r="H57" s="3501" t="s">
        <v>14</v>
      </c>
      <c r="I57" s="3501" t="s">
        <v>14</v>
      </c>
      <c r="J57" s="3501" t="s">
        <v>14</v>
      </c>
      <c r="K57" s="812"/>
      <c r="L57" s="812"/>
      <c r="M57" s="812"/>
      <c r="N57" s="812"/>
    </row>
    <row r="58" spans="1:14" ht="12" customHeight="1" x14ac:dyDescent="0.25">
      <c r="A58" s="812" t="s">
        <v>363</v>
      </c>
      <c r="B58" s="813"/>
      <c r="C58" s="812"/>
      <c r="D58" s="812"/>
      <c r="E58" s="812"/>
      <c r="F58" s="812"/>
      <c r="G58" s="812"/>
      <c r="H58" s="812"/>
      <c r="I58" s="812"/>
      <c r="J58" s="812"/>
      <c r="K58" s="812"/>
      <c r="L58" s="812"/>
      <c r="M58" s="812"/>
      <c r="N58" s="812"/>
    </row>
    <row r="59" spans="1:14" ht="12" customHeight="1" x14ac:dyDescent="0.25">
      <c r="A59" s="812" t="s">
        <v>364</v>
      </c>
      <c r="B59" s="813"/>
      <c r="C59" s="812"/>
      <c r="D59" s="812"/>
      <c r="E59" s="812"/>
      <c r="F59" s="812"/>
      <c r="G59" s="812"/>
      <c r="H59" s="812"/>
      <c r="I59" s="812"/>
      <c r="J59" s="812"/>
      <c r="K59" s="812"/>
      <c r="L59" s="812"/>
      <c r="M59" s="812"/>
      <c r="N59" s="812"/>
    </row>
    <row r="60" spans="1:14" ht="10.35" customHeight="1" x14ac:dyDescent="0.25">
      <c r="A60" s="3489"/>
      <c r="B60" s="3489" t="s">
        <v>14</v>
      </c>
      <c r="C60" s="3489" t="s">
        <v>14</v>
      </c>
      <c r="D60" s="3489" t="s">
        <v>14</v>
      </c>
      <c r="E60" s="3489" t="s">
        <v>14</v>
      </c>
      <c r="F60" s="3489" t="s">
        <v>14</v>
      </c>
      <c r="G60" s="3489" t="s">
        <v>14</v>
      </c>
      <c r="H60" s="3489" t="s">
        <v>14</v>
      </c>
      <c r="I60" s="3489" t="s">
        <v>14</v>
      </c>
      <c r="J60" s="3489" t="s">
        <v>14</v>
      </c>
      <c r="K60" s="3489" t="s">
        <v>14</v>
      </c>
      <c r="L60" s="3489" t="s">
        <v>14</v>
      </c>
      <c r="M60" s="3489" t="s">
        <v>14</v>
      </c>
      <c r="N60" s="3489" t="s">
        <v>14</v>
      </c>
    </row>
  </sheetData>
  <mergeCells count="10">
    <mergeCell ref="A55:N55"/>
    <mergeCell ref="A56:N56"/>
    <mergeCell ref="A57:J57"/>
    <mergeCell ref="A60:N60"/>
    <mergeCell ref="A2:N2"/>
    <mergeCell ref="B3:D3"/>
    <mergeCell ref="E3:H3"/>
    <mergeCell ref="I3:J3"/>
    <mergeCell ref="K3:L3"/>
    <mergeCell ref="M3:N3"/>
  </mergeCells>
  <hyperlinks>
    <hyperlink ref="A1" location="ToC!A2" display="Back to Table of Contents" xr:uid="{2345CEAD-4541-4020-93D4-7865941A69EC}"/>
  </hyperlinks>
  <pageMargins left="0.5" right="0.5" top="0.5" bottom="0.5" header="0.25" footer="0.25"/>
  <pageSetup scale="52" orientation="landscape" horizontalDpi="72" verticalDpi="72" r:id="rId1"/>
  <headerFooter>
    <oddFooter>&amp;L&amp;G&amp;C&amp;"Scotia,Regular"&amp;9Supplementary Financial Information (SFI)&amp;R5&amp;"Scotia,Regular"&amp;7</oddFooter>
  </headerFooter>
  <ignoredErrors>
    <ignoredError sqref="B3:J3" numberStoredAsText="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1858-E50E-4613-A879-680D170F1933}">
  <sheetPr>
    <pageSetUpPr fitToPage="1"/>
  </sheetPr>
  <dimension ref="A1:N62"/>
  <sheetViews>
    <sheetView showGridLines="0" zoomScaleNormal="100" workbookViewId="0"/>
  </sheetViews>
  <sheetFormatPr defaultColWidth="8.77734375" defaultRowHeight="13.2" x14ac:dyDescent="0.25"/>
  <cols>
    <col min="1" max="1" width="75.5546875" style="22" customWidth="1"/>
    <col min="2" max="3" width="11.21875" style="22" customWidth="1"/>
    <col min="4" max="14" width="12.5546875" style="22" customWidth="1"/>
    <col min="15" max="16384" width="8.77734375" style="22"/>
  </cols>
  <sheetData>
    <row r="1" spans="1:14" ht="19.95" customHeight="1" x14ac:dyDescent="0.25">
      <c r="A1" s="21" t="s">
        <v>12</v>
      </c>
    </row>
    <row r="2" spans="1:14" ht="25.35" customHeight="1" x14ac:dyDescent="0.25">
      <c r="A2" s="3512" t="s">
        <v>365</v>
      </c>
      <c r="B2" s="3513" t="s">
        <v>14</v>
      </c>
      <c r="C2" s="3513" t="s">
        <v>14</v>
      </c>
      <c r="D2" s="3513" t="s">
        <v>14</v>
      </c>
      <c r="E2" s="3513" t="s">
        <v>14</v>
      </c>
      <c r="F2" s="3513" t="s">
        <v>14</v>
      </c>
      <c r="G2" s="3513" t="s">
        <v>14</v>
      </c>
      <c r="H2" s="3513" t="s">
        <v>14</v>
      </c>
      <c r="I2" s="3513" t="s">
        <v>14</v>
      </c>
      <c r="J2" s="3513" t="s">
        <v>14</v>
      </c>
      <c r="K2" s="3513" t="s">
        <v>14</v>
      </c>
      <c r="L2" s="3513" t="s">
        <v>14</v>
      </c>
      <c r="M2" s="3513" t="s">
        <v>14</v>
      </c>
      <c r="N2" s="3513" t="s">
        <v>14</v>
      </c>
    </row>
    <row r="3" spans="1:14" ht="15" customHeight="1" x14ac:dyDescent="0.25">
      <c r="A3" s="814"/>
      <c r="B3" s="3514" t="s">
        <v>172</v>
      </c>
      <c r="C3" s="3514" t="s">
        <v>14</v>
      </c>
      <c r="D3" s="3515" t="s">
        <v>14</v>
      </c>
      <c r="E3" s="3516" t="s">
        <v>343</v>
      </c>
      <c r="F3" s="3517" t="s">
        <v>14</v>
      </c>
      <c r="G3" s="3517" t="s">
        <v>14</v>
      </c>
      <c r="H3" s="3518" t="s">
        <v>14</v>
      </c>
      <c r="I3" s="3516" t="s">
        <v>344</v>
      </c>
      <c r="J3" s="3517" t="s">
        <v>14</v>
      </c>
      <c r="K3" s="3516" t="s">
        <v>173</v>
      </c>
      <c r="L3" s="3519" t="s">
        <v>14</v>
      </c>
      <c r="M3" s="3517" t="s">
        <v>174</v>
      </c>
      <c r="N3" s="3517" t="s">
        <v>14</v>
      </c>
    </row>
    <row r="4" spans="1:14" ht="15" customHeight="1" x14ac:dyDescent="0.25">
      <c r="A4" s="815"/>
      <c r="B4" s="816" t="s">
        <v>176</v>
      </c>
      <c r="C4" s="817" t="s">
        <v>177</v>
      </c>
      <c r="D4" s="818" t="s">
        <v>178</v>
      </c>
      <c r="E4" s="819" t="s">
        <v>179</v>
      </c>
      <c r="F4" s="820" t="s">
        <v>180</v>
      </c>
      <c r="G4" s="820" t="s">
        <v>177</v>
      </c>
      <c r="H4" s="821" t="s">
        <v>178</v>
      </c>
      <c r="I4" s="819" t="s">
        <v>179</v>
      </c>
      <c r="J4" s="820" t="s">
        <v>180</v>
      </c>
      <c r="K4" s="822">
        <v>2025</v>
      </c>
      <c r="L4" s="823">
        <v>2024</v>
      </c>
      <c r="M4" s="824">
        <v>2024</v>
      </c>
      <c r="N4" s="825">
        <v>2023</v>
      </c>
    </row>
    <row r="5" spans="1:14" ht="15" customHeight="1" x14ac:dyDescent="0.25">
      <c r="A5" s="826" t="s">
        <v>345</v>
      </c>
      <c r="B5" s="827"/>
      <c r="C5" s="828"/>
      <c r="D5" s="829"/>
      <c r="E5" s="830"/>
      <c r="F5" s="831"/>
      <c r="G5" s="831"/>
      <c r="H5" s="832"/>
      <c r="I5" s="830"/>
      <c r="J5" s="831"/>
      <c r="K5" s="833"/>
      <c r="L5" s="834"/>
      <c r="M5" s="835"/>
      <c r="N5" s="835"/>
    </row>
    <row r="6" spans="1:14" ht="15" customHeight="1" x14ac:dyDescent="0.25">
      <c r="A6" s="836" t="s">
        <v>346</v>
      </c>
      <c r="B6" s="837">
        <v>2245</v>
      </c>
      <c r="C6" s="838">
        <v>2151</v>
      </c>
      <c r="D6" s="626">
        <v>2174</v>
      </c>
      <c r="E6" s="839">
        <v>2180</v>
      </c>
      <c r="F6" s="631">
        <v>2190</v>
      </c>
      <c r="G6" s="631">
        <v>2228</v>
      </c>
      <c r="H6" s="783">
        <v>2190</v>
      </c>
      <c r="I6" s="630">
        <v>2080</v>
      </c>
      <c r="J6" s="631">
        <v>2043</v>
      </c>
      <c r="K6" s="840">
        <v>6593</v>
      </c>
      <c r="L6" s="841">
        <v>6632</v>
      </c>
      <c r="M6" s="842">
        <v>8821</v>
      </c>
      <c r="N6" s="842">
        <v>8042</v>
      </c>
    </row>
    <row r="7" spans="1:14" ht="15" customHeight="1" x14ac:dyDescent="0.25">
      <c r="A7" s="836" t="s">
        <v>297</v>
      </c>
      <c r="B7" s="837">
        <v>758</v>
      </c>
      <c r="C7" s="838">
        <v>772</v>
      </c>
      <c r="D7" s="626">
        <v>867</v>
      </c>
      <c r="E7" s="630">
        <v>723</v>
      </c>
      <c r="F7" s="631">
        <v>735</v>
      </c>
      <c r="G7" s="631">
        <v>690</v>
      </c>
      <c r="H7" s="783">
        <v>819</v>
      </c>
      <c r="I7" s="630">
        <v>621</v>
      </c>
      <c r="J7" s="631">
        <v>707</v>
      </c>
      <c r="K7" s="840">
        <v>2399</v>
      </c>
      <c r="L7" s="841">
        <v>2248</v>
      </c>
      <c r="M7" s="842">
        <v>2975</v>
      </c>
      <c r="N7" s="842">
        <v>2938</v>
      </c>
    </row>
    <row r="8" spans="1:14" ht="15" customHeight="1" x14ac:dyDescent="0.25">
      <c r="A8" s="843" t="s">
        <v>298</v>
      </c>
      <c r="B8" s="844">
        <v>657</v>
      </c>
      <c r="C8" s="845">
        <v>655</v>
      </c>
      <c r="D8" s="638">
        <v>680</v>
      </c>
      <c r="E8" s="639">
        <v>631</v>
      </c>
      <c r="F8" s="640">
        <v>644</v>
      </c>
      <c r="G8" s="640">
        <v>631</v>
      </c>
      <c r="H8" s="846">
        <v>676</v>
      </c>
      <c r="I8" s="639">
        <v>576</v>
      </c>
      <c r="J8" s="640">
        <v>612</v>
      </c>
      <c r="K8" s="847">
        <v>1997</v>
      </c>
      <c r="L8" s="848">
        <v>1955</v>
      </c>
      <c r="M8" s="849">
        <v>2586</v>
      </c>
      <c r="N8" s="849">
        <v>2441</v>
      </c>
    </row>
    <row r="9" spans="1:14" ht="15" customHeight="1" x14ac:dyDescent="0.25">
      <c r="A9" s="843" t="s">
        <v>299</v>
      </c>
      <c r="B9" s="844">
        <v>39</v>
      </c>
      <c r="C9" s="845">
        <v>37</v>
      </c>
      <c r="D9" s="638">
        <v>34</v>
      </c>
      <c r="E9" s="639">
        <v>37</v>
      </c>
      <c r="F9" s="640">
        <v>35</v>
      </c>
      <c r="G9" s="640">
        <v>24</v>
      </c>
      <c r="H9" s="846">
        <v>34</v>
      </c>
      <c r="I9" s="639">
        <v>30</v>
      </c>
      <c r="J9" s="640">
        <v>31</v>
      </c>
      <c r="K9" s="847">
        <v>112</v>
      </c>
      <c r="L9" s="848">
        <v>95</v>
      </c>
      <c r="M9" s="849">
        <v>133</v>
      </c>
      <c r="N9" s="849">
        <v>132</v>
      </c>
    </row>
    <row r="10" spans="1:14" ht="15" customHeight="1" x14ac:dyDescent="0.25">
      <c r="A10" s="843" t="s">
        <v>300</v>
      </c>
      <c r="B10" s="844">
        <v>62</v>
      </c>
      <c r="C10" s="845">
        <v>80</v>
      </c>
      <c r="D10" s="638">
        <v>153</v>
      </c>
      <c r="E10" s="639">
        <v>55</v>
      </c>
      <c r="F10" s="640">
        <v>56</v>
      </c>
      <c r="G10" s="640">
        <v>35</v>
      </c>
      <c r="H10" s="846">
        <v>109</v>
      </c>
      <c r="I10" s="639">
        <v>15</v>
      </c>
      <c r="J10" s="640">
        <v>64</v>
      </c>
      <c r="K10" s="847">
        <v>290</v>
      </c>
      <c r="L10" s="848">
        <v>198</v>
      </c>
      <c r="M10" s="849">
        <v>256</v>
      </c>
      <c r="N10" s="849">
        <v>365</v>
      </c>
    </row>
    <row r="11" spans="1:14" ht="15" customHeight="1" x14ac:dyDescent="0.25">
      <c r="A11" s="850" t="s">
        <v>301</v>
      </c>
      <c r="B11" s="837">
        <v>3003</v>
      </c>
      <c r="C11" s="838">
        <v>2923</v>
      </c>
      <c r="D11" s="626">
        <v>3041</v>
      </c>
      <c r="E11" s="630">
        <v>2903</v>
      </c>
      <c r="F11" s="631">
        <v>2925</v>
      </c>
      <c r="G11" s="631">
        <v>2918</v>
      </c>
      <c r="H11" s="783">
        <v>3009</v>
      </c>
      <c r="I11" s="630">
        <v>2701</v>
      </c>
      <c r="J11" s="631">
        <v>2750</v>
      </c>
      <c r="K11" s="840">
        <v>8992</v>
      </c>
      <c r="L11" s="841">
        <v>8880</v>
      </c>
      <c r="M11" s="842">
        <v>11796</v>
      </c>
      <c r="N11" s="842">
        <v>10980</v>
      </c>
    </row>
    <row r="12" spans="1:14" ht="15" customHeight="1" x14ac:dyDescent="0.25">
      <c r="A12" s="836" t="s">
        <v>276</v>
      </c>
      <c r="B12" s="624">
        <v>562</v>
      </c>
      <c r="C12" s="625">
        <v>544</v>
      </c>
      <c r="D12" s="644">
        <v>610</v>
      </c>
      <c r="E12" s="630">
        <v>567</v>
      </c>
      <c r="F12" s="631">
        <v>580</v>
      </c>
      <c r="G12" s="631">
        <v>566</v>
      </c>
      <c r="H12" s="783">
        <v>564</v>
      </c>
      <c r="I12" s="630">
        <v>505</v>
      </c>
      <c r="J12" s="631">
        <v>503</v>
      </c>
      <c r="K12" s="840">
        <v>1714</v>
      </c>
      <c r="L12" s="841">
        <v>1711</v>
      </c>
      <c r="M12" s="842">
        <v>2278</v>
      </c>
      <c r="N12" s="842">
        <v>1865</v>
      </c>
    </row>
    <row r="13" spans="1:14" ht="15" customHeight="1" x14ac:dyDescent="0.25">
      <c r="A13" s="836" t="s">
        <v>347</v>
      </c>
      <c r="B13" s="624">
        <v>1511</v>
      </c>
      <c r="C13" s="625">
        <v>1512</v>
      </c>
      <c r="D13" s="644">
        <v>1563</v>
      </c>
      <c r="E13" s="630">
        <v>1513</v>
      </c>
      <c r="F13" s="631">
        <v>1520</v>
      </c>
      <c r="G13" s="631">
        <v>1513</v>
      </c>
      <c r="H13" s="783">
        <v>1546</v>
      </c>
      <c r="I13" s="630">
        <v>1501</v>
      </c>
      <c r="J13" s="631">
        <v>1468</v>
      </c>
      <c r="K13" s="840">
        <v>4587</v>
      </c>
      <c r="L13" s="841">
        <v>4578</v>
      </c>
      <c r="M13" s="842">
        <v>6091</v>
      </c>
      <c r="N13" s="842">
        <v>5938</v>
      </c>
    </row>
    <row r="14" spans="1:14" ht="15" customHeight="1" x14ac:dyDescent="0.25">
      <c r="A14" s="850" t="s">
        <v>278</v>
      </c>
      <c r="B14" s="624">
        <v>930</v>
      </c>
      <c r="C14" s="625">
        <v>867</v>
      </c>
      <c r="D14" s="644">
        <v>868</v>
      </c>
      <c r="E14" s="630">
        <v>823</v>
      </c>
      <c r="F14" s="631">
        <v>825</v>
      </c>
      <c r="G14" s="631">
        <v>839</v>
      </c>
      <c r="H14" s="783">
        <v>899</v>
      </c>
      <c r="I14" s="630">
        <v>695</v>
      </c>
      <c r="J14" s="631">
        <v>779</v>
      </c>
      <c r="K14" s="840">
        <v>2691</v>
      </c>
      <c r="L14" s="841">
        <v>2591</v>
      </c>
      <c r="M14" s="842">
        <v>3427</v>
      </c>
      <c r="N14" s="842">
        <v>3177</v>
      </c>
    </row>
    <row r="15" spans="1:14" ht="15" customHeight="1" x14ac:dyDescent="0.25">
      <c r="A15" s="836" t="s">
        <v>304</v>
      </c>
      <c r="B15" s="624">
        <v>219</v>
      </c>
      <c r="C15" s="625">
        <v>169</v>
      </c>
      <c r="D15" s="644">
        <v>188</v>
      </c>
      <c r="E15" s="630">
        <v>170</v>
      </c>
      <c r="F15" s="631">
        <v>168</v>
      </c>
      <c r="G15" s="631">
        <v>180</v>
      </c>
      <c r="H15" s="783">
        <v>178</v>
      </c>
      <c r="I15" s="630">
        <v>157</v>
      </c>
      <c r="J15" s="631">
        <v>176</v>
      </c>
      <c r="K15" s="840">
        <v>580</v>
      </c>
      <c r="L15" s="841">
        <v>533</v>
      </c>
      <c r="M15" s="842">
        <v>705</v>
      </c>
      <c r="N15" s="842">
        <v>683</v>
      </c>
    </row>
    <row r="16" spans="1:14" ht="15" customHeight="1" x14ac:dyDescent="0.25">
      <c r="A16" s="850" t="s">
        <v>305</v>
      </c>
      <c r="B16" s="851">
        <v>711</v>
      </c>
      <c r="C16" s="852">
        <v>698</v>
      </c>
      <c r="D16" s="853">
        <v>680</v>
      </c>
      <c r="E16" s="630">
        <v>653</v>
      </c>
      <c r="F16" s="631">
        <v>657</v>
      </c>
      <c r="G16" s="631">
        <v>659</v>
      </c>
      <c r="H16" s="783">
        <v>721</v>
      </c>
      <c r="I16" s="630">
        <v>538</v>
      </c>
      <c r="J16" s="631">
        <v>603</v>
      </c>
      <c r="K16" s="840">
        <v>2111</v>
      </c>
      <c r="L16" s="841">
        <v>2058</v>
      </c>
      <c r="M16" s="842">
        <v>2722</v>
      </c>
      <c r="N16" s="842">
        <v>2494</v>
      </c>
    </row>
    <row r="17" spans="1:14" ht="15" customHeight="1" x14ac:dyDescent="0.25">
      <c r="A17" s="836" t="s">
        <v>366</v>
      </c>
      <c r="B17" s="851">
        <v>5</v>
      </c>
      <c r="C17" s="852">
        <v>5</v>
      </c>
      <c r="D17" s="853">
        <v>6</v>
      </c>
      <c r="E17" s="630">
        <v>6</v>
      </c>
      <c r="F17" s="631">
        <v>6</v>
      </c>
      <c r="G17" s="631">
        <v>6</v>
      </c>
      <c r="H17" s="783">
        <v>6</v>
      </c>
      <c r="I17" s="630">
        <v>7</v>
      </c>
      <c r="J17" s="631">
        <v>7</v>
      </c>
      <c r="K17" s="840">
        <v>16</v>
      </c>
      <c r="L17" s="841">
        <v>17</v>
      </c>
      <c r="M17" s="842">
        <v>23</v>
      </c>
      <c r="N17" s="842">
        <v>28</v>
      </c>
    </row>
    <row r="18" spans="1:14" ht="15" customHeight="1" x14ac:dyDescent="0.25">
      <c r="A18" s="850" t="s">
        <v>367</v>
      </c>
      <c r="B18" s="851">
        <v>716</v>
      </c>
      <c r="C18" s="852">
        <v>703</v>
      </c>
      <c r="D18" s="853">
        <v>686</v>
      </c>
      <c r="E18" s="839">
        <v>659</v>
      </c>
      <c r="F18" s="631">
        <v>663</v>
      </c>
      <c r="G18" s="631">
        <v>665</v>
      </c>
      <c r="H18" s="783">
        <v>727</v>
      </c>
      <c r="I18" s="630">
        <v>545</v>
      </c>
      <c r="J18" s="631">
        <v>610</v>
      </c>
      <c r="K18" s="630">
        <v>2127</v>
      </c>
      <c r="L18" s="854">
        <v>2075</v>
      </c>
      <c r="M18" s="631">
        <v>2745</v>
      </c>
      <c r="N18" s="631">
        <v>2522</v>
      </c>
    </row>
    <row r="19" spans="1:14" ht="15" customHeight="1" x14ac:dyDescent="0.25">
      <c r="A19" s="850" t="s">
        <v>348</v>
      </c>
      <c r="B19" s="851">
        <v>41</v>
      </c>
      <c r="C19" s="852">
        <v>37</v>
      </c>
      <c r="D19" s="853">
        <v>33</v>
      </c>
      <c r="E19" s="630">
        <v>44</v>
      </c>
      <c r="F19" s="631">
        <v>35</v>
      </c>
      <c r="G19" s="631">
        <v>25</v>
      </c>
      <c r="H19" s="783">
        <v>23</v>
      </c>
      <c r="I19" s="630">
        <v>31</v>
      </c>
      <c r="J19" s="631">
        <v>18</v>
      </c>
      <c r="K19" s="840">
        <v>114</v>
      </c>
      <c r="L19" s="841">
        <v>85</v>
      </c>
      <c r="M19" s="842">
        <v>130</v>
      </c>
      <c r="N19" s="842">
        <v>105</v>
      </c>
    </row>
    <row r="20" spans="1:14" ht="15" customHeight="1" x14ac:dyDescent="0.25">
      <c r="A20" s="850" t="s">
        <v>349</v>
      </c>
      <c r="B20" s="851">
        <v>670</v>
      </c>
      <c r="C20" s="852">
        <v>661</v>
      </c>
      <c r="D20" s="853">
        <v>647</v>
      </c>
      <c r="E20" s="630">
        <v>609</v>
      </c>
      <c r="F20" s="631">
        <v>622</v>
      </c>
      <c r="G20" s="631">
        <v>634</v>
      </c>
      <c r="H20" s="783">
        <v>698</v>
      </c>
      <c r="I20" s="630">
        <v>507</v>
      </c>
      <c r="J20" s="631">
        <v>585</v>
      </c>
      <c r="K20" s="630">
        <v>1997</v>
      </c>
      <c r="L20" s="854">
        <v>1973</v>
      </c>
      <c r="M20" s="631">
        <v>2592</v>
      </c>
      <c r="N20" s="631">
        <v>2389</v>
      </c>
    </row>
    <row r="21" spans="1:14" ht="15" customHeight="1" x14ac:dyDescent="0.25">
      <c r="A21" s="850" t="s">
        <v>368</v>
      </c>
      <c r="B21" s="851">
        <v>41</v>
      </c>
      <c r="C21" s="852">
        <v>37</v>
      </c>
      <c r="D21" s="853">
        <v>33</v>
      </c>
      <c r="E21" s="630">
        <v>44</v>
      </c>
      <c r="F21" s="631">
        <v>35</v>
      </c>
      <c r="G21" s="631">
        <v>25</v>
      </c>
      <c r="H21" s="783">
        <v>23</v>
      </c>
      <c r="I21" s="630">
        <v>31</v>
      </c>
      <c r="J21" s="631">
        <v>18</v>
      </c>
      <c r="K21" s="840">
        <v>114</v>
      </c>
      <c r="L21" s="841">
        <v>85</v>
      </c>
      <c r="M21" s="842">
        <v>130</v>
      </c>
      <c r="N21" s="842">
        <v>105</v>
      </c>
    </row>
    <row r="22" spans="1:14" ht="15" customHeight="1" x14ac:dyDescent="0.25">
      <c r="A22" s="850" t="s">
        <v>369</v>
      </c>
      <c r="B22" s="851">
        <v>675</v>
      </c>
      <c r="C22" s="852">
        <v>666</v>
      </c>
      <c r="D22" s="853">
        <v>653</v>
      </c>
      <c r="E22" s="630">
        <v>615</v>
      </c>
      <c r="F22" s="631">
        <v>628</v>
      </c>
      <c r="G22" s="631">
        <v>640</v>
      </c>
      <c r="H22" s="783">
        <v>704</v>
      </c>
      <c r="I22" s="630">
        <v>514</v>
      </c>
      <c r="J22" s="631">
        <v>592</v>
      </c>
      <c r="K22" s="630">
        <v>2013</v>
      </c>
      <c r="L22" s="854">
        <v>1990</v>
      </c>
      <c r="M22" s="631">
        <v>2615</v>
      </c>
      <c r="N22" s="631">
        <v>2417</v>
      </c>
    </row>
    <row r="23" spans="1:14" ht="15" customHeight="1" x14ac:dyDescent="0.25">
      <c r="A23" s="855" t="s">
        <v>370</v>
      </c>
      <c r="B23" s="856"/>
      <c r="C23" s="857"/>
      <c r="D23" s="858"/>
      <c r="E23" s="654"/>
      <c r="F23" s="825"/>
      <c r="G23" s="825"/>
      <c r="H23" s="859"/>
      <c r="I23" s="654"/>
      <c r="J23" s="825"/>
      <c r="K23" s="822"/>
      <c r="L23" s="860"/>
      <c r="M23" s="824"/>
      <c r="N23" s="824"/>
    </row>
    <row r="24" spans="1:14" ht="15" customHeight="1" x14ac:dyDescent="0.25">
      <c r="A24" s="861" t="s">
        <v>371</v>
      </c>
      <c r="B24" s="862">
        <v>4.54</v>
      </c>
      <c r="C24" s="863">
        <v>4.5</v>
      </c>
      <c r="D24" s="864">
        <v>4.4000000000000004</v>
      </c>
      <c r="E24" s="662">
        <v>4.42</v>
      </c>
      <c r="F24" s="660">
        <v>4.41</v>
      </c>
      <c r="G24" s="660">
        <v>4.46</v>
      </c>
      <c r="H24" s="661">
        <v>4.3499999999999996</v>
      </c>
      <c r="I24" s="662">
        <v>4.16</v>
      </c>
      <c r="J24" s="663">
        <v>4.08</v>
      </c>
      <c r="K24" s="865">
        <v>4.4800000000000004</v>
      </c>
      <c r="L24" s="866">
        <v>4.41</v>
      </c>
      <c r="M24" s="867">
        <v>4.41</v>
      </c>
      <c r="N24" s="867">
        <v>4.08</v>
      </c>
    </row>
    <row r="25" spans="1:14" ht="15" customHeight="1" x14ac:dyDescent="0.25">
      <c r="A25" s="868" t="s">
        <v>372</v>
      </c>
      <c r="B25" s="869">
        <v>1.1200000000000001</v>
      </c>
      <c r="C25" s="870">
        <v>1.19</v>
      </c>
      <c r="D25" s="871">
        <v>1.27</v>
      </c>
      <c r="E25" s="671">
        <v>1.31</v>
      </c>
      <c r="F25" s="669">
        <v>1.27</v>
      </c>
      <c r="G25" s="669">
        <v>1.3</v>
      </c>
      <c r="H25" s="670">
        <v>1.1299999999999999</v>
      </c>
      <c r="I25" s="671">
        <v>1.02</v>
      </c>
      <c r="J25" s="672">
        <v>0.98</v>
      </c>
      <c r="K25" s="872">
        <v>1.2</v>
      </c>
      <c r="L25" s="873">
        <v>1.24</v>
      </c>
      <c r="M25" s="874">
        <v>1.25</v>
      </c>
      <c r="N25" s="874">
        <v>0.93</v>
      </c>
    </row>
    <row r="26" spans="1:14" ht="15" customHeight="1" x14ac:dyDescent="0.25">
      <c r="A26" s="875" t="s">
        <v>312</v>
      </c>
      <c r="B26" s="876"/>
      <c r="C26" s="877"/>
      <c r="D26" s="878"/>
      <c r="E26" s="682"/>
      <c r="F26" s="877"/>
      <c r="G26" s="877"/>
      <c r="H26" s="878"/>
      <c r="I26" s="682"/>
      <c r="J26" s="879"/>
      <c r="K26" s="880"/>
      <c r="L26" s="881"/>
      <c r="M26" s="882"/>
      <c r="N26" s="882"/>
    </row>
    <row r="27" spans="1:14" ht="15" customHeight="1" x14ac:dyDescent="0.25">
      <c r="A27" s="883" t="s">
        <v>373</v>
      </c>
      <c r="B27" s="684">
        <v>14.9</v>
      </c>
      <c r="C27" s="685">
        <v>15.3</v>
      </c>
      <c r="D27" s="686">
        <v>14.2</v>
      </c>
      <c r="E27" s="690">
        <v>12.7</v>
      </c>
      <c r="F27" s="685">
        <v>13.1</v>
      </c>
      <c r="G27" s="685">
        <v>13.6</v>
      </c>
      <c r="H27" s="686">
        <v>14.5</v>
      </c>
      <c r="I27" s="690">
        <v>11.3</v>
      </c>
      <c r="J27" s="691">
        <v>12.5</v>
      </c>
      <c r="K27" s="884">
        <v>14.8</v>
      </c>
      <c r="L27" s="885">
        <v>13.7</v>
      </c>
      <c r="M27" s="886">
        <v>13.5</v>
      </c>
      <c r="N27" s="886">
        <v>12.1</v>
      </c>
    </row>
    <row r="28" spans="1:14" ht="15" customHeight="1" x14ac:dyDescent="0.25">
      <c r="A28" s="883" t="s">
        <v>374</v>
      </c>
      <c r="B28" s="695">
        <v>1.39</v>
      </c>
      <c r="C28" s="696">
        <v>1.37</v>
      </c>
      <c r="D28" s="697">
        <v>1.46</v>
      </c>
      <c r="E28" s="698">
        <v>1.37</v>
      </c>
      <c r="F28" s="696">
        <v>1.39</v>
      </c>
      <c r="G28" s="696">
        <v>1.38</v>
      </c>
      <c r="H28" s="697">
        <v>1.35</v>
      </c>
      <c r="I28" s="698">
        <v>1.19</v>
      </c>
      <c r="J28" s="699">
        <v>1.18</v>
      </c>
      <c r="K28" s="887">
        <v>1.41</v>
      </c>
      <c r="L28" s="888">
        <v>1.37</v>
      </c>
      <c r="M28" s="889">
        <v>1.37</v>
      </c>
      <c r="N28" s="889">
        <v>1.0900000000000001</v>
      </c>
    </row>
    <row r="29" spans="1:14" ht="15" customHeight="1" x14ac:dyDescent="0.25">
      <c r="A29" s="883" t="s">
        <v>375</v>
      </c>
      <c r="B29" s="695">
        <v>1.29</v>
      </c>
      <c r="C29" s="696">
        <v>1.31</v>
      </c>
      <c r="D29" s="697">
        <v>1.39</v>
      </c>
      <c r="E29" s="698">
        <v>1.42</v>
      </c>
      <c r="F29" s="696">
        <v>1.46</v>
      </c>
      <c r="G29" s="696">
        <v>1.38</v>
      </c>
      <c r="H29" s="697">
        <v>1.35</v>
      </c>
      <c r="I29" s="698">
        <v>1.18</v>
      </c>
      <c r="J29" s="699">
        <v>1.1100000000000001</v>
      </c>
      <c r="K29" s="887">
        <v>1.33</v>
      </c>
      <c r="L29" s="888">
        <v>1.4</v>
      </c>
      <c r="M29" s="889">
        <v>1.4</v>
      </c>
      <c r="N29" s="889">
        <v>1.03</v>
      </c>
    </row>
    <row r="30" spans="1:14" ht="15" customHeight="1" x14ac:dyDescent="0.25">
      <c r="A30" s="890" t="s">
        <v>376</v>
      </c>
      <c r="B30" s="684">
        <v>50.3</v>
      </c>
      <c r="C30" s="685">
        <v>51.4</v>
      </c>
      <c r="D30" s="686">
        <v>51.3</v>
      </c>
      <c r="E30" s="690">
        <v>52.2</v>
      </c>
      <c r="F30" s="685">
        <v>52.1</v>
      </c>
      <c r="G30" s="685">
        <v>52.3</v>
      </c>
      <c r="H30" s="686">
        <v>51.5</v>
      </c>
      <c r="I30" s="690">
        <v>55.6</v>
      </c>
      <c r="J30" s="691">
        <v>53.6</v>
      </c>
      <c r="K30" s="884">
        <v>51</v>
      </c>
      <c r="L30" s="885">
        <v>51.9</v>
      </c>
      <c r="M30" s="886">
        <v>52</v>
      </c>
      <c r="N30" s="886">
        <v>54.6</v>
      </c>
    </row>
    <row r="31" spans="1:14" ht="15" customHeight="1" x14ac:dyDescent="0.25">
      <c r="A31" s="875" t="s">
        <v>377</v>
      </c>
      <c r="B31" s="891"/>
      <c r="C31" s="892"/>
      <c r="D31" s="893"/>
      <c r="E31" s="894"/>
      <c r="F31" s="892"/>
      <c r="G31" s="892"/>
      <c r="H31" s="893"/>
      <c r="I31" s="894"/>
      <c r="J31" s="895"/>
      <c r="K31" s="896"/>
      <c r="L31" s="897"/>
      <c r="M31" s="898"/>
      <c r="N31" s="898"/>
    </row>
    <row r="32" spans="1:14" ht="15" customHeight="1" x14ac:dyDescent="0.25">
      <c r="A32" s="883" t="s">
        <v>318</v>
      </c>
      <c r="B32" s="684">
        <v>15</v>
      </c>
      <c r="C32" s="685">
        <v>15.5</v>
      </c>
      <c r="D32" s="686">
        <v>14.3</v>
      </c>
      <c r="E32" s="690">
        <v>12.8</v>
      </c>
      <c r="F32" s="685">
        <v>13.2</v>
      </c>
      <c r="G32" s="685">
        <v>13.7</v>
      </c>
      <c r="H32" s="686">
        <v>14.6</v>
      </c>
      <c r="I32" s="690">
        <v>11.4</v>
      </c>
      <c r="J32" s="691">
        <v>12.7</v>
      </c>
      <c r="K32" s="884">
        <v>14.9</v>
      </c>
      <c r="L32" s="885">
        <v>13.8</v>
      </c>
      <c r="M32" s="886">
        <v>13.6</v>
      </c>
      <c r="N32" s="886">
        <v>12.3</v>
      </c>
    </row>
    <row r="33" spans="1:14" ht="15" customHeight="1" x14ac:dyDescent="0.25">
      <c r="A33" s="899" t="s">
        <v>319</v>
      </c>
      <c r="B33" s="900">
        <v>50.1</v>
      </c>
      <c r="C33" s="901">
        <v>51.2</v>
      </c>
      <c r="D33" s="902">
        <v>51</v>
      </c>
      <c r="E33" s="690">
        <v>51.9</v>
      </c>
      <c r="F33" s="685">
        <v>51.9</v>
      </c>
      <c r="G33" s="685">
        <v>52</v>
      </c>
      <c r="H33" s="686">
        <v>51.2</v>
      </c>
      <c r="I33" s="690">
        <v>55.2</v>
      </c>
      <c r="J33" s="691">
        <v>53.2</v>
      </c>
      <c r="K33" s="903">
        <v>50.8</v>
      </c>
      <c r="L33" s="904">
        <v>51.7</v>
      </c>
      <c r="M33" s="905">
        <v>51.7</v>
      </c>
      <c r="N33" s="905">
        <v>54.2</v>
      </c>
    </row>
    <row r="34" spans="1:14" ht="15" customHeight="1" x14ac:dyDescent="0.25">
      <c r="A34" s="855" t="s">
        <v>378</v>
      </c>
      <c r="B34" s="856"/>
      <c r="C34" s="857"/>
      <c r="D34" s="858"/>
      <c r="E34" s="654"/>
      <c r="F34" s="825"/>
      <c r="G34" s="825"/>
      <c r="H34" s="859"/>
      <c r="I34" s="654"/>
      <c r="J34" s="825"/>
      <c r="K34" s="822"/>
      <c r="L34" s="860"/>
      <c r="M34" s="824"/>
      <c r="N34" s="824"/>
    </row>
    <row r="35" spans="1:14" ht="15" customHeight="1" x14ac:dyDescent="0.25">
      <c r="A35" s="861" t="s">
        <v>321</v>
      </c>
      <c r="B35" s="737">
        <v>54.9</v>
      </c>
      <c r="C35" s="738">
        <v>54.4</v>
      </c>
      <c r="D35" s="739">
        <v>54.2</v>
      </c>
      <c r="E35" s="906">
        <v>53.6</v>
      </c>
      <c r="F35" s="907">
        <v>53.1</v>
      </c>
      <c r="G35" s="907">
        <v>52.6</v>
      </c>
      <c r="H35" s="908">
        <v>51.9</v>
      </c>
      <c r="I35" s="906">
        <v>51.1</v>
      </c>
      <c r="J35" s="907">
        <v>50.5</v>
      </c>
      <c r="K35" s="771">
        <v>54.5</v>
      </c>
      <c r="L35" s="909">
        <v>52.5</v>
      </c>
      <c r="M35" s="910">
        <v>52.8</v>
      </c>
      <c r="N35" s="910">
        <v>50.1</v>
      </c>
    </row>
    <row r="36" spans="1:14" ht="15" customHeight="1" x14ac:dyDescent="0.25">
      <c r="A36" s="836" t="s">
        <v>353</v>
      </c>
      <c r="B36" s="911">
        <v>19.8</v>
      </c>
      <c r="C36" s="912">
        <v>19.600000000000001</v>
      </c>
      <c r="D36" s="746">
        <v>19.8</v>
      </c>
      <c r="E36" s="690">
        <v>19.3</v>
      </c>
      <c r="F36" s="691">
        <v>19</v>
      </c>
      <c r="G36" s="691">
        <v>18.799999999999997</v>
      </c>
      <c r="H36" s="913">
        <v>18.600000000000001</v>
      </c>
      <c r="I36" s="690">
        <v>18.5</v>
      </c>
      <c r="J36" s="691">
        <v>18.899999999999999</v>
      </c>
      <c r="K36" s="884">
        <v>19.8</v>
      </c>
      <c r="L36" s="885">
        <v>18.899999999999999</v>
      </c>
      <c r="M36" s="886">
        <v>19</v>
      </c>
      <c r="N36" s="886">
        <v>19</v>
      </c>
    </row>
    <row r="37" spans="1:14" ht="15" customHeight="1" x14ac:dyDescent="0.25">
      <c r="A37" s="836" t="s">
        <v>354</v>
      </c>
      <c r="B37" s="715">
        <v>8.4</v>
      </c>
      <c r="C37" s="716">
        <v>8.4</v>
      </c>
      <c r="D37" s="717">
        <v>8.5</v>
      </c>
      <c r="E37" s="690">
        <v>8.4</v>
      </c>
      <c r="F37" s="691">
        <v>8.6</v>
      </c>
      <c r="G37" s="691">
        <v>8.6999999999999993</v>
      </c>
      <c r="H37" s="913">
        <v>8.6</v>
      </c>
      <c r="I37" s="690">
        <v>8.4</v>
      </c>
      <c r="J37" s="691">
        <v>8.3000000000000007</v>
      </c>
      <c r="K37" s="884">
        <v>8.5</v>
      </c>
      <c r="L37" s="885">
        <v>8.6999999999999993</v>
      </c>
      <c r="M37" s="886">
        <v>8.6</v>
      </c>
      <c r="N37" s="886">
        <v>8.3000000000000007</v>
      </c>
    </row>
    <row r="38" spans="1:14" ht="15" customHeight="1" x14ac:dyDescent="0.25">
      <c r="A38" s="836" t="s">
        <v>324</v>
      </c>
      <c r="B38" s="715">
        <v>81.600000000000009</v>
      </c>
      <c r="C38" s="716">
        <v>82.8</v>
      </c>
      <c r="D38" s="717">
        <v>84.6</v>
      </c>
      <c r="E38" s="690">
        <v>86.6</v>
      </c>
      <c r="F38" s="691">
        <v>88.6</v>
      </c>
      <c r="G38" s="691">
        <v>90.5</v>
      </c>
      <c r="H38" s="913">
        <v>92.1</v>
      </c>
      <c r="I38" s="690">
        <v>93.4</v>
      </c>
      <c r="J38" s="691">
        <v>95.5</v>
      </c>
      <c r="K38" s="884">
        <v>84.1</v>
      </c>
      <c r="L38" s="885">
        <v>91.3</v>
      </c>
      <c r="M38" s="886">
        <v>90.4</v>
      </c>
      <c r="N38" s="886">
        <v>96.699999999999989</v>
      </c>
    </row>
    <row r="39" spans="1:14" ht="15" customHeight="1" x14ac:dyDescent="0.25">
      <c r="A39" s="850" t="s">
        <v>355</v>
      </c>
      <c r="B39" s="715">
        <v>164.70000000000002</v>
      </c>
      <c r="C39" s="716">
        <v>165.2</v>
      </c>
      <c r="D39" s="717">
        <v>167.10000000000002</v>
      </c>
      <c r="E39" s="690">
        <v>167.9</v>
      </c>
      <c r="F39" s="691">
        <v>169.29999999999998</v>
      </c>
      <c r="G39" s="691">
        <v>170.60000000000002</v>
      </c>
      <c r="H39" s="913">
        <v>171.2</v>
      </c>
      <c r="I39" s="690">
        <v>171.4</v>
      </c>
      <c r="J39" s="691">
        <v>173.2</v>
      </c>
      <c r="K39" s="771">
        <v>166.9</v>
      </c>
      <c r="L39" s="914">
        <v>171.4</v>
      </c>
      <c r="M39" s="691">
        <v>170.8</v>
      </c>
      <c r="N39" s="691">
        <v>174.09999999999997</v>
      </c>
    </row>
    <row r="40" spans="1:14" ht="15" customHeight="1" x14ac:dyDescent="0.25">
      <c r="A40" s="836" t="s">
        <v>356</v>
      </c>
      <c r="B40" s="715">
        <v>21.6</v>
      </c>
      <c r="C40" s="716">
        <v>22.4</v>
      </c>
      <c r="D40" s="717">
        <v>21.8</v>
      </c>
      <c r="E40" s="690">
        <v>20.9</v>
      </c>
      <c r="F40" s="691">
        <v>21.1</v>
      </c>
      <c r="G40" s="691">
        <v>22.6</v>
      </c>
      <c r="H40" s="913">
        <v>22</v>
      </c>
      <c r="I40" s="690">
        <v>19.8</v>
      </c>
      <c r="J40" s="691">
        <v>19.2</v>
      </c>
      <c r="K40" s="771">
        <v>22</v>
      </c>
      <c r="L40" s="914">
        <v>22</v>
      </c>
      <c r="M40" s="691">
        <v>21.7</v>
      </c>
      <c r="N40" s="691">
        <v>18.8</v>
      </c>
    </row>
    <row r="41" spans="1:14" ht="15" customHeight="1" x14ac:dyDescent="0.25">
      <c r="A41" s="836" t="s">
        <v>357</v>
      </c>
      <c r="B41" s="715">
        <v>17.5</v>
      </c>
      <c r="C41" s="716">
        <v>17.3</v>
      </c>
      <c r="D41" s="717">
        <v>17.5</v>
      </c>
      <c r="E41" s="690">
        <v>16.399999999999999</v>
      </c>
      <c r="F41" s="691">
        <v>16.3</v>
      </c>
      <c r="G41" s="691">
        <v>16.3</v>
      </c>
      <c r="H41" s="913">
        <v>15.9</v>
      </c>
      <c r="I41" s="690">
        <v>17.100000000000001</v>
      </c>
      <c r="J41" s="691">
        <v>16.7</v>
      </c>
      <c r="K41" s="771">
        <v>17.600000000000001</v>
      </c>
      <c r="L41" s="914">
        <v>16.3</v>
      </c>
      <c r="M41" s="691">
        <v>16.399999999999999</v>
      </c>
      <c r="N41" s="691">
        <v>16.7</v>
      </c>
    </row>
    <row r="42" spans="1:14" ht="15" customHeight="1" x14ac:dyDescent="0.25">
      <c r="A42" s="836" t="s">
        <v>326</v>
      </c>
      <c r="B42" s="715">
        <v>19.499999999999993</v>
      </c>
      <c r="C42" s="716">
        <v>20.600000000000012</v>
      </c>
      <c r="D42" s="717">
        <v>21.799999999999969</v>
      </c>
      <c r="E42" s="690">
        <v>20.799999999999997</v>
      </c>
      <c r="F42" s="691">
        <v>22.000000000000004</v>
      </c>
      <c r="G42" s="691">
        <v>22.599999999999969</v>
      </c>
      <c r="H42" s="913">
        <v>22.200000000000024</v>
      </c>
      <c r="I42" s="690">
        <v>23.79999999999999</v>
      </c>
      <c r="J42" s="691">
        <v>23.900000000000009</v>
      </c>
      <c r="K42" s="771">
        <v>20.599999999999994</v>
      </c>
      <c r="L42" s="914">
        <v>21.600000000000005</v>
      </c>
      <c r="M42" s="691">
        <v>21.799999999999976</v>
      </c>
      <c r="N42" s="691">
        <v>23.400000000000038</v>
      </c>
    </row>
    <row r="43" spans="1:14" ht="15" customHeight="1" x14ac:dyDescent="0.25">
      <c r="A43" s="850" t="s">
        <v>327</v>
      </c>
      <c r="B43" s="715">
        <v>223.3</v>
      </c>
      <c r="C43" s="716">
        <v>225.5</v>
      </c>
      <c r="D43" s="717">
        <v>228.2</v>
      </c>
      <c r="E43" s="690">
        <v>226</v>
      </c>
      <c r="F43" s="691">
        <v>228.7</v>
      </c>
      <c r="G43" s="691">
        <v>232.1</v>
      </c>
      <c r="H43" s="913">
        <v>231.3</v>
      </c>
      <c r="I43" s="690">
        <v>232.1</v>
      </c>
      <c r="J43" s="691">
        <v>233</v>
      </c>
      <c r="K43" s="771">
        <v>227.1</v>
      </c>
      <c r="L43" s="914">
        <v>231.3</v>
      </c>
      <c r="M43" s="691">
        <v>230.7</v>
      </c>
      <c r="N43" s="691">
        <v>233</v>
      </c>
    </row>
    <row r="44" spans="1:14" ht="15" customHeight="1" x14ac:dyDescent="0.25">
      <c r="A44" s="836" t="s">
        <v>328</v>
      </c>
      <c r="B44" s="715">
        <v>40.9</v>
      </c>
      <c r="C44" s="716">
        <v>40.9</v>
      </c>
      <c r="D44" s="717">
        <v>41</v>
      </c>
      <c r="E44" s="690">
        <v>40.700000000000003</v>
      </c>
      <c r="F44" s="691">
        <v>40.6</v>
      </c>
      <c r="G44" s="691">
        <v>40.4</v>
      </c>
      <c r="H44" s="913">
        <v>40.5</v>
      </c>
      <c r="I44" s="690">
        <v>40.200000000000003</v>
      </c>
      <c r="J44" s="691">
        <v>40.4</v>
      </c>
      <c r="K44" s="771">
        <v>41.1</v>
      </c>
      <c r="L44" s="914">
        <v>40.700000000000003</v>
      </c>
      <c r="M44" s="691">
        <v>40.700000000000003</v>
      </c>
      <c r="N44" s="691">
        <v>40.1</v>
      </c>
    </row>
    <row r="45" spans="1:14" ht="15" customHeight="1" x14ac:dyDescent="0.25">
      <c r="A45" s="836" t="s">
        <v>329</v>
      </c>
      <c r="B45" s="715">
        <v>88.8</v>
      </c>
      <c r="C45" s="716">
        <v>87.9</v>
      </c>
      <c r="D45" s="717">
        <v>85.6</v>
      </c>
      <c r="E45" s="690">
        <v>85.9</v>
      </c>
      <c r="F45" s="691">
        <v>88.6</v>
      </c>
      <c r="G45" s="691">
        <v>90.8</v>
      </c>
      <c r="H45" s="913">
        <v>87</v>
      </c>
      <c r="I45" s="690">
        <v>88.3</v>
      </c>
      <c r="J45" s="691">
        <v>84.7</v>
      </c>
      <c r="K45" s="884">
        <v>87.8</v>
      </c>
      <c r="L45" s="885">
        <v>89.2</v>
      </c>
      <c r="M45" s="886">
        <v>88.4</v>
      </c>
      <c r="N45" s="886">
        <v>85.1</v>
      </c>
    </row>
    <row r="46" spans="1:14" ht="15" customHeight="1" x14ac:dyDescent="0.25">
      <c r="A46" s="915" t="s">
        <v>330</v>
      </c>
      <c r="B46" s="752">
        <v>129.69999999999999</v>
      </c>
      <c r="C46" s="753">
        <v>128.80000000000001</v>
      </c>
      <c r="D46" s="754">
        <v>126.6</v>
      </c>
      <c r="E46" s="916">
        <v>126.60000000000001</v>
      </c>
      <c r="F46" s="917">
        <v>129.19999999999999</v>
      </c>
      <c r="G46" s="917">
        <v>131.19999999999999</v>
      </c>
      <c r="H46" s="918">
        <v>127.5</v>
      </c>
      <c r="I46" s="916">
        <v>128.5</v>
      </c>
      <c r="J46" s="917">
        <v>125.1</v>
      </c>
      <c r="K46" s="919">
        <v>128.9</v>
      </c>
      <c r="L46" s="920">
        <v>129.9</v>
      </c>
      <c r="M46" s="921">
        <v>129.10000000000002</v>
      </c>
      <c r="N46" s="921">
        <v>125.19999999999999</v>
      </c>
    </row>
    <row r="47" spans="1:14" ht="15" customHeight="1" x14ac:dyDescent="0.25">
      <c r="A47" s="922" t="s">
        <v>331</v>
      </c>
      <c r="B47" s="761">
        <v>43</v>
      </c>
      <c r="C47" s="762">
        <v>46.300000000000011</v>
      </c>
      <c r="D47" s="763">
        <v>47.900000000000006</v>
      </c>
      <c r="E47" s="923">
        <v>46.899999999999991</v>
      </c>
      <c r="F47" s="924">
        <v>46.200000000000017</v>
      </c>
      <c r="G47" s="924">
        <v>48.099999999999994</v>
      </c>
      <c r="H47" s="925">
        <v>50.700000000000017</v>
      </c>
      <c r="I47" s="923">
        <v>50</v>
      </c>
      <c r="J47" s="924">
        <v>51.299999999999983</v>
      </c>
      <c r="K47" s="926">
        <v>45.799999999999983</v>
      </c>
      <c r="L47" s="927">
        <v>48.400000000000006</v>
      </c>
      <c r="M47" s="928">
        <v>48.099999999999966</v>
      </c>
      <c r="N47" s="928">
        <v>50.300000000000011</v>
      </c>
    </row>
    <row r="48" spans="1:14" ht="15" customHeight="1" x14ac:dyDescent="0.25">
      <c r="A48" s="850" t="s">
        <v>332</v>
      </c>
      <c r="B48" s="911">
        <v>172.7</v>
      </c>
      <c r="C48" s="912">
        <v>175.10000000000002</v>
      </c>
      <c r="D48" s="746">
        <v>174.5</v>
      </c>
      <c r="E48" s="690">
        <v>173.5</v>
      </c>
      <c r="F48" s="691">
        <v>175.4</v>
      </c>
      <c r="G48" s="691">
        <v>179.29999999999998</v>
      </c>
      <c r="H48" s="913">
        <v>178.20000000000002</v>
      </c>
      <c r="I48" s="690">
        <v>178.5</v>
      </c>
      <c r="J48" s="691">
        <v>176.39999999999998</v>
      </c>
      <c r="K48" s="884">
        <v>174.7</v>
      </c>
      <c r="L48" s="885">
        <v>178.3</v>
      </c>
      <c r="M48" s="886">
        <v>177.2</v>
      </c>
      <c r="N48" s="886">
        <v>175.5</v>
      </c>
    </row>
    <row r="49" spans="1:14" ht="15" customHeight="1" x14ac:dyDescent="0.25">
      <c r="A49" s="929" t="s">
        <v>333</v>
      </c>
      <c r="B49" s="930"/>
      <c r="C49" s="931"/>
      <c r="D49" s="932"/>
      <c r="E49" s="778"/>
      <c r="F49" s="933"/>
      <c r="G49" s="933"/>
      <c r="H49" s="934"/>
      <c r="I49" s="778"/>
      <c r="J49" s="933"/>
      <c r="K49" s="935"/>
      <c r="L49" s="936"/>
      <c r="M49" s="937"/>
      <c r="N49" s="937"/>
    </row>
    <row r="50" spans="1:14" ht="15" customHeight="1" x14ac:dyDescent="0.25">
      <c r="A50" s="836" t="s">
        <v>379</v>
      </c>
      <c r="B50" s="938">
        <v>36885</v>
      </c>
      <c r="C50" s="939">
        <v>36998</v>
      </c>
      <c r="D50" s="782">
        <v>39257</v>
      </c>
      <c r="E50" s="630">
        <v>39397</v>
      </c>
      <c r="F50" s="631">
        <v>40011</v>
      </c>
      <c r="G50" s="631">
        <v>40287</v>
      </c>
      <c r="H50" s="783">
        <v>40488</v>
      </c>
      <c r="I50" s="630">
        <v>40697</v>
      </c>
      <c r="J50" s="631">
        <v>41289</v>
      </c>
      <c r="K50" s="940"/>
      <c r="L50" s="941"/>
      <c r="M50" s="942"/>
      <c r="N50" s="942"/>
    </row>
    <row r="51" spans="1:14" ht="15" customHeight="1" x14ac:dyDescent="0.25">
      <c r="A51" s="868" t="s">
        <v>335</v>
      </c>
      <c r="B51" s="787">
        <v>963</v>
      </c>
      <c r="C51" s="788">
        <v>968</v>
      </c>
      <c r="D51" s="789">
        <v>1046</v>
      </c>
      <c r="E51" s="790">
        <v>1050</v>
      </c>
      <c r="F51" s="791">
        <v>1074</v>
      </c>
      <c r="G51" s="791">
        <v>1088</v>
      </c>
      <c r="H51" s="792">
        <v>1112</v>
      </c>
      <c r="I51" s="790">
        <v>1140</v>
      </c>
      <c r="J51" s="791">
        <v>1161</v>
      </c>
      <c r="K51" s="943"/>
      <c r="L51" s="944"/>
      <c r="M51" s="945"/>
      <c r="N51" s="945"/>
    </row>
    <row r="52" spans="1:14" ht="15" customHeight="1" x14ac:dyDescent="0.25">
      <c r="A52" s="836" t="s">
        <v>252</v>
      </c>
      <c r="B52" s="787">
        <v>4899</v>
      </c>
      <c r="C52" s="788">
        <v>4945</v>
      </c>
      <c r="D52" s="789">
        <v>4940</v>
      </c>
      <c r="E52" s="630">
        <v>4955</v>
      </c>
      <c r="F52" s="631">
        <v>4957</v>
      </c>
      <c r="G52" s="631">
        <v>4931</v>
      </c>
      <c r="H52" s="783">
        <v>4949</v>
      </c>
      <c r="I52" s="630">
        <v>4976</v>
      </c>
      <c r="J52" s="631">
        <v>4845</v>
      </c>
      <c r="K52" s="946"/>
      <c r="L52" s="947"/>
      <c r="M52" s="945"/>
      <c r="N52" s="945"/>
    </row>
    <row r="53" spans="1:14" ht="15" customHeight="1" x14ac:dyDescent="0.25">
      <c r="A53" s="948" t="s">
        <v>359</v>
      </c>
      <c r="B53" s="949">
        <v>7</v>
      </c>
      <c r="C53" s="950">
        <v>7</v>
      </c>
      <c r="D53" s="801">
        <v>8</v>
      </c>
      <c r="E53" s="802">
        <v>8</v>
      </c>
      <c r="F53" s="803">
        <v>8</v>
      </c>
      <c r="G53" s="803">
        <v>8</v>
      </c>
      <c r="H53" s="804">
        <v>8</v>
      </c>
      <c r="I53" s="802">
        <v>9</v>
      </c>
      <c r="J53" s="803">
        <v>10</v>
      </c>
      <c r="K53" s="951">
        <v>22</v>
      </c>
      <c r="L53" s="952">
        <v>24</v>
      </c>
      <c r="M53" s="953">
        <v>32</v>
      </c>
      <c r="N53" s="953">
        <v>39</v>
      </c>
    </row>
    <row r="54" spans="1:14" ht="15" customHeight="1" x14ac:dyDescent="0.25">
      <c r="A54" s="954"/>
      <c r="B54" s="955"/>
      <c r="C54" s="956"/>
      <c r="D54" s="956"/>
      <c r="E54" s="957"/>
      <c r="F54" s="957"/>
      <c r="G54" s="957"/>
      <c r="H54" s="957"/>
      <c r="I54" s="957"/>
      <c r="J54" s="957"/>
      <c r="K54" s="957"/>
      <c r="L54" s="957"/>
      <c r="M54" s="957"/>
      <c r="N54" s="957"/>
    </row>
    <row r="55" spans="1:14" ht="12.6" customHeight="1" x14ac:dyDescent="0.25">
      <c r="A55" s="3510" t="s">
        <v>380</v>
      </c>
      <c r="B55" s="3510" t="s">
        <v>14</v>
      </c>
      <c r="C55" s="3510" t="s">
        <v>14</v>
      </c>
      <c r="D55" s="3510" t="s">
        <v>14</v>
      </c>
      <c r="E55" s="3510" t="s">
        <v>14</v>
      </c>
      <c r="F55" s="3510" t="s">
        <v>14</v>
      </c>
      <c r="G55" s="3510" t="s">
        <v>14</v>
      </c>
      <c r="H55" s="3510" t="s">
        <v>14</v>
      </c>
      <c r="I55" s="3510" t="s">
        <v>14</v>
      </c>
      <c r="J55" s="3510" t="s">
        <v>14</v>
      </c>
      <c r="K55" s="3510" t="s">
        <v>14</v>
      </c>
      <c r="L55" s="3510" t="s">
        <v>14</v>
      </c>
      <c r="M55" s="3510" t="s">
        <v>14</v>
      </c>
      <c r="N55" s="3510" t="s">
        <v>14</v>
      </c>
    </row>
    <row r="56" spans="1:14" ht="12" customHeight="1" x14ac:dyDescent="0.25">
      <c r="A56" s="3511" t="s">
        <v>381</v>
      </c>
      <c r="B56" s="3511" t="s">
        <v>14</v>
      </c>
      <c r="C56" s="3511" t="s">
        <v>14</v>
      </c>
      <c r="D56" s="3511" t="s">
        <v>14</v>
      </c>
      <c r="E56" s="3511" t="s">
        <v>14</v>
      </c>
      <c r="F56" s="3511" t="s">
        <v>14</v>
      </c>
      <c r="G56" s="3511" t="s">
        <v>14</v>
      </c>
      <c r="H56" s="3511" t="s">
        <v>14</v>
      </c>
      <c r="I56" s="3511" t="s">
        <v>14</v>
      </c>
      <c r="J56" s="3511" t="s">
        <v>14</v>
      </c>
      <c r="K56" s="3511" t="s">
        <v>14</v>
      </c>
      <c r="L56" s="3511" t="s">
        <v>14</v>
      </c>
      <c r="M56" s="3511" t="s">
        <v>14</v>
      </c>
      <c r="N56" s="3511" t="s">
        <v>14</v>
      </c>
    </row>
    <row r="57" spans="1:14" ht="12" customHeight="1" x14ac:dyDescent="0.25">
      <c r="A57" s="958" t="s">
        <v>382</v>
      </c>
      <c r="B57" s="959"/>
      <c r="C57" s="958"/>
      <c r="D57" s="958"/>
      <c r="E57" s="958"/>
      <c r="F57" s="958"/>
      <c r="G57" s="958"/>
      <c r="H57" s="958"/>
      <c r="I57" s="958"/>
      <c r="J57" s="958"/>
      <c r="K57" s="958"/>
      <c r="L57" s="958"/>
      <c r="M57" s="958"/>
      <c r="N57" s="958"/>
    </row>
    <row r="58" spans="1:14" ht="12" customHeight="1" x14ac:dyDescent="0.25">
      <c r="A58" s="958" t="s">
        <v>383</v>
      </c>
      <c r="B58" s="959"/>
      <c r="C58" s="958"/>
      <c r="D58" s="958"/>
      <c r="E58" s="958"/>
      <c r="F58" s="958"/>
      <c r="G58" s="958"/>
      <c r="H58" s="958"/>
      <c r="I58" s="958"/>
      <c r="J58" s="958"/>
      <c r="K58" s="958"/>
      <c r="L58" s="958"/>
      <c r="M58" s="958"/>
      <c r="N58" s="958"/>
    </row>
    <row r="59" spans="1:14" ht="12" customHeight="1" x14ac:dyDescent="0.25">
      <c r="A59" s="958" t="s">
        <v>384</v>
      </c>
      <c r="B59" s="959"/>
      <c r="C59" s="958"/>
      <c r="D59" s="958"/>
      <c r="E59" s="958"/>
      <c r="F59" s="958"/>
      <c r="G59" s="958"/>
      <c r="H59" s="958"/>
      <c r="I59" s="958"/>
      <c r="J59" s="958"/>
      <c r="K59" s="958"/>
      <c r="L59" s="958"/>
      <c r="M59" s="958"/>
      <c r="N59" s="958"/>
    </row>
    <row r="60" spans="1:14" ht="12" customHeight="1" x14ac:dyDescent="0.25">
      <c r="A60" s="958" t="s">
        <v>385</v>
      </c>
      <c r="B60" s="959"/>
      <c r="C60" s="958"/>
      <c r="D60" s="958"/>
      <c r="E60" s="958"/>
      <c r="F60" s="958"/>
      <c r="G60" s="958"/>
      <c r="H60" s="958"/>
      <c r="I60" s="958"/>
      <c r="J60" s="958"/>
      <c r="K60" s="958"/>
      <c r="L60" s="958"/>
      <c r="M60" s="958"/>
      <c r="N60" s="958"/>
    </row>
    <row r="61" spans="1:14" ht="12" customHeight="1" x14ac:dyDescent="0.25">
      <c r="A61" s="958" t="s">
        <v>386</v>
      </c>
      <c r="B61" s="959"/>
      <c r="C61" s="958"/>
      <c r="D61" s="958"/>
      <c r="E61" s="958"/>
      <c r="F61" s="958"/>
      <c r="G61" s="958"/>
      <c r="H61" s="958"/>
      <c r="I61" s="958"/>
      <c r="J61" s="958"/>
      <c r="K61" s="958"/>
      <c r="L61" s="958"/>
      <c r="M61" s="958"/>
      <c r="N61" s="958"/>
    </row>
    <row r="62" spans="1:14" ht="12" customHeight="1" x14ac:dyDescent="0.25">
      <c r="A62" s="958"/>
      <c r="B62" s="959"/>
      <c r="C62" s="958"/>
      <c r="D62" s="958"/>
      <c r="E62" s="958"/>
      <c r="F62" s="958"/>
      <c r="G62" s="958"/>
      <c r="H62" s="958"/>
      <c r="I62" s="958"/>
      <c r="J62" s="958"/>
      <c r="K62" s="958"/>
      <c r="L62" s="958"/>
      <c r="M62" s="958"/>
      <c r="N62" s="958"/>
    </row>
  </sheetData>
  <mergeCells count="8">
    <mergeCell ref="A55:N55"/>
    <mergeCell ref="A56:N56"/>
    <mergeCell ref="A2:N2"/>
    <mergeCell ref="B3:D3"/>
    <mergeCell ref="E3:H3"/>
    <mergeCell ref="I3:J3"/>
    <mergeCell ref="K3:L3"/>
    <mergeCell ref="M3:N3"/>
  </mergeCells>
  <hyperlinks>
    <hyperlink ref="A1" location="ToC!A2" display="Back to Table of Contents" xr:uid="{22FDB71B-EBF6-4953-95C1-25D96F58FA0C}"/>
  </hyperlinks>
  <pageMargins left="0.5" right="0.5" top="0.5" bottom="0.5" header="0.25" footer="0.25"/>
  <pageSetup scale="54" orientation="landscape" r:id="rId1"/>
  <headerFooter>
    <oddFooter>&amp;L&amp;G&amp;C&amp;"Scotia,Regular"&amp;9Supplementary Financial Information (SFI)&amp;R6&amp;"Scotia,Regular"&amp;7</oddFooter>
  </headerFooter>
  <ignoredErrors>
    <ignoredError sqref="B3:J4" numberStoredAsText="1"/>
  </ignoredError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C1F8-A563-49AF-B6D4-3786A049AF97}">
  <sheetPr>
    <pageSetUpPr fitToPage="1"/>
  </sheetPr>
  <dimension ref="A1:N86"/>
  <sheetViews>
    <sheetView showGridLines="0" zoomScaleNormal="100" workbookViewId="0"/>
  </sheetViews>
  <sheetFormatPr defaultColWidth="8.77734375" defaultRowHeight="13.2" x14ac:dyDescent="0.25"/>
  <cols>
    <col min="1" max="1" width="93.77734375" style="22" customWidth="1"/>
    <col min="2" max="14" width="14.5546875" style="22" customWidth="1"/>
    <col min="15" max="16384" width="8.77734375" style="22"/>
  </cols>
  <sheetData>
    <row r="1" spans="1:14" ht="19.95" customHeight="1" x14ac:dyDescent="0.25">
      <c r="A1" s="21" t="s">
        <v>12</v>
      </c>
    </row>
    <row r="2" spans="1:14" ht="24" customHeight="1" x14ac:dyDescent="0.25">
      <c r="A2" s="3520" t="s">
        <v>387</v>
      </c>
      <c r="B2" s="3520" t="s">
        <v>14</v>
      </c>
      <c r="C2" s="3520" t="s">
        <v>14</v>
      </c>
      <c r="D2" s="3520" t="s">
        <v>14</v>
      </c>
      <c r="E2" s="3520" t="s">
        <v>14</v>
      </c>
      <c r="F2" s="3520" t="s">
        <v>14</v>
      </c>
      <c r="G2" s="3520" t="s">
        <v>14</v>
      </c>
      <c r="H2" s="3520" t="s">
        <v>14</v>
      </c>
      <c r="I2" s="3520" t="s">
        <v>14</v>
      </c>
      <c r="J2" s="3520" t="s">
        <v>14</v>
      </c>
      <c r="K2" s="3520" t="s">
        <v>14</v>
      </c>
      <c r="L2" s="3520" t="s">
        <v>14</v>
      </c>
      <c r="M2" s="3520" t="s">
        <v>14</v>
      </c>
      <c r="N2" s="3520" t="s">
        <v>14</v>
      </c>
    </row>
    <row r="3" spans="1:14" ht="14.1" customHeight="1" x14ac:dyDescent="0.25">
      <c r="A3" s="960"/>
      <c r="B3" s="3521" t="s">
        <v>172</v>
      </c>
      <c r="C3" s="3521" t="s">
        <v>14</v>
      </c>
      <c r="D3" s="3522" t="s">
        <v>14</v>
      </c>
      <c r="E3" s="3523">
        <v>2024</v>
      </c>
      <c r="F3" s="3524" t="s">
        <v>14</v>
      </c>
      <c r="G3" s="3524" t="s">
        <v>14</v>
      </c>
      <c r="H3" s="3525" t="s">
        <v>14</v>
      </c>
      <c r="I3" s="3523">
        <v>2023</v>
      </c>
      <c r="J3" s="3524" t="s">
        <v>14</v>
      </c>
      <c r="K3" s="3526" t="s">
        <v>173</v>
      </c>
      <c r="L3" s="3527" t="s">
        <v>14</v>
      </c>
      <c r="M3" s="3524" t="s">
        <v>174</v>
      </c>
      <c r="N3" s="3524" t="s">
        <v>14</v>
      </c>
    </row>
    <row r="4" spans="1:14" ht="14.1" customHeight="1" x14ac:dyDescent="0.25">
      <c r="A4" s="961"/>
      <c r="B4" s="962" t="s">
        <v>176</v>
      </c>
      <c r="C4" s="963" t="s">
        <v>177</v>
      </c>
      <c r="D4" s="964" t="s">
        <v>178</v>
      </c>
      <c r="E4" s="965" t="s">
        <v>179</v>
      </c>
      <c r="F4" s="966" t="s">
        <v>180</v>
      </c>
      <c r="G4" s="966" t="s">
        <v>177</v>
      </c>
      <c r="H4" s="369" t="s">
        <v>178</v>
      </c>
      <c r="I4" s="967" t="s">
        <v>179</v>
      </c>
      <c r="J4" s="966" t="s">
        <v>180</v>
      </c>
      <c r="K4" s="968">
        <v>2025</v>
      </c>
      <c r="L4" s="969">
        <v>2024</v>
      </c>
      <c r="M4" s="970">
        <v>2024</v>
      </c>
      <c r="N4" s="970">
        <v>2023</v>
      </c>
    </row>
    <row r="5" spans="1:14" ht="14.1" customHeight="1" x14ac:dyDescent="0.25">
      <c r="A5" s="971" t="s">
        <v>345</v>
      </c>
      <c r="B5" s="972"/>
      <c r="C5" s="973"/>
      <c r="D5" s="974"/>
      <c r="E5" s="975"/>
      <c r="F5" s="976"/>
      <c r="G5" s="976"/>
      <c r="H5" s="977"/>
      <c r="I5" s="978"/>
      <c r="J5" s="976"/>
      <c r="K5" s="979"/>
      <c r="L5" s="980"/>
      <c r="M5" s="981"/>
      <c r="N5" s="981"/>
    </row>
    <row r="6" spans="1:14" ht="14.1" customHeight="1" x14ac:dyDescent="0.25">
      <c r="A6" s="982" t="s">
        <v>296</v>
      </c>
      <c r="B6" s="983">
        <v>266</v>
      </c>
      <c r="C6" s="984">
        <v>246</v>
      </c>
      <c r="D6" s="409">
        <v>232</v>
      </c>
      <c r="E6" s="985">
        <v>207</v>
      </c>
      <c r="F6" s="986">
        <v>206</v>
      </c>
      <c r="G6" s="986">
        <v>188</v>
      </c>
      <c r="H6" s="987">
        <v>185</v>
      </c>
      <c r="I6" s="985">
        <v>175</v>
      </c>
      <c r="J6" s="986">
        <v>169</v>
      </c>
      <c r="K6" s="988">
        <v>744</v>
      </c>
      <c r="L6" s="989">
        <v>579</v>
      </c>
      <c r="M6" s="985">
        <v>786</v>
      </c>
      <c r="N6" s="986">
        <v>694</v>
      </c>
    </row>
    <row r="7" spans="1:14" ht="14.1" customHeight="1" x14ac:dyDescent="0.25">
      <c r="A7" s="990" t="s">
        <v>297</v>
      </c>
      <c r="B7" s="991">
        <v>1338</v>
      </c>
      <c r="C7" s="992">
        <v>1295</v>
      </c>
      <c r="D7" s="409">
        <v>1347</v>
      </c>
      <c r="E7" s="993">
        <v>1259</v>
      </c>
      <c r="F7" s="994">
        <v>1222</v>
      </c>
      <c r="G7" s="994">
        <v>1183</v>
      </c>
      <c r="H7" s="987">
        <v>1139</v>
      </c>
      <c r="I7" s="995">
        <v>1113</v>
      </c>
      <c r="J7" s="994">
        <v>1122</v>
      </c>
      <c r="K7" s="996">
        <v>3980</v>
      </c>
      <c r="L7" s="997">
        <v>3544</v>
      </c>
      <c r="M7" s="998">
        <v>4803</v>
      </c>
      <c r="N7" s="994">
        <v>4426</v>
      </c>
    </row>
    <row r="8" spans="1:14" ht="14.1" customHeight="1" x14ac:dyDescent="0.25">
      <c r="A8" s="999" t="s">
        <v>298</v>
      </c>
      <c r="B8" s="1000">
        <v>1334</v>
      </c>
      <c r="C8" s="1001">
        <v>1296</v>
      </c>
      <c r="D8" s="1002">
        <v>1340</v>
      </c>
      <c r="E8" s="1003">
        <v>1256</v>
      </c>
      <c r="F8" s="1004">
        <v>1215</v>
      </c>
      <c r="G8" s="1004">
        <v>1176</v>
      </c>
      <c r="H8" s="1005">
        <v>1132</v>
      </c>
      <c r="I8" s="1006">
        <v>1108</v>
      </c>
      <c r="J8" s="1004">
        <v>1120</v>
      </c>
      <c r="K8" s="1007">
        <v>3970</v>
      </c>
      <c r="L8" s="1008">
        <v>3523</v>
      </c>
      <c r="M8" s="985">
        <v>4779</v>
      </c>
      <c r="N8" s="1004">
        <v>4409</v>
      </c>
    </row>
    <row r="9" spans="1:14" ht="14.1" customHeight="1" x14ac:dyDescent="0.25">
      <c r="A9" s="999" t="s">
        <v>300</v>
      </c>
      <c r="B9" s="1000">
        <v>4</v>
      </c>
      <c r="C9" s="1001">
        <v>-1</v>
      </c>
      <c r="D9" s="1002">
        <v>7</v>
      </c>
      <c r="E9" s="1003">
        <v>3</v>
      </c>
      <c r="F9" s="1004">
        <v>7</v>
      </c>
      <c r="G9" s="1004">
        <v>7</v>
      </c>
      <c r="H9" s="1005">
        <v>7</v>
      </c>
      <c r="I9" s="1006">
        <v>5</v>
      </c>
      <c r="J9" s="1004">
        <v>2</v>
      </c>
      <c r="K9" s="1007">
        <v>10</v>
      </c>
      <c r="L9" s="1008">
        <v>21</v>
      </c>
      <c r="M9" s="985">
        <v>24</v>
      </c>
      <c r="N9" s="1004">
        <v>17</v>
      </c>
    </row>
    <row r="10" spans="1:14" ht="14.1" customHeight="1" x14ac:dyDescent="0.25">
      <c r="A10" s="1009" t="s">
        <v>301</v>
      </c>
      <c r="B10" s="991">
        <v>1604</v>
      </c>
      <c r="C10" s="992">
        <v>1541</v>
      </c>
      <c r="D10" s="409">
        <v>1579</v>
      </c>
      <c r="E10" s="993">
        <v>1466</v>
      </c>
      <c r="F10" s="994">
        <v>1428</v>
      </c>
      <c r="G10" s="994">
        <v>1371</v>
      </c>
      <c r="H10" s="987">
        <v>1324</v>
      </c>
      <c r="I10" s="995">
        <v>1288</v>
      </c>
      <c r="J10" s="994">
        <v>1291</v>
      </c>
      <c r="K10" s="996">
        <v>4724</v>
      </c>
      <c r="L10" s="997">
        <v>4123</v>
      </c>
      <c r="M10" s="998">
        <v>5589</v>
      </c>
      <c r="N10" s="994">
        <v>5120</v>
      </c>
    </row>
    <row r="11" spans="1:14" ht="14.1" customHeight="1" x14ac:dyDescent="0.25">
      <c r="A11" s="990" t="s">
        <v>388</v>
      </c>
      <c r="B11" s="991">
        <v>4</v>
      </c>
      <c r="C11" s="992">
        <v>2</v>
      </c>
      <c r="D11" s="409">
        <v>4</v>
      </c>
      <c r="E11" s="993">
        <v>5</v>
      </c>
      <c r="F11" s="994">
        <v>10</v>
      </c>
      <c r="G11" s="994">
        <v>7</v>
      </c>
      <c r="H11" s="987">
        <v>5</v>
      </c>
      <c r="I11" s="995">
        <v>5</v>
      </c>
      <c r="J11" s="994">
        <v>2</v>
      </c>
      <c r="K11" s="996">
        <v>10</v>
      </c>
      <c r="L11" s="997">
        <v>22</v>
      </c>
      <c r="M11" s="998">
        <v>27</v>
      </c>
      <c r="N11" s="994">
        <v>10</v>
      </c>
    </row>
    <row r="12" spans="1:14" ht="14.1" customHeight="1" x14ac:dyDescent="0.25">
      <c r="A12" s="990" t="s">
        <v>303</v>
      </c>
      <c r="B12" s="991">
        <v>1030</v>
      </c>
      <c r="C12" s="992">
        <v>997</v>
      </c>
      <c r="D12" s="409">
        <v>1022</v>
      </c>
      <c r="E12" s="993">
        <v>949</v>
      </c>
      <c r="F12" s="994">
        <v>926</v>
      </c>
      <c r="G12" s="994">
        <v>906</v>
      </c>
      <c r="H12" s="987">
        <v>874</v>
      </c>
      <c r="I12" s="995">
        <v>897</v>
      </c>
      <c r="J12" s="994">
        <v>853</v>
      </c>
      <c r="K12" s="996">
        <v>3049</v>
      </c>
      <c r="L12" s="997">
        <v>2706</v>
      </c>
      <c r="M12" s="998">
        <v>3655</v>
      </c>
      <c r="N12" s="994">
        <v>3392</v>
      </c>
    </row>
    <row r="13" spans="1:14" ht="14.1" customHeight="1" x14ac:dyDescent="0.25">
      <c r="A13" s="1009" t="s">
        <v>278</v>
      </c>
      <c r="B13" s="991">
        <v>570</v>
      </c>
      <c r="C13" s="992">
        <v>542</v>
      </c>
      <c r="D13" s="409">
        <v>553</v>
      </c>
      <c r="E13" s="993">
        <v>512</v>
      </c>
      <c r="F13" s="994">
        <v>492</v>
      </c>
      <c r="G13" s="994">
        <v>458</v>
      </c>
      <c r="H13" s="987">
        <v>445</v>
      </c>
      <c r="I13" s="995">
        <v>386</v>
      </c>
      <c r="J13" s="994">
        <v>436</v>
      </c>
      <c r="K13" s="996">
        <v>1665</v>
      </c>
      <c r="L13" s="997">
        <v>1395</v>
      </c>
      <c r="M13" s="998">
        <v>1907</v>
      </c>
      <c r="N13" s="994">
        <v>1718</v>
      </c>
    </row>
    <row r="14" spans="1:14" ht="14.1" customHeight="1" x14ac:dyDescent="0.25">
      <c r="A14" s="990" t="s">
        <v>304</v>
      </c>
      <c r="B14" s="991">
        <v>150</v>
      </c>
      <c r="C14" s="992">
        <v>141</v>
      </c>
      <c r="D14" s="409">
        <v>144</v>
      </c>
      <c r="E14" s="993">
        <v>130</v>
      </c>
      <c r="F14" s="994">
        <v>122</v>
      </c>
      <c r="G14" s="994">
        <v>115</v>
      </c>
      <c r="H14" s="987">
        <v>112</v>
      </c>
      <c r="I14" s="995">
        <v>98</v>
      </c>
      <c r="J14" s="994">
        <v>108</v>
      </c>
      <c r="K14" s="996">
        <v>435</v>
      </c>
      <c r="L14" s="997">
        <v>349</v>
      </c>
      <c r="M14" s="998">
        <v>479</v>
      </c>
      <c r="N14" s="994">
        <v>436</v>
      </c>
    </row>
    <row r="15" spans="1:14" ht="14.1" customHeight="1" x14ac:dyDescent="0.25">
      <c r="A15" s="1009" t="s">
        <v>305</v>
      </c>
      <c r="B15" s="991">
        <v>420</v>
      </c>
      <c r="C15" s="992">
        <v>401</v>
      </c>
      <c r="D15" s="409">
        <v>409</v>
      </c>
      <c r="E15" s="993">
        <v>382</v>
      </c>
      <c r="F15" s="994">
        <v>370</v>
      </c>
      <c r="G15" s="994">
        <v>343</v>
      </c>
      <c r="H15" s="987">
        <v>333</v>
      </c>
      <c r="I15" s="995">
        <v>288</v>
      </c>
      <c r="J15" s="994">
        <v>328</v>
      </c>
      <c r="K15" s="996">
        <v>1230</v>
      </c>
      <c r="L15" s="997">
        <v>1046</v>
      </c>
      <c r="M15" s="998">
        <v>1428</v>
      </c>
      <c r="N15" s="994">
        <v>1282</v>
      </c>
    </row>
    <row r="16" spans="1:14" ht="14.1" customHeight="1" x14ac:dyDescent="0.25">
      <c r="A16" s="990" t="s">
        <v>306</v>
      </c>
      <c r="B16" s="991">
        <v>7</v>
      </c>
      <c r="C16" s="992">
        <v>6</v>
      </c>
      <c r="D16" s="409">
        <v>7</v>
      </c>
      <c r="E16" s="993">
        <v>6</v>
      </c>
      <c r="F16" s="994">
        <v>7</v>
      </c>
      <c r="G16" s="994">
        <v>7</v>
      </c>
      <c r="H16" s="987">
        <v>6</v>
      </c>
      <c r="I16" s="995">
        <v>6</v>
      </c>
      <c r="J16" s="994">
        <v>7</v>
      </c>
      <c r="K16" s="996">
        <v>20</v>
      </c>
      <c r="L16" s="997">
        <v>20</v>
      </c>
      <c r="M16" s="998">
        <v>26</v>
      </c>
      <c r="N16" s="994">
        <v>26</v>
      </c>
    </row>
    <row r="17" spans="1:14" ht="14.1" customHeight="1" x14ac:dyDescent="0.25">
      <c r="A17" s="1009" t="s">
        <v>282</v>
      </c>
      <c r="B17" s="991">
        <v>427</v>
      </c>
      <c r="C17" s="992">
        <v>407</v>
      </c>
      <c r="D17" s="409">
        <v>416</v>
      </c>
      <c r="E17" s="993">
        <v>388</v>
      </c>
      <c r="F17" s="994">
        <v>377</v>
      </c>
      <c r="G17" s="994">
        <v>350</v>
      </c>
      <c r="H17" s="987">
        <v>339</v>
      </c>
      <c r="I17" s="995">
        <v>294</v>
      </c>
      <c r="J17" s="994">
        <v>335</v>
      </c>
      <c r="K17" s="996">
        <v>1250</v>
      </c>
      <c r="L17" s="997">
        <v>1066</v>
      </c>
      <c r="M17" s="998">
        <v>1454</v>
      </c>
      <c r="N17" s="994">
        <v>1308</v>
      </c>
    </row>
    <row r="18" spans="1:14" ht="14.1" customHeight="1" x14ac:dyDescent="0.25">
      <c r="A18" s="1009"/>
      <c r="B18" s="1010"/>
      <c r="C18" s="1011"/>
      <c r="D18" s="418"/>
      <c r="E18" s="1012"/>
      <c r="F18" s="1013"/>
      <c r="G18" s="1013"/>
      <c r="H18" s="1014"/>
      <c r="I18" s="1015"/>
      <c r="J18" s="1013"/>
      <c r="K18" s="1016"/>
      <c r="L18" s="1017"/>
      <c r="M18" s="1018"/>
      <c r="N18" s="1013"/>
    </row>
    <row r="19" spans="1:14" ht="14.1" customHeight="1" x14ac:dyDescent="0.25">
      <c r="A19" s="1009" t="s">
        <v>348</v>
      </c>
      <c r="B19" s="991">
        <v>3</v>
      </c>
      <c r="C19" s="992">
        <v>2</v>
      </c>
      <c r="D19" s="409">
        <v>2</v>
      </c>
      <c r="E19" s="1019">
        <v>2</v>
      </c>
      <c r="F19" s="992">
        <v>3</v>
      </c>
      <c r="G19" s="992">
        <v>2</v>
      </c>
      <c r="H19" s="409">
        <v>3</v>
      </c>
      <c r="I19" s="1020">
        <v>2</v>
      </c>
      <c r="J19" s="992">
        <v>3</v>
      </c>
      <c r="K19" s="1021">
        <v>7</v>
      </c>
      <c r="L19" s="1022">
        <v>8</v>
      </c>
      <c r="M19" s="1023">
        <v>10</v>
      </c>
      <c r="N19" s="992">
        <v>9</v>
      </c>
    </row>
    <row r="20" spans="1:14" ht="14.1" customHeight="1" x14ac:dyDescent="0.25">
      <c r="A20" s="1009" t="s">
        <v>349</v>
      </c>
      <c r="B20" s="991">
        <v>417</v>
      </c>
      <c r="C20" s="992">
        <v>399</v>
      </c>
      <c r="D20" s="409">
        <v>407</v>
      </c>
      <c r="E20" s="993">
        <v>380</v>
      </c>
      <c r="F20" s="994">
        <v>367</v>
      </c>
      <c r="G20" s="994">
        <v>341</v>
      </c>
      <c r="H20" s="987">
        <v>330</v>
      </c>
      <c r="I20" s="995">
        <v>286</v>
      </c>
      <c r="J20" s="994">
        <v>325</v>
      </c>
      <c r="K20" s="996">
        <v>1223</v>
      </c>
      <c r="L20" s="997">
        <v>1038</v>
      </c>
      <c r="M20" s="998">
        <v>1418</v>
      </c>
      <c r="N20" s="994">
        <v>1273</v>
      </c>
    </row>
    <row r="21" spans="1:14" ht="14.1" customHeight="1" x14ac:dyDescent="0.25">
      <c r="A21" s="1009"/>
      <c r="B21" s="991"/>
      <c r="C21" s="992"/>
      <c r="D21" s="409"/>
      <c r="E21" s="993"/>
      <c r="F21" s="994"/>
      <c r="G21" s="994"/>
      <c r="H21" s="987"/>
      <c r="I21" s="995"/>
      <c r="J21" s="994"/>
      <c r="K21" s="996"/>
      <c r="L21" s="997"/>
      <c r="M21" s="998"/>
      <c r="N21" s="994"/>
    </row>
    <row r="22" spans="1:14" ht="14.1" customHeight="1" x14ac:dyDescent="0.25">
      <c r="A22" s="1024" t="s">
        <v>389</v>
      </c>
      <c r="B22" s="991"/>
      <c r="C22" s="992"/>
      <c r="D22" s="409"/>
      <c r="E22" s="993"/>
      <c r="F22" s="994"/>
      <c r="G22" s="994"/>
      <c r="H22" s="987"/>
      <c r="I22" s="995"/>
      <c r="J22" s="994"/>
      <c r="K22" s="996"/>
      <c r="L22" s="997"/>
      <c r="M22" s="998"/>
      <c r="N22" s="994"/>
    </row>
    <row r="23" spans="1:14" ht="14.1" customHeight="1" x14ac:dyDescent="0.25">
      <c r="A23" s="1025" t="s">
        <v>390</v>
      </c>
      <c r="B23" s="991">
        <v>354</v>
      </c>
      <c r="C23" s="992">
        <v>343</v>
      </c>
      <c r="D23" s="1026">
        <v>353</v>
      </c>
      <c r="E23" s="1019">
        <v>332</v>
      </c>
      <c r="F23" s="992">
        <v>315</v>
      </c>
      <c r="G23" s="992">
        <v>288</v>
      </c>
      <c r="H23" s="409">
        <v>277</v>
      </c>
      <c r="I23" s="1020">
        <v>249</v>
      </c>
      <c r="J23" s="992">
        <v>280</v>
      </c>
      <c r="K23" s="1027">
        <v>1050</v>
      </c>
      <c r="L23" s="1028">
        <v>880</v>
      </c>
      <c r="M23" s="1023">
        <v>1212</v>
      </c>
      <c r="N23" s="992">
        <v>1107</v>
      </c>
    </row>
    <row r="24" spans="1:14" ht="14.1" customHeight="1" x14ac:dyDescent="0.25">
      <c r="A24" s="1025" t="s">
        <v>391</v>
      </c>
      <c r="B24" s="991">
        <v>63</v>
      </c>
      <c r="C24" s="992">
        <v>56</v>
      </c>
      <c r="D24" s="1026">
        <v>54</v>
      </c>
      <c r="E24" s="1019">
        <v>48</v>
      </c>
      <c r="F24" s="992">
        <v>52</v>
      </c>
      <c r="G24" s="992">
        <v>53</v>
      </c>
      <c r="H24" s="409">
        <v>53</v>
      </c>
      <c r="I24" s="1020">
        <v>37</v>
      </c>
      <c r="J24" s="992">
        <v>45</v>
      </c>
      <c r="K24" s="1029">
        <v>173</v>
      </c>
      <c r="L24" s="1028">
        <v>158</v>
      </c>
      <c r="M24" s="1023">
        <v>206</v>
      </c>
      <c r="N24" s="992">
        <v>166</v>
      </c>
    </row>
    <row r="25" spans="1:14" ht="14.1" customHeight="1" x14ac:dyDescent="0.25">
      <c r="A25" s="1030" t="s">
        <v>392</v>
      </c>
      <c r="B25" s="991">
        <v>55</v>
      </c>
      <c r="C25" s="992">
        <v>47</v>
      </c>
      <c r="D25" s="1026">
        <v>46</v>
      </c>
      <c r="E25" s="1019">
        <v>42</v>
      </c>
      <c r="F25" s="992">
        <v>46</v>
      </c>
      <c r="G25" s="992">
        <v>44</v>
      </c>
      <c r="H25" s="409">
        <v>45</v>
      </c>
      <c r="I25" s="1020">
        <v>30</v>
      </c>
      <c r="J25" s="992">
        <v>38</v>
      </c>
      <c r="K25" s="1029">
        <v>148</v>
      </c>
      <c r="L25" s="1028">
        <v>135</v>
      </c>
      <c r="M25" s="1023">
        <v>177</v>
      </c>
      <c r="N25" s="992">
        <v>134</v>
      </c>
    </row>
    <row r="26" spans="1:14" ht="14.1" customHeight="1" x14ac:dyDescent="0.25">
      <c r="A26" s="1030" t="s">
        <v>393</v>
      </c>
      <c r="B26" s="991">
        <v>8</v>
      </c>
      <c r="C26" s="992">
        <v>9</v>
      </c>
      <c r="D26" s="1026">
        <v>8</v>
      </c>
      <c r="E26" s="1019">
        <v>6</v>
      </c>
      <c r="F26" s="992">
        <v>6</v>
      </c>
      <c r="G26" s="992">
        <v>9</v>
      </c>
      <c r="H26" s="409">
        <v>8</v>
      </c>
      <c r="I26" s="1020">
        <v>7</v>
      </c>
      <c r="J26" s="992">
        <v>7</v>
      </c>
      <c r="K26" s="1029">
        <v>25</v>
      </c>
      <c r="L26" s="1028">
        <v>23</v>
      </c>
      <c r="M26" s="1023">
        <v>29</v>
      </c>
      <c r="N26" s="992">
        <v>32</v>
      </c>
    </row>
    <row r="27" spans="1:14" ht="14.1" customHeight="1" x14ac:dyDescent="0.25">
      <c r="A27" s="1024" t="s">
        <v>394</v>
      </c>
      <c r="B27" s="991">
        <v>417</v>
      </c>
      <c r="C27" s="992">
        <v>399</v>
      </c>
      <c r="D27" s="1026">
        <v>407</v>
      </c>
      <c r="E27" s="1019">
        <v>380</v>
      </c>
      <c r="F27" s="992">
        <v>367</v>
      </c>
      <c r="G27" s="992">
        <v>341</v>
      </c>
      <c r="H27" s="409">
        <v>330</v>
      </c>
      <c r="I27" s="1020">
        <v>286</v>
      </c>
      <c r="J27" s="992">
        <v>325</v>
      </c>
      <c r="K27" s="1031">
        <v>1223</v>
      </c>
      <c r="L27" s="1028">
        <v>1038</v>
      </c>
      <c r="M27" s="1023">
        <v>1418</v>
      </c>
      <c r="N27" s="992">
        <v>1273</v>
      </c>
    </row>
    <row r="28" spans="1:14" ht="14.1" customHeight="1" x14ac:dyDescent="0.25">
      <c r="A28" s="1032"/>
      <c r="B28" s="1010"/>
      <c r="C28" s="1011"/>
      <c r="D28" s="418"/>
      <c r="E28" s="1012"/>
      <c r="F28" s="1013"/>
      <c r="G28" s="1013"/>
      <c r="H28" s="1014"/>
      <c r="I28" s="1015"/>
      <c r="J28" s="1013"/>
      <c r="K28" s="1016"/>
      <c r="L28" s="1017"/>
      <c r="M28" s="1018"/>
      <c r="N28" s="1013"/>
    </row>
    <row r="29" spans="1:14" ht="14.1" customHeight="1" x14ac:dyDescent="0.25">
      <c r="A29" s="1009" t="s">
        <v>395</v>
      </c>
      <c r="B29" s="991">
        <v>3</v>
      </c>
      <c r="C29" s="992">
        <v>2</v>
      </c>
      <c r="D29" s="409">
        <v>2</v>
      </c>
      <c r="E29" s="1019">
        <v>2</v>
      </c>
      <c r="F29" s="992">
        <v>3</v>
      </c>
      <c r="G29" s="992">
        <v>2</v>
      </c>
      <c r="H29" s="409">
        <v>3</v>
      </c>
      <c r="I29" s="1020">
        <v>2</v>
      </c>
      <c r="J29" s="992">
        <v>3</v>
      </c>
      <c r="K29" s="1021">
        <v>7</v>
      </c>
      <c r="L29" s="1022">
        <v>8</v>
      </c>
      <c r="M29" s="1023">
        <v>10</v>
      </c>
      <c r="N29" s="992">
        <v>9</v>
      </c>
    </row>
    <row r="30" spans="1:14" ht="14.1" customHeight="1" x14ac:dyDescent="0.25">
      <c r="A30" s="1009" t="s">
        <v>396</v>
      </c>
      <c r="B30" s="991">
        <v>424</v>
      </c>
      <c r="C30" s="992">
        <v>405</v>
      </c>
      <c r="D30" s="409">
        <v>414</v>
      </c>
      <c r="E30" s="993">
        <v>386</v>
      </c>
      <c r="F30" s="994">
        <v>374</v>
      </c>
      <c r="G30" s="994">
        <v>348</v>
      </c>
      <c r="H30" s="987">
        <v>336</v>
      </c>
      <c r="I30" s="995">
        <v>292</v>
      </c>
      <c r="J30" s="994">
        <v>332</v>
      </c>
      <c r="K30" s="996">
        <v>1243</v>
      </c>
      <c r="L30" s="997">
        <v>1058</v>
      </c>
      <c r="M30" s="998">
        <v>1444</v>
      </c>
      <c r="N30" s="994">
        <v>1299</v>
      </c>
    </row>
    <row r="31" spans="1:14" ht="14.1" customHeight="1" x14ac:dyDescent="0.25">
      <c r="A31" s="1033"/>
      <c r="B31" s="1010"/>
      <c r="C31" s="1011"/>
      <c r="D31" s="418"/>
      <c r="E31" s="1012"/>
      <c r="F31" s="1013"/>
      <c r="G31" s="1013"/>
      <c r="H31" s="1014"/>
      <c r="I31" s="1015"/>
      <c r="J31" s="1013"/>
      <c r="K31" s="1016"/>
      <c r="L31" s="1017"/>
      <c r="M31" s="1018"/>
      <c r="N31" s="1013"/>
    </row>
    <row r="32" spans="1:14" ht="14.1" customHeight="1" x14ac:dyDescent="0.25">
      <c r="A32" s="1009" t="s">
        <v>397</v>
      </c>
      <c r="B32" s="1010"/>
      <c r="C32" s="1011"/>
      <c r="D32" s="418"/>
      <c r="E32" s="1012"/>
      <c r="F32" s="1013"/>
      <c r="G32" s="1013"/>
      <c r="H32" s="1014"/>
      <c r="I32" s="1015"/>
      <c r="J32" s="1013"/>
      <c r="K32" s="1034"/>
      <c r="L32" s="1035"/>
      <c r="M32" s="1036"/>
      <c r="N32" s="1013"/>
    </row>
    <row r="33" spans="1:14" ht="14.1" customHeight="1" x14ac:dyDescent="0.25">
      <c r="A33" s="990" t="s">
        <v>390</v>
      </c>
      <c r="B33" s="991">
        <v>360</v>
      </c>
      <c r="C33" s="992">
        <v>348</v>
      </c>
      <c r="D33" s="409">
        <v>360</v>
      </c>
      <c r="E33" s="1019">
        <v>337</v>
      </c>
      <c r="F33" s="992">
        <v>321</v>
      </c>
      <c r="G33" s="992">
        <v>295</v>
      </c>
      <c r="H33" s="409">
        <v>283</v>
      </c>
      <c r="I33" s="1020">
        <v>255</v>
      </c>
      <c r="J33" s="992">
        <v>287</v>
      </c>
      <c r="K33" s="1021">
        <v>1068</v>
      </c>
      <c r="L33" s="1022">
        <v>899</v>
      </c>
      <c r="M33" s="1023">
        <v>1236</v>
      </c>
      <c r="N33" s="994">
        <v>1132</v>
      </c>
    </row>
    <row r="34" spans="1:14" ht="14.1" customHeight="1" x14ac:dyDescent="0.25">
      <c r="A34" s="990" t="s">
        <v>391</v>
      </c>
      <c r="B34" s="991">
        <v>64</v>
      </c>
      <c r="C34" s="992">
        <v>57</v>
      </c>
      <c r="D34" s="409">
        <v>54</v>
      </c>
      <c r="E34" s="993">
        <v>49</v>
      </c>
      <c r="F34" s="994">
        <v>53</v>
      </c>
      <c r="G34" s="994">
        <v>53</v>
      </c>
      <c r="H34" s="987">
        <v>53</v>
      </c>
      <c r="I34" s="995">
        <v>37</v>
      </c>
      <c r="J34" s="994">
        <v>45</v>
      </c>
      <c r="K34" s="1021">
        <v>175</v>
      </c>
      <c r="L34" s="1022">
        <v>159</v>
      </c>
      <c r="M34" s="1023">
        <v>208</v>
      </c>
      <c r="N34" s="994">
        <v>167</v>
      </c>
    </row>
    <row r="35" spans="1:14" ht="14.1" customHeight="1" x14ac:dyDescent="0.25">
      <c r="A35" s="1033" t="s">
        <v>392</v>
      </c>
      <c r="B35" s="991">
        <v>55</v>
      </c>
      <c r="C35" s="992">
        <v>47</v>
      </c>
      <c r="D35" s="409">
        <v>46</v>
      </c>
      <c r="E35" s="1037">
        <v>43</v>
      </c>
      <c r="F35" s="1038">
        <v>45</v>
      </c>
      <c r="G35" s="1038">
        <v>44</v>
      </c>
      <c r="H35" s="987">
        <v>45</v>
      </c>
      <c r="I35" s="1039">
        <v>30</v>
      </c>
      <c r="J35" s="1038">
        <v>38</v>
      </c>
      <c r="K35" s="1021">
        <v>148</v>
      </c>
      <c r="L35" s="1022">
        <v>134</v>
      </c>
      <c r="M35" s="1023">
        <v>177</v>
      </c>
      <c r="N35" s="994">
        <v>134</v>
      </c>
    </row>
    <row r="36" spans="1:14" ht="14.1" customHeight="1" x14ac:dyDescent="0.25">
      <c r="A36" s="1033" t="s">
        <v>393</v>
      </c>
      <c r="B36" s="991">
        <v>9</v>
      </c>
      <c r="C36" s="992">
        <v>10</v>
      </c>
      <c r="D36" s="409">
        <v>8</v>
      </c>
      <c r="E36" s="1037">
        <v>6</v>
      </c>
      <c r="F36" s="1038">
        <v>8</v>
      </c>
      <c r="G36" s="1038">
        <v>9</v>
      </c>
      <c r="H36" s="987">
        <v>8</v>
      </c>
      <c r="I36" s="1039">
        <v>7</v>
      </c>
      <c r="J36" s="1038">
        <v>7</v>
      </c>
      <c r="K36" s="1021">
        <v>27</v>
      </c>
      <c r="L36" s="1022">
        <v>25</v>
      </c>
      <c r="M36" s="1023">
        <v>31</v>
      </c>
      <c r="N36" s="994">
        <v>33</v>
      </c>
    </row>
    <row r="37" spans="1:14" ht="14.1" customHeight="1" x14ac:dyDescent="0.25">
      <c r="A37" s="1009" t="s">
        <v>398</v>
      </c>
      <c r="B37" s="991">
        <v>424</v>
      </c>
      <c r="C37" s="992">
        <v>405</v>
      </c>
      <c r="D37" s="409">
        <v>414</v>
      </c>
      <c r="E37" s="993">
        <v>386</v>
      </c>
      <c r="F37" s="994">
        <v>374</v>
      </c>
      <c r="G37" s="994">
        <v>348</v>
      </c>
      <c r="H37" s="987">
        <v>336</v>
      </c>
      <c r="I37" s="995">
        <v>292</v>
      </c>
      <c r="J37" s="994">
        <v>332</v>
      </c>
      <c r="K37" s="1021">
        <v>1243</v>
      </c>
      <c r="L37" s="1022">
        <v>1058</v>
      </c>
      <c r="M37" s="1023">
        <v>1444</v>
      </c>
      <c r="N37" s="994">
        <v>1299</v>
      </c>
    </row>
    <row r="38" spans="1:14" ht="14.1" customHeight="1" x14ac:dyDescent="0.25">
      <c r="A38" s="990"/>
      <c r="B38" s="1010"/>
      <c r="C38" s="1011"/>
      <c r="D38" s="418"/>
      <c r="E38" s="1012"/>
      <c r="F38" s="1013"/>
      <c r="G38" s="1013"/>
      <c r="H38" s="1014"/>
      <c r="I38" s="1015"/>
      <c r="J38" s="1013"/>
      <c r="K38" s="1034"/>
      <c r="L38" s="1035"/>
      <c r="M38" s="1018"/>
      <c r="N38" s="1013"/>
    </row>
    <row r="39" spans="1:14" ht="14.1" customHeight="1" x14ac:dyDescent="0.25">
      <c r="A39" s="1009" t="s">
        <v>399</v>
      </c>
      <c r="B39" s="1010"/>
      <c r="C39" s="1011"/>
      <c r="D39" s="418"/>
      <c r="E39" s="1012"/>
      <c r="F39" s="1013"/>
      <c r="G39" s="1013"/>
      <c r="H39" s="1014"/>
      <c r="I39" s="1015"/>
      <c r="J39" s="1013"/>
      <c r="K39" s="1034"/>
      <c r="L39" s="1035"/>
      <c r="M39" s="1018"/>
      <c r="N39" s="1013"/>
    </row>
    <row r="40" spans="1:14" ht="14.1" customHeight="1" x14ac:dyDescent="0.25">
      <c r="A40" s="990" t="s">
        <v>390</v>
      </c>
      <c r="B40" s="991">
        <v>1388</v>
      </c>
      <c r="C40" s="992">
        <v>1333</v>
      </c>
      <c r="D40" s="409">
        <v>1371</v>
      </c>
      <c r="E40" s="1019">
        <v>1278</v>
      </c>
      <c r="F40" s="992">
        <v>1234</v>
      </c>
      <c r="G40" s="992">
        <v>1179</v>
      </c>
      <c r="H40" s="409">
        <v>1138</v>
      </c>
      <c r="I40" s="1020">
        <v>1120</v>
      </c>
      <c r="J40" s="992">
        <v>1121</v>
      </c>
      <c r="K40" s="1021">
        <v>4092</v>
      </c>
      <c r="L40" s="1022">
        <v>3551</v>
      </c>
      <c r="M40" s="1023">
        <v>4829</v>
      </c>
      <c r="N40" s="994">
        <v>4456</v>
      </c>
    </row>
    <row r="41" spans="1:14" ht="14.1" customHeight="1" x14ac:dyDescent="0.25">
      <c r="A41" s="990" t="s">
        <v>391</v>
      </c>
      <c r="B41" s="991">
        <v>216</v>
      </c>
      <c r="C41" s="992">
        <v>208</v>
      </c>
      <c r="D41" s="409">
        <v>208</v>
      </c>
      <c r="E41" s="1019">
        <v>188</v>
      </c>
      <c r="F41" s="992">
        <v>194</v>
      </c>
      <c r="G41" s="992">
        <v>192</v>
      </c>
      <c r="H41" s="409">
        <v>186</v>
      </c>
      <c r="I41" s="1020">
        <v>168</v>
      </c>
      <c r="J41" s="992">
        <v>170</v>
      </c>
      <c r="K41" s="1021">
        <v>632</v>
      </c>
      <c r="L41" s="1022">
        <v>572</v>
      </c>
      <c r="M41" s="1023">
        <v>760</v>
      </c>
      <c r="N41" s="994">
        <v>664</v>
      </c>
    </row>
    <row r="42" spans="1:14" ht="14.1" customHeight="1" x14ac:dyDescent="0.25">
      <c r="A42" s="1033" t="s">
        <v>392</v>
      </c>
      <c r="B42" s="991">
        <v>190</v>
      </c>
      <c r="C42" s="992">
        <v>182</v>
      </c>
      <c r="D42" s="409">
        <v>182</v>
      </c>
      <c r="E42" s="1019">
        <v>165</v>
      </c>
      <c r="F42" s="1038">
        <v>169</v>
      </c>
      <c r="G42" s="994">
        <v>166</v>
      </c>
      <c r="H42" s="987">
        <v>161</v>
      </c>
      <c r="I42" s="995">
        <v>145</v>
      </c>
      <c r="J42" s="994">
        <v>145</v>
      </c>
      <c r="K42" s="1021">
        <v>554</v>
      </c>
      <c r="L42" s="1022">
        <v>496</v>
      </c>
      <c r="M42" s="1023">
        <v>661</v>
      </c>
      <c r="N42" s="994">
        <v>564</v>
      </c>
    </row>
    <row r="43" spans="1:14" ht="14.1" customHeight="1" x14ac:dyDescent="0.25">
      <c r="A43" s="1033" t="s">
        <v>393</v>
      </c>
      <c r="B43" s="991">
        <v>26</v>
      </c>
      <c r="C43" s="992">
        <v>26</v>
      </c>
      <c r="D43" s="409">
        <v>26</v>
      </c>
      <c r="E43" s="993">
        <v>23</v>
      </c>
      <c r="F43" s="1038">
        <v>25</v>
      </c>
      <c r="G43" s="994">
        <v>26</v>
      </c>
      <c r="H43" s="987">
        <v>25</v>
      </c>
      <c r="I43" s="995">
        <v>23</v>
      </c>
      <c r="J43" s="994">
        <v>25</v>
      </c>
      <c r="K43" s="1021">
        <v>78</v>
      </c>
      <c r="L43" s="1022">
        <v>76</v>
      </c>
      <c r="M43" s="1023">
        <v>99</v>
      </c>
      <c r="N43" s="994">
        <v>100</v>
      </c>
    </row>
    <row r="44" spans="1:14" ht="14.1" customHeight="1" x14ac:dyDescent="0.25">
      <c r="A44" s="1040" t="s">
        <v>400</v>
      </c>
      <c r="B44" s="1041">
        <v>1604</v>
      </c>
      <c r="C44" s="1042">
        <v>1541</v>
      </c>
      <c r="D44" s="1043">
        <v>1579</v>
      </c>
      <c r="E44" s="1044">
        <v>1466</v>
      </c>
      <c r="F44" s="1045">
        <v>1428</v>
      </c>
      <c r="G44" s="1045">
        <v>1371</v>
      </c>
      <c r="H44" s="1046">
        <v>1324</v>
      </c>
      <c r="I44" s="1047">
        <v>1288</v>
      </c>
      <c r="J44" s="1045">
        <v>1291</v>
      </c>
      <c r="K44" s="1048">
        <v>4724</v>
      </c>
      <c r="L44" s="1049">
        <v>4123</v>
      </c>
      <c r="M44" s="1050">
        <v>5589</v>
      </c>
      <c r="N44" s="1045">
        <v>5120</v>
      </c>
    </row>
    <row r="45" spans="1:14" ht="14.1" customHeight="1" x14ac:dyDescent="0.25">
      <c r="A45" s="1051" t="s">
        <v>309</v>
      </c>
      <c r="B45" s="1052"/>
      <c r="C45" s="1053"/>
      <c r="D45" s="1054"/>
      <c r="E45" s="1055"/>
      <c r="F45" s="1053"/>
      <c r="G45" s="1053"/>
      <c r="H45" s="1054"/>
      <c r="I45" s="1056"/>
      <c r="J45" s="1053"/>
      <c r="K45" s="1057"/>
      <c r="L45" s="1058"/>
      <c r="M45" s="1059"/>
      <c r="N45" s="1053"/>
    </row>
    <row r="46" spans="1:14" ht="14.1" customHeight="1" x14ac:dyDescent="0.25">
      <c r="A46" s="1060" t="s">
        <v>312</v>
      </c>
      <c r="B46" s="1061"/>
      <c r="C46" s="1062"/>
      <c r="D46" s="1063"/>
      <c r="E46" s="1064"/>
      <c r="F46" s="1062"/>
      <c r="G46" s="1062"/>
      <c r="H46" s="1063"/>
      <c r="I46" s="1065"/>
      <c r="J46" s="1062"/>
      <c r="K46" s="1066"/>
      <c r="L46" s="1067"/>
      <c r="M46" s="1068"/>
      <c r="N46" s="1069"/>
    </row>
    <row r="47" spans="1:14" ht="14.1" customHeight="1" x14ac:dyDescent="0.25">
      <c r="A47" s="1033" t="s">
        <v>313</v>
      </c>
      <c r="B47" s="1070">
        <v>15.7</v>
      </c>
      <c r="C47" s="1071">
        <v>15.8</v>
      </c>
      <c r="D47" s="1072">
        <v>15.8</v>
      </c>
      <c r="E47" s="1073">
        <v>14.8</v>
      </c>
      <c r="F47" s="1071">
        <v>14.3</v>
      </c>
      <c r="G47" s="1071">
        <v>13.6</v>
      </c>
      <c r="H47" s="1072">
        <v>12.9</v>
      </c>
      <c r="I47" s="1074">
        <v>11.6</v>
      </c>
      <c r="J47" s="1075">
        <v>13.2</v>
      </c>
      <c r="K47" s="1076">
        <v>15.8</v>
      </c>
      <c r="L47" s="1077">
        <v>13.6</v>
      </c>
      <c r="M47" s="1078">
        <v>13.9</v>
      </c>
      <c r="N47" s="1075">
        <v>13</v>
      </c>
    </row>
    <row r="48" spans="1:14" ht="14.1" customHeight="1" x14ac:dyDescent="0.25">
      <c r="A48" s="1033" t="s">
        <v>316</v>
      </c>
      <c r="B48" s="1070">
        <v>64.2</v>
      </c>
      <c r="C48" s="1071">
        <v>64.7</v>
      </c>
      <c r="D48" s="1072">
        <v>64.7</v>
      </c>
      <c r="E48" s="1073">
        <v>64.7</v>
      </c>
      <c r="F48" s="1071">
        <v>64.8</v>
      </c>
      <c r="G48" s="1071">
        <v>66.099999999999994</v>
      </c>
      <c r="H48" s="1072">
        <v>66</v>
      </c>
      <c r="I48" s="1074">
        <v>69.599999999999994</v>
      </c>
      <c r="J48" s="1075">
        <v>66</v>
      </c>
      <c r="K48" s="1076">
        <v>64.5</v>
      </c>
      <c r="L48" s="1077">
        <v>65.599999999999994</v>
      </c>
      <c r="M48" s="1078">
        <v>65.400000000000006</v>
      </c>
      <c r="N48" s="1075">
        <v>66.3</v>
      </c>
    </row>
    <row r="49" spans="1:14" ht="14.1" customHeight="1" x14ac:dyDescent="0.25">
      <c r="A49" s="1009" t="s">
        <v>317</v>
      </c>
      <c r="B49" s="1079"/>
      <c r="C49" s="1080"/>
      <c r="D49" s="496"/>
      <c r="E49" s="1081"/>
      <c r="F49" s="1080"/>
      <c r="G49" s="1080"/>
      <c r="H49" s="496"/>
      <c r="I49" s="1082"/>
      <c r="J49" s="1083"/>
      <c r="K49" s="1076"/>
      <c r="L49" s="1077"/>
      <c r="M49" s="1078"/>
      <c r="N49" s="1075"/>
    </row>
    <row r="50" spans="1:14" ht="14.1" customHeight="1" x14ac:dyDescent="0.25">
      <c r="A50" s="1033" t="s">
        <v>318</v>
      </c>
      <c r="B50" s="1070">
        <v>15.9</v>
      </c>
      <c r="C50" s="1071">
        <v>16.100000000000001</v>
      </c>
      <c r="D50" s="1072">
        <v>16.100000000000001</v>
      </c>
      <c r="E50" s="1073">
        <v>15</v>
      </c>
      <c r="F50" s="1071">
        <v>14.6</v>
      </c>
      <c r="G50" s="1071">
        <v>13.8</v>
      </c>
      <c r="H50" s="1072">
        <v>13.1</v>
      </c>
      <c r="I50" s="1074">
        <v>11.8</v>
      </c>
      <c r="J50" s="1075">
        <v>13.5</v>
      </c>
      <c r="K50" s="1076">
        <v>16.100000000000001</v>
      </c>
      <c r="L50" s="1077">
        <v>13.8</v>
      </c>
      <c r="M50" s="1078">
        <v>14.1</v>
      </c>
      <c r="N50" s="1075">
        <v>13.3</v>
      </c>
    </row>
    <row r="51" spans="1:14" ht="14.1" customHeight="1" x14ac:dyDescent="0.25">
      <c r="A51" s="1084" t="s">
        <v>319</v>
      </c>
      <c r="B51" s="1085">
        <v>63.6</v>
      </c>
      <c r="C51" s="1086">
        <v>64.099999999999994</v>
      </c>
      <c r="D51" s="1087">
        <v>64.2</v>
      </c>
      <c r="E51" s="1088">
        <v>64.099999999999994</v>
      </c>
      <c r="F51" s="1086">
        <v>64.2</v>
      </c>
      <c r="G51" s="1086">
        <v>65.5</v>
      </c>
      <c r="H51" s="1087">
        <v>65.3</v>
      </c>
      <c r="I51" s="1089">
        <v>68.900000000000006</v>
      </c>
      <c r="J51" s="1090">
        <v>65.3</v>
      </c>
      <c r="K51" s="1091">
        <v>64</v>
      </c>
      <c r="L51" s="1092">
        <v>65</v>
      </c>
      <c r="M51" s="1093">
        <v>64.8</v>
      </c>
      <c r="N51" s="1090">
        <v>65.5</v>
      </c>
    </row>
    <row r="52" spans="1:14" ht="14.1" customHeight="1" x14ac:dyDescent="0.25">
      <c r="A52" s="1051" t="s">
        <v>401</v>
      </c>
      <c r="B52" s="1052"/>
      <c r="C52" s="1053"/>
      <c r="D52" s="1054"/>
      <c r="E52" s="1055"/>
      <c r="F52" s="1053"/>
      <c r="G52" s="1053"/>
      <c r="H52" s="1054"/>
      <c r="I52" s="1056"/>
      <c r="J52" s="1053"/>
      <c r="K52" s="1094"/>
      <c r="L52" s="1095"/>
      <c r="M52" s="1096"/>
      <c r="N52" s="1097"/>
    </row>
    <row r="53" spans="1:14" ht="14.1" customHeight="1" x14ac:dyDescent="0.25">
      <c r="A53" s="1098" t="s">
        <v>325</v>
      </c>
      <c r="B53" s="1099">
        <v>28.5</v>
      </c>
      <c r="C53" s="1100">
        <v>27.6</v>
      </c>
      <c r="D53" s="1101">
        <v>27</v>
      </c>
      <c r="E53" s="1102">
        <v>26</v>
      </c>
      <c r="F53" s="1100">
        <v>25.4</v>
      </c>
      <c r="G53" s="1100">
        <v>24.8</v>
      </c>
      <c r="H53" s="1101">
        <v>24.3</v>
      </c>
      <c r="I53" s="1103">
        <v>24</v>
      </c>
      <c r="J53" s="1100">
        <v>23.8</v>
      </c>
      <c r="K53" s="1066">
        <v>27.7</v>
      </c>
      <c r="L53" s="1104">
        <v>24.8</v>
      </c>
      <c r="M53" s="1105">
        <v>25.1</v>
      </c>
      <c r="N53" s="1069">
        <v>23.6</v>
      </c>
    </row>
    <row r="54" spans="1:14" ht="14.1" customHeight="1" x14ac:dyDescent="0.25">
      <c r="A54" s="990" t="s">
        <v>326</v>
      </c>
      <c r="B54" s="1106">
        <v>10.100000000000001</v>
      </c>
      <c r="C54" s="1107">
        <v>10.199999999999996</v>
      </c>
      <c r="D54" s="1108">
        <v>10.3</v>
      </c>
      <c r="E54" s="1109">
        <v>10.4</v>
      </c>
      <c r="F54" s="1107">
        <v>10.3</v>
      </c>
      <c r="G54" s="1107">
        <v>10.3</v>
      </c>
      <c r="H54" s="1108">
        <v>10.4</v>
      </c>
      <c r="I54" s="1110">
        <v>10.3</v>
      </c>
      <c r="J54" s="1107">
        <v>10.4</v>
      </c>
      <c r="K54" s="1111">
        <v>10.199999999999999</v>
      </c>
      <c r="L54" s="1112">
        <v>10.400000000000002</v>
      </c>
      <c r="M54" s="1113">
        <v>10.4</v>
      </c>
      <c r="N54" s="1114">
        <v>10.5</v>
      </c>
    </row>
    <row r="55" spans="1:14" ht="14.1" customHeight="1" x14ac:dyDescent="0.25">
      <c r="A55" s="1115" t="s">
        <v>327</v>
      </c>
      <c r="B55" s="1106">
        <v>38.6</v>
      </c>
      <c r="C55" s="1107">
        <v>37.799999999999997</v>
      </c>
      <c r="D55" s="1108">
        <v>37.299999999999997</v>
      </c>
      <c r="E55" s="1109">
        <v>36.4</v>
      </c>
      <c r="F55" s="1107">
        <v>35.700000000000003</v>
      </c>
      <c r="G55" s="1107">
        <v>35.1</v>
      </c>
      <c r="H55" s="1108">
        <v>34.700000000000003</v>
      </c>
      <c r="I55" s="1110">
        <v>34.299999999999997</v>
      </c>
      <c r="J55" s="1107">
        <v>34.200000000000003</v>
      </c>
      <c r="K55" s="1111">
        <v>37.9</v>
      </c>
      <c r="L55" s="1112">
        <v>35.200000000000003</v>
      </c>
      <c r="M55" s="1113">
        <v>35.5</v>
      </c>
      <c r="N55" s="1114">
        <v>34.1</v>
      </c>
    </row>
    <row r="56" spans="1:14" ht="14.1" customHeight="1" x14ac:dyDescent="0.25">
      <c r="A56" s="1116" t="s">
        <v>328</v>
      </c>
      <c r="B56" s="1106">
        <v>20.9</v>
      </c>
      <c r="C56" s="1107">
        <v>21</v>
      </c>
      <c r="D56" s="1108">
        <v>19.100000000000001</v>
      </c>
      <c r="E56" s="1109">
        <v>18.100000000000001</v>
      </c>
      <c r="F56" s="1107">
        <v>18.2</v>
      </c>
      <c r="G56" s="1107">
        <v>18.3</v>
      </c>
      <c r="H56" s="1108">
        <v>18</v>
      </c>
      <c r="I56" s="1110">
        <v>17.7</v>
      </c>
      <c r="J56" s="1107">
        <v>18.3</v>
      </c>
      <c r="K56" s="1111">
        <v>20.3</v>
      </c>
      <c r="L56" s="1112">
        <v>18.2</v>
      </c>
      <c r="M56" s="1113">
        <v>18.2</v>
      </c>
      <c r="N56" s="1114">
        <v>18.600000000000001</v>
      </c>
    </row>
    <row r="57" spans="1:14" ht="14.1" customHeight="1" x14ac:dyDescent="0.25">
      <c r="A57" s="1116" t="s">
        <v>329</v>
      </c>
      <c r="B57" s="1106">
        <v>26.7</v>
      </c>
      <c r="C57" s="1107">
        <v>23.9</v>
      </c>
      <c r="D57" s="1108">
        <v>21.3</v>
      </c>
      <c r="E57" s="1109">
        <v>19.8</v>
      </c>
      <c r="F57" s="1107">
        <v>19.3</v>
      </c>
      <c r="G57" s="1107">
        <v>18.600000000000001</v>
      </c>
      <c r="H57" s="1108">
        <v>16.3</v>
      </c>
      <c r="I57" s="1110">
        <v>15.7</v>
      </c>
      <c r="J57" s="1107">
        <v>15.8</v>
      </c>
      <c r="K57" s="1111">
        <v>24</v>
      </c>
      <c r="L57" s="1112">
        <v>18.100000000000001</v>
      </c>
      <c r="M57" s="1113">
        <v>18.5</v>
      </c>
      <c r="N57" s="1114">
        <v>15.9</v>
      </c>
    </row>
    <row r="58" spans="1:14" ht="14.1" customHeight="1" x14ac:dyDescent="0.25">
      <c r="A58" s="1115" t="s">
        <v>330</v>
      </c>
      <c r="B58" s="1106">
        <v>47.599999999999994</v>
      </c>
      <c r="C58" s="1107">
        <v>44.9</v>
      </c>
      <c r="D58" s="1108">
        <v>40.4</v>
      </c>
      <c r="E58" s="1109">
        <v>37.9</v>
      </c>
      <c r="F58" s="1107">
        <v>37.5</v>
      </c>
      <c r="G58" s="1107">
        <v>36.9</v>
      </c>
      <c r="H58" s="1108">
        <v>34.299999999999997</v>
      </c>
      <c r="I58" s="1110">
        <v>33.4</v>
      </c>
      <c r="J58" s="1107">
        <v>34.1</v>
      </c>
      <c r="K58" s="1117">
        <v>44.3</v>
      </c>
      <c r="L58" s="1112">
        <v>36.299999999999997</v>
      </c>
      <c r="M58" s="1113">
        <v>36.700000000000003</v>
      </c>
      <c r="N58" s="1114">
        <v>34.5</v>
      </c>
    </row>
    <row r="59" spans="1:14" ht="14.1" customHeight="1" x14ac:dyDescent="0.25">
      <c r="A59" s="1116" t="s">
        <v>331</v>
      </c>
      <c r="B59" s="1106">
        <v>2.2000000000000028</v>
      </c>
      <c r="C59" s="1107">
        <v>2.3000000000000043</v>
      </c>
      <c r="D59" s="1108">
        <v>2.4</v>
      </c>
      <c r="E59" s="1109">
        <v>2.6</v>
      </c>
      <c r="F59" s="1107">
        <v>3.2</v>
      </c>
      <c r="G59" s="1107">
        <v>5</v>
      </c>
      <c r="H59" s="1108">
        <v>6.5</v>
      </c>
      <c r="I59" s="1110">
        <v>6.6</v>
      </c>
      <c r="J59" s="1107">
        <v>6.7</v>
      </c>
      <c r="K59" s="1117">
        <v>2.3000000000000043</v>
      </c>
      <c r="L59" s="1112">
        <v>4.8000000000000043</v>
      </c>
      <c r="M59" s="1113">
        <v>4.3</v>
      </c>
      <c r="N59" s="1114">
        <v>6.9</v>
      </c>
    </row>
    <row r="60" spans="1:14" ht="14.1" customHeight="1" x14ac:dyDescent="0.25">
      <c r="A60" s="1118" t="s">
        <v>332</v>
      </c>
      <c r="B60" s="1119">
        <v>49.8</v>
      </c>
      <c r="C60" s="1120">
        <v>47.2</v>
      </c>
      <c r="D60" s="548">
        <v>42.8</v>
      </c>
      <c r="E60" s="1121">
        <v>40.5</v>
      </c>
      <c r="F60" s="1120">
        <v>40.700000000000003</v>
      </c>
      <c r="G60" s="1120">
        <v>41.9</v>
      </c>
      <c r="H60" s="548">
        <v>40.799999999999997</v>
      </c>
      <c r="I60" s="1122">
        <v>40</v>
      </c>
      <c r="J60" s="1120">
        <v>40.799999999999997</v>
      </c>
      <c r="K60" s="1123">
        <v>46.6</v>
      </c>
      <c r="L60" s="1124">
        <v>41.1</v>
      </c>
      <c r="M60" s="1125">
        <v>41</v>
      </c>
      <c r="N60" s="1126">
        <v>41.4</v>
      </c>
    </row>
    <row r="61" spans="1:14" ht="14.1" customHeight="1" x14ac:dyDescent="0.25">
      <c r="A61" s="1051" t="s">
        <v>402</v>
      </c>
      <c r="B61" s="1052"/>
      <c r="C61" s="1053"/>
      <c r="D61" s="1054"/>
      <c r="E61" s="1055"/>
      <c r="F61" s="1053"/>
      <c r="G61" s="1053"/>
      <c r="H61" s="1054"/>
      <c r="I61" s="1056"/>
      <c r="J61" s="1053"/>
      <c r="K61" s="1094"/>
      <c r="L61" s="1095"/>
      <c r="M61" s="1096"/>
      <c r="N61" s="1097"/>
    </row>
    <row r="62" spans="1:14" ht="14.1" customHeight="1" x14ac:dyDescent="0.25">
      <c r="A62" s="1127" t="s">
        <v>403</v>
      </c>
      <c r="B62" s="1128"/>
      <c r="C62" s="1129"/>
      <c r="D62" s="1130"/>
      <c r="E62" s="1131"/>
      <c r="F62" s="1129"/>
      <c r="G62" s="1129"/>
      <c r="H62" s="1130"/>
      <c r="I62" s="1132"/>
      <c r="J62" s="1129"/>
      <c r="K62" s="1133"/>
      <c r="L62" s="1134"/>
      <c r="M62" s="1135"/>
      <c r="N62" s="1129"/>
    </row>
    <row r="63" spans="1:14" ht="14.1" customHeight="1" x14ac:dyDescent="0.25">
      <c r="A63" s="1136" t="s">
        <v>390</v>
      </c>
      <c r="B63" s="1137">
        <v>591</v>
      </c>
      <c r="C63" s="1138">
        <v>553</v>
      </c>
      <c r="D63" s="1139">
        <v>581</v>
      </c>
      <c r="E63" s="1140">
        <v>556</v>
      </c>
      <c r="F63" s="1138">
        <v>543</v>
      </c>
      <c r="G63" s="1138">
        <v>519</v>
      </c>
      <c r="H63" s="1139">
        <v>506</v>
      </c>
      <c r="I63" s="1141">
        <v>470</v>
      </c>
      <c r="J63" s="1142">
        <v>492</v>
      </c>
      <c r="K63" s="1143">
        <v>591</v>
      </c>
      <c r="L63" s="1144">
        <v>543</v>
      </c>
      <c r="M63" s="1145">
        <v>556</v>
      </c>
      <c r="N63" s="1142">
        <v>470</v>
      </c>
    </row>
    <row r="64" spans="1:14" ht="14.1" customHeight="1" x14ac:dyDescent="0.25">
      <c r="A64" s="1136" t="s">
        <v>391</v>
      </c>
      <c r="B64" s="1137">
        <v>163</v>
      </c>
      <c r="C64" s="1138">
        <v>157</v>
      </c>
      <c r="D64" s="1139">
        <v>157</v>
      </c>
      <c r="E64" s="1140">
        <v>148</v>
      </c>
      <c r="F64" s="1138">
        <v>151</v>
      </c>
      <c r="G64" s="1138">
        <v>150</v>
      </c>
      <c r="H64" s="1139">
        <v>149</v>
      </c>
      <c r="I64" s="1141">
        <v>140</v>
      </c>
      <c r="J64" s="1142">
        <v>139</v>
      </c>
      <c r="K64" s="1143">
        <v>163</v>
      </c>
      <c r="L64" s="1144">
        <v>151</v>
      </c>
      <c r="M64" s="1145">
        <v>148</v>
      </c>
      <c r="N64" s="1142">
        <v>140</v>
      </c>
    </row>
    <row r="65" spans="1:14" ht="14.1" customHeight="1" x14ac:dyDescent="0.25">
      <c r="A65" s="1146" t="s">
        <v>392</v>
      </c>
      <c r="B65" s="991">
        <v>154</v>
      </c>
      <c r="C65" s="992">
        <v>149</v>
      </c>
      <c r="D65" s="409">
        <v>149</v>
      </c>
      <c r="E65" s="993">
        <v>140</v>
      </c>
      <c r="F65" s="994">
        <v>142</v>
      </c>
      <c r="G65" s="994">
        <v>140</v>
      </c>
      <c r="H65" s="987">
        <v>139</v>
      </c>
      <c r="I65" s="995">
        <v>131</v>
      </c>
      <c r="J65" s="994">
        <v>130</v>
      </c>
      <c r="K65" s="1021">
        <v>154</v>
      </c>
      <c r="L65" s="1022">
        <v>142</v>
      </c>
      <c r="M65" s="1023">
        <v>140</v>
      </c>
      <c r="N65" s="994">
        <v>131</v>
      </c>
    </row>
    <row r="66" spans="1:14" ht="14.1" customHeight="1" x14ac:dyDescent="0.25">
      <c r="A66" s="1146" t="s">
        <v>393</v>
      </c>
      <c r="B66" s="991">
        <v>9</v>
      </c>
      <c r="C66" s="992">
        <v>8</v>
      </c>
      <c r="D66" s="409">
        <v>8</v>
      </c>
      <c r="E66" s="993">
        <v>8</v>
      </c>
      <c r="F66" s="994">
        <v>9</v>
      </c>
      <c r="G66" s="994">
        <v>10</v>
      </c>
      <c r="H66" s="987">
        <v>10</v>
      </c>
      <c r="I66" s="995">
        <v>9</v>
      </c>
      <c r="J66" s="994">
        <v>9</v>
      </c>
      <c r="K66" s="1021">
        <v>9</v>
      </c>
      <c r="L66" s="1022">
        <v>9</v>
      </c>
      <c r="M66" s="1023">
        <v>8</v>
      </c>
      <c r="N66" s="994">
        <v>9</v>
      </c>
    </row>
    <row r="67" spans="1:14" ht="14.1" customHeight="1" x14ac:dyDescent="0.25">
      <c r="A67" s="1147" t="s">
        <v>404</v>
      </c>
      <c r="B67" s="1137">
        <v>754</v>
      </c>
      <c r="C67" s="1138">
        <v>710</v>
      </c>
      <c r="D67" s="1139">
        <v>738</v>
      </c>
      <c r="E67" s="1140">
        <v>704</v>
      </c>
      <c r="F67" s="1138">
        <v>694</v>
      </c>
      <c r="G67" s="1138">
        <v>669</v>
      </c>
      <c r="H67" s="1139">
        <v>655</v>
      </c>
      <c r="I67" s="1141">
        <v>610</v>
      </c>
      <c r="J67" s="1142">
        <v>631</v>
      </c>
      <c r="K67" s="1143">
        <v>754</v>
      </c>
      <c r="L67" s="1144">
        <v>694</v>
      </c>
      <c r="M67" s="1145">
        <v>704</v>
      </c>
      <c r="N67" s="1142">
        <v>610</v>
      </c>
    </row>
    <row r="68" spans="1:14" ht="14.1" customHeight="1" x14ac:dyDescent="0.25">
      <c r="A68" s="1115" t="s">
        <v>405</v>
      </c>
      <c r="B68" s="1148"/>
      <c r="C68" s="1149"/>
      <c r="D68" s="1150"/>
      <c r="E68" s="1151"/>
      <c r="F68" s="1149"/>
      <c r="G68" s="1149"/>
      <c r="H68" s="1150"/>
      <c r="I68" s="1152"/>
      <c r="J68" s="1149"/>
      <c r="K68" s="1153"/>
      <c r="L68" s="1154"/>
      <c r="M68" s="1155"/>
      <c r="N68" s="1149"/>
    </row>
    <row r="69" spans="1:14" ht="14.1" customHeight="1" x14ac:dyDescent="0.25">
      <c r="A69" s="1136" t="s">
        <v>390</v>
      </c>
      <c r="B69" s="1137">
        <v>362</v>
      </c>
      <c r="C69" s="1138">
        <v>338</v>
      </c>
      <c r="D69" s="1139">
        <v>353</v>
      </c>
      <c r="E69" s="1140">
        <v>333</v>
      </c>
      <c r="F69" s="1138">
        <v>325</v>
      </c>
      <c r="G69" s="1138">
        <v>310</v>
      </c>
      <c r="H69" s="1139">
        <v>304</v>
      </c>
      <c r="I69" s="1141">
        <v>281</v>
      </c>
      <c r="J69" s="1138">
        <v>297</v>
      </c>
      <c r="K69" s="1143">
        <v>362</v>
      </c>
      <c r="L69" s="1144">
        <v>325</v>
      </c>
      <c r="M69" s="1145">
        <v>333</v>
      </c>
      <c r="N69" s="1142">
        <v>281</v>
      </c>
    </row>
    <row r="70" spans="1:14" ht="14.1" customHeight="1" x14ac:dyDescent="0.25">
      <c r="A70" s="1136" t="s">
        <v>391</v>
      </c>
      <c r="B70" s="1137">
        <v>45</v>
      </c>
      <c r="C70" s="1138">
        <v>42</v>
      </c>
      <c r="D70" s="1156">
        <v>43</v>
      </c>
      <c r="E70" s="1157">
        <v>40</v>
      </c>
      <c r="F70" s="1142">
        <v>39</v>
      </c>
      <c r="G70" s="1142">
        <v>39</v>
      </c>
      <c r="H70" s="1158">
        <v>36</v>
      </c>
      <c r="I70" s="1159">
        <v>36</v>
      </c>
      <c r="J70" s="1142">
        <v>34</v>
      </c>
      <c r="K70" s="1143">
        <v>45</v>
      </c>
      <c r="L70" s="1144">
        <v>39</v>
      </c>
      <c r="M70" s="1145">
        <v>40</v>
      </c>
      <c r="N70" s="1142">
        <v>36</v>
      </c>
    </row>
    <row r="71" spans="1:14" ht="14.1" customHeight="1" x14ac:dyDescent="0.25">
      <c r="A71" s="1146" t="s">
        <v>392</v>
      </c>
      <c r="B71" s="991">
        <v>36</v>
      </c>
      <c r="C71" s="992">
        <v>34</v>
      </c>
      <c r="D71" s="409">
        <v>34</v>
      </c>
      <c r="E71" s="993">
        <v>32</v>
      </c>
      <c r="F71" s="994">
        <v>30</v>
      </c>
      <c r="G71" s="994">
        <v>29</v>
      </c>
      <c r="H71" s="987">
        <v>27</v>
      </c>
      <c r="I71" s="995">
        <v>27</v>
      </c>
      <c r="J71" s="994">
        <v>25</v>
      </c>
      <c r="K71" s="1021">
        <v>36</v>
      </c>
      <c r="L71" s="1022">
        <v>30</v>
      </c>
      <c r="M71" s="1023">
        <v>32</v>
      </c>
      <c r="N71" s="994">
        <v>27</v>
      </c>
    </row>
    <row r="72" spans="1:14" ht="14.1" customHeight="1" x14ac:dyDescent="0.25">
      <c r="A72" s="1146" t="s">
        <v>393</v>
      </c>
      <c r="B72" s="991">
        <v>9</v>
      </c>
      <c r="C72" s="992">
        <v>8</v>
      </c>
      <c r="D72" s="409">
        <v>9</v>
      </c>
      <c r="E72" s="993">
        <v>8</v>
      </c>
      <c r="F72" s="994">
        <v>9</v>
      </c>
      <c r="G72" s="994">
        <v>10</v>
      </c>
      <c r="H72" s="987">
        <v>9</v>
      </c>
      <c r="I72" s="995">
        <v>9</v>
      </c>
      <c r="J72" s="994">
        <v>9</v>
      </c>
      <c r="K72" s="1021">
        <v>9</v>
      </c>
      <c r="L72" s="1022">
        <v>9</v>
      </c>
      <c r="M72" s="1023">
        <v>8</v>
      </c>
      <c r="N72" s="994">
        <v>9</v>
      </c>
    </row>
    <row r="73" spans="1:14" ht="14.1" customHeight="1" x14ac:dyDescent="0.25">
      <c r="A73" s="1147" t="s">
        <v>406</v>
      </c>
      <c r="B73" s="1137">
        <v>407</v>
      </c>
      <c r="C73" s="1138">
        <v>380</v>
      </c>
      <c r="D73" s="1156">
        <v>396</v>
      </c>
      <c r="E73" s="1157">
        <v>373</v>
      </c>
      <c r="F73" s="1142">
        <v>364</v>
      </c>
      <c r="G73" s="1142">
        <v>349</v>
      </c>
      <c r="H73" s="1158">
        <v>340</v>
      </c>
      <c r="I73" s="1159">
        <v>317</v>
      </c>
      <c r="J73" s="1142">
        <v>331</v>
      </c>
      <c r="K73" s="1143">
        <v>407</v>
      </c>
      <c r="L73" s="1144">
        <v>364</v>
      </c>
      <c r="M73" s="1145">
        <v>373</v>
      </c>
      <c r="N73" s="1142">
        <v>317</v>
      </c>
    </row>
    <row r="74" spans="1:14" ht="14.1" customHeight="1" x14ac:dyDescent="0.3">
      <c r="A74" s="1115" t="s">
        <v>407</v>
      </c>
      <c r="B74" s="1160"/>
      <c r="C74" s="1161"/>
      <c r="D74" s="1162"/>
      <c r="E74" s="1163"/>
      <c r="F74" s="1164"/>
      <c r="G74" s="1164"/>
      <c r="H74" s="1165"/>
      <c r="I74" s="1166"/>
      <c r="J74" s="1164"/>
      <c r="K74" s="1167"/>
      <c r="L74" s="1144"/>
      <c r="M74" s="1168"/>
      <c r="N74" s="1168"/>
    </row>
    <row r="75" spans="1:14" ht="14.1" customHeight="1" x14ac:dyDescent="0.3">
      <c r="A75" s="1136" t="s">
        <v>408</v>
      </c>
      <c r="B75" s="1137">
        <v>6894</v>
      </c>
      <c r="C75" s="1138">
        <v>6688</v>
      </c>
      <c r="D75" s="1139">
        <v>6645.9</v>
      </c>
      <c r="E75" s="1157">
        <v>6488</v>
      </c>
      <c r="F75" s="1142">
        <v>6519</v>
      </c>
      <c r="G75" s="1142">
        <v>6411</v>
      </c>
      <c r="H75" s="572">
        <v>6394</v>
      </c>
      <c r="I75" s="1159">
        <v>6328</v>
      </c>
      <c r="J75" s="1142">
        <v>6430</v>
      </c>
      <c r="K75" s="1169"/>
      <c r="L75" s="1170"/>
      <c r="M75" s="1171"/>
      <c r="N75" s="1171"/>
    </row>
    <row r="76" spans="1:14" ht="14.1" customHeight="1" x14ac:dyDescent="0.3">
      <c r="A76" s="1136" t="s">
        <v>409</v>
      </c>
      <c r="B76" s="1137">
        <v>1499</v>
      </c>
      <c r="C76" s="1138">
        <v>1467</v>
      </c>
      <c r="D76" s="1139">
        <v>1487</v>
      </c>
      <c r="E76" s="1157">
        <v>1465</v>
      </c>
      <c r="F76" s="1142">
        <v>1465</v>
      </c>
      <c r="G76" s="1142">
        <v>1449</v>
      </c>
      <c r="H76" s="572">
        <v>1450</v>
      </c>
      <c r="I76" s="1159">
        <v>1449</v>
      </c>
      <c r="J76" s="1142">
        <v>1449</v>
      </c>
      <c r="K76" s="1169"/>
      <c r="L76" s="1170"/>
      <c r="M76" s="1171"/>
      <c r="N76" s="1171"/>
    </row>
    <row r="77" spans="1:14" ht="14.1" customHeight="1" x14ac:dyDescent="0.3">
      <c r="A77" s="1172" t="s">
        <v>410</v>
      </c>
      <c r="B77" s="1173">
        <v>8393</v>
      </c>
      <c r="C77" s="1174">
        <v>8155</v>
      </c>
      <c r="D77" s="1175">
        <v>8132.9</v>
      </c>
      <c r="E77" s="1176">
        <v>7953</v>
      </c>
      <c r="F77" s="1177">
        <v>7984</v>
      </c>
      <c r="G77" s="1177">
        <v>7860</v>
      </c>
      <c r="H77" s="590">
        <v>7844</v>
      </c>
      <c r="I77" s="1178">
        <v>7777</v>
      </c>
      <c r="J77" s="1177">
        <v>7879</v>
      </c>
      <c r="K77" s="1179"/>
      <c r="L77" s="1180"/>
      <c r="M77" s="1181"/>
      <c r="N77" s="1181"/>
    </row>
    <row r="78" spans="1:14" ht="13.35" customHeight="1" x14ac:dyDescent="0.3">
      <c r="A78" s="1182"/>
      <c r="B78" s="1183"/>
      <c r="C78" s="1183"/>
      <c r="D78" s="1183"/>
      <c r="E78" s="1183"/>
      <c r="F78" s="1183"/>
      <c r="G78" s="1183"/>
      <c r="H78" s="1183"/>
      <c r="I78" s="1183"/>
      <c r="J78" s="1183"/>
      <c r="K78" s="1184"/>
      <c r="L78" s="1184"/>
      <c r="M78" s="1184"/>
      <c r="N78" s="1184"/>
    </row>
    <row r="79" spans="1:14" ht="13.35" customHeight="1" x14ac:dyDescent="0.25">
      <c r="A79" s="3500" t="s">
        <v>360</v>
      </c>
      <c r="B79" s="3500" t="s">
        <v>14</v>
      </c>
      <c r="C79" s="3500" t="s">
        <v>14</v>
      </c>
      <c r="D79" s="3500" t="s">
        <v>14</v>
      </c>
      <c r="E79" s="3500" t="s">
        <v>14</v>
      </c>
      <c r="F79" s="3500" t="s">
        <v>14</v>
      </c>
      <c r="G79" s="3500" t="s">
        <v>14</v>
      </c>
      <c r="H79" s="3500" t="s">
        <v>14</v>
      </c>
      <c r="I79" s="3500" t="s">
        <v>14</v>
      </c>
      <c r="J79" s="3500" t="s">
        <v>14</v>
      </c>
      <c r="K79" s="3500" t="s">
        <v>14</v>
      </c>
      <c r="L79" s="3500" t="s">
        <v>14</v>
      </c>
      <c r="M79" s="3500" t="s">
        <v>14</v>
      </c>
      <c r="N79" s="3500" t="s">
        <v>14</v>
      </c>
    </row>
    <row r="80" spans="1:14" ht="13.35" customHeight="1" x14ac:dyDescent="0.25">
      <c r="A80" s="3500" t="s">
        <v>361</v>
      </c>
      <c r="B80" s="3500" t="s">
        <v>14</v>
      </c>
      <c r="C80" s="3500" t="s">
        <v>14</v>
      </c>
      <c r="D80" s="3500" t="s">
        <v>14</v>
      </c>
      <c r="E80" s="3500" t="s">
        <v>14</v>
      </c>
      <c r="F80" s="3500" t="s">
        <v>14</v>
      </c>
      <c r="G80" s="3500" t="s">
        <v>14</v>
      </c>
      <c r="H80" s="3500" t="s">
        <v>14</v>
      </c>
      <c r="I80" s="3500" t="s">
        <v>14</v>
      </c>
      <c r="J80" s="3500" t="s">
        <v>14</v>
      </c>
      <c r="K80" s="3500" t="s">
        <v>14</v>
      </c>
      <c r="L80" s="3500" t="s">
        <v>14</v>
      </c>
      <c r="M80" s="3500" t="s">
        <v>14</v>
      </c>
      <c r="N80" s="3500" t="s">
        <v>14</v>
      </c>
    </row>
    <row r="81" spans="1:14" ht="13.35" customHeight="1" x14ac:dyDescent="0.25">
      <c r="A81" s="812" t="s">
        <v>411</v>
      </c>
      <c r="B81" s="812"/>
      <c r="C81" s="812"/>
      <c r="D81" s="812"/>
      <c r="E81" s="812"/>
      <c r="F81" s="812"/>
      <c r="G81" s="812"/>
      <c r="H81" s="812"/>
      <c r="I81" s="812"/>
      <c r="J81" s="812"/>
      <c r="K81" s="812"/>
      <c r="L81" s="812"/>
      <c r="M81" s="812"/>
      <c r="N81" s="812"/>
    </row>
    <row r="82" spans="1:14" ht="13.35" customHeight="1" x14ac:dyDescent="0.25">
      <c r="A82" s="3500" t="s">
        <v>412</v>
      </c>
      <c r="B82" s="3500" t="s">
        <v>14</v>
      </c>
      <c r="C82" s="3500" t="s">
        <v>14</v>
      </c>
      <c r="D82" s="3500" t="s">
        <v>14</v>
      </c>
      <c r="E82" s="3500" t="s">
        <v>14</v>
      </c>
      <c r="F82" s="3500" t="s">
        <v>14</v>
      </c>
      <c r="G82" s="3500" t="s">
        <v>14</v>
      </c>
      <c r="H82" s="3500" t="s">
        <v>14</v>
      </c>
      <c r="I82" s="3500" t="s">
        <v>14</v>
      </c>
      <c r="J82" s="3500" t="s">
        <v>14</v>
      </c>
      <c r="K82" s="3500" t="s">
        <v>14</v>
      </c>
      <c r="L82" s="3500" t="s">
        <v>14</v>
      </c>
      <c r="M82" s="3500" t="s">
        <v>14</v>
      </c>
      <c r="N82" s="3500" t="s">
        <v>14</v>
      </c>
    </row>
    <row r="83" spans="1:14" ht="13.35" customHeight="1" x14ac:dyDescent="0.25">
      <c r="A83" s="3500"/>
      <c r="B83" s="3500" t="s">
        <v>14</v>
      </c>
      <c r="C83" s="3500" t="s">
        <v>14</v>
      </c>
      <c r="D83" s="3500" t="s">
        <v>14</v>
      </c>
      <c r="E83" s="3500" t="s">
        <v>14</v>
      </c>
      <c r="F83" s="3500" t="s">
        <v>14</v>
      </c>
      <c r="G83" s="3500" t="s">
        <v>14</v>
      </c>
      <c r="H83" s="3500" t="s">
        <v>14</v>
      </c>
      <c r="I83" s="3500" t="s">
        <v>14</v>
      </c>
      <c r="J83" s="3500" t="s">
        <v>14</v>
      </c>
      <c r="K83" s="3500" t="s">
        <v>14</v>
      </c>
      <c r="L83" s="3500" t="s">
        <v>14</v>
      </c>
      <c r="M83" s="3500" t="s">
        <v>14</v>
      </c>
      <c r="N83" s="3500" t="s">
        <v>14</v>
      </c>
    </row>
    <row r="84" spans="1:14" ht="13.35" customHeight="1" x14ac:dyDescent="0.25">
      <c r="A84" s="3500"/>
      <c r="B84" s="3500" t="s">
        <v>14</v>
      </c>
      <c r="C84" s="3500" t="s">
        <v>14</v>
      </c>
      <c r="D84" s="3500" t="s">
        <v>14</v>
      </c>
      <c r="E84" s="3500" t="s">
        <v>14</v>
      </c>
      <c r="F84" s="3500" t="s">
        <v>14</v>
      </c>
      <c r="G84" s="3500" t="s">
        <v>14</v>
      </c>
      <c r="H84" s="3500" t="s">
        <v>14</v>
      </c>
      <c r="I84" s="3500" t="s">
        <v>14</v>
      </c>
      <c r="J84" s="3500" t="s">
        <v>14</v>
      </c>
      <c r="K84" s="3500" t="s">
        <v>14</v>
      </c>
      <c r="L84" s="3500" t="s">
        <v>14</v>
      </c>
      <c r="M84" s="3500" t="s">
        <v>14</v>
      </c>
      <c r="N84" s="3500" t="s">
        <v>14</v>
      </c>
    </row>
    <row r="85" spans="1:14" ht="10.35" customHeight="1" x14ac:dyDescent="0.25">
      <c r="A85" s="3486"/>
      <c r="B85" s="3486" t="s">
        <v>14</v>
      </c>
      <c r="C85" s="3486" t="s">
        <v>14</v>
      </c>
      <c r="D85" s="3486" t="s">
        <v>14</v>
      </c>
      <c r="E85" s="3486" t="s">
        <v>14</v>
      </c>
      <c r="F85" s="3486" t="s">
        <v>14</v>
      </c>
      <c r="G85" s="3486" t="s">
        <v>14</v>
      </c>
      <c r="H85" s="3486" t="s">
        <v>14</v>
      </c>
      <c r="I85" s="3486" t="s">
        <v>14</v>
      </c>
      <c r="J85" s="3486" t="s">
        <v>14</v>
      </c>
      <c r="K85" s="599"/>
      <c r="L85" s="599"/>
      <c r="M85" s="599"/>
      <c r="N85" s="599"/>
    </row>
    <row r="86" spans="1:14" ht="10.35" customHeight="1" x14ac:dyDescent="0.25">
      <c r="A86" s="598"/>
      <c r="B86" s="1185"/>
      <c r="C86" s="1185"/>
      <c r="D86" s="1185"/>
      <c r="E86" s="1185"/>
      <c r="F86" s="1185"/>
      <c r="G86" s="1185"/>
      <c r="H86" s="1185"/>
      <c r="I86" s="1185"/>
      <c r="J86" s="1185"/>
      <c r="K86" s="599"/>
      <c r="L86" s="599"/>
      <c r="M86" s="599"/>
      <c r="N86" s="599"/>
    </row>
  </sheetData>
  <mergeCells count="12">
    <mergeCell ref="A85:J85"/>
    <mergeCell ref="A2:N2"/>
    <mergeCell ref="B3:D3"/>
    <mergeCell ref="E3:H3"/>
    <mergeCell ref="I3:J3"/>
    <mergeCell ref="K3:L3"/>
    <mergeCell ref="M3:N3"/>
    <mergeCell ref="A79:N79"/>
    <mergeCell ref="A80:N80"/>
    <mergeCell ref="A82:N82"/>
    <mergeCell ref="A83:N83"/>
    <mergeCell ref="A84:N84"/>
  </mergeCells>
  <hyperlinks>
    <hyperlink ref="A1" location="ToC!A2" display="Back to Table of Contents" xr:uid="{74A1CDE4-F62E-4DBE-B714-6D8B845EDF9A}"/>
  </hyperlinks>
  <pageMargins left="0.5" right="0.5" top="0.5" bottom="0.5" header="0.25" footer="0.25"/>
  <pageSetup scale="45" orientation="landscape" r:id="rId1"/>
  <headerFooter>
    <oddFooter>&amp;L&amp;G&amp;C&amp;"Scotia,Regular"&amp;9Supplementary Financial Information (SFI)&amp;R7&amp;"Scotia,Regular"&amp;7</oddFooter>
  </headerFooter>
  <ignoredErrors>
    <ignoredError sqref="B3" numberStoredAsText="1"/>
  </ignoredError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0472-AD50-49AC-BE37-89DA24D170AB}">
  <sheetPr>
    <pageSetUpPr fitToPage="1"/>
  </sheetPr>
  <dimension ref="A1:N65"/>
  <sheetViews>
    <sheetView showGridLines="0" zoomScaleNormal="100" workbookViewId="0"/>
  </sheetViews>
  <sheetFormatPr defaultColWidth="8.77734375" defaultRowHeight="13.2" x14ac:dyDescent="0.25"/>
  <cols>
    <col min="1" max="1" width="86.21875" style="22" customWidth="1"/>
    <col min="2" max="14" width="13" style="22" customWidth="1"/>
    <col min="15" max="16384" width="8.77734375" style="22"/>
  </cols>
  <sheetData>
    <row r="1" spans="1:14" ht="19.95" customHeight="1" x14ac:dyDescent="0.25">
      <c r="A1" s="21" t="s">
        <v>12</v>
      </c>
    </row>
    <row r="2" spans="1:14" ht="24.6" customHeight="1" x14ac:dyDescent="0.25">
      <c r="A2" s="3529" t="s">
        <v>413</v>
      </c>
      <c r="B2" s="3529" t="s">
        <v>14</v>
      </c>
      <c r="C2" s="3529" t="s">
        <v>14</v>
      </c>
      <c r="D2" s="3529" t="s">
        <v>14</v>
      </c>
      <c r="E2" s="3529" t="s">
        <v>14</v>
      </c>
      <c r="F2" s="3529" t="s">
        <v>14</v>
      </c>
      <c r="G2" s="3529" t="s">
        <v>14</v>
      </c>
      <c r="H2" s="3529" t="s">
        <v>14</v>
      </c>
      <c r="I2" s="3529" t="s">
        <v>14</v>
      </c>
      <c r="J2" s="3529" t="s">
        <v>14</v>
      </c>
      <c r="K2" s="3529" t="s">
        <v>14</v>
      </c>
      <c r="L2" s="3529" t="s">
        <v>14</v>
      </c>
      <c r="M2" s="3529" t="s">
        <v>14</v>
      </c>
      <c r="N2" s="3529" t="s">
        <v>14</v>
      </c>
    </row>
    <row r="3" spans="1:14" ht="14.1" customHeight="1" x14ac:dyDescent="0.25">
      <c r="A3" s="1186"/>
      <c r="B3" s="3530" t="s">
        <v>414</v>
      </c>
      <c r="C3" s="3530" t="s">
        <v>14</v>
      </c>
      <c r="D3" s="3531" t="s">
        <v>14</v>
      </c>
      <c r="E3" s="3532">
        <v>2024</v>
      </c>
      <c r="F3" s="3533" t="s">
        <v>14</v>
      </c>
      <c r="G3" s="3533" t="s">
        <v>14</v>
      </c>
      <c r="H3" s="3534" t="s">
        <v>14</v>
      </c>
      <c r="I3" s="3535">
        <v>2023</v>
      </c>
      <c r="J3" s="3533" t="s">
        <v>14</v>
      </c>
      <c r="K3" s="3536" t="s">
        <v>173</v>
      </c>
      <c r="L3" s="3537" t="s">
        <v>14</v>
      </c>
      <c r="M3" s="3538" t="s">
        <v>415</v>
      </c>
      <c r="N3" s="3538" t="s">
        <v>14</v>
      </c>
    </row>
    <row r="4" spans="1:14" ht="14.1" customHeight="1" x14ac:dyDescent="0.25">
      <c r="A4" s="1187"/>
      <c r="B4" s="1188" t="s">
        <v>176</v>
      </c>
      <c r="C4" s="1189" t="s">
        <v>177</v>
      </c>
      <c r="D4" s="1190" t="s">
        <v>178</v>
      </c>
      <c r="E4" s="1191" t="s">
        <v>179</v>
      </c>
      <c r="F4" s="1192" t="s">
        <v>180</v>
      </c>
      <c r="G4" s="1192" t="s">
        <v>177</v>
      </c>
      <c r="H4" s="1193" t="s">
        <v>178</v>
      </c>
      <c r="I4" s="1194" t="s">
        <v>179</v>
      </c>
      <c r="J4" s="1192" t="s">
        <v>180</v>
      </c>
      <c r="K4" s="1195">
        <v>2025</v>
      </c>
      <c r="L4" s="1196">
        <v>2024</v>
      </c>
      <c r="M4" s="1197">
        <v>2024</v>
      </c>
      <c r="N4" s="1197">
        <v>2023</v>
      </c>
    </row>
    <row r="5" spans="1:14" ht="14.1" customHeight="1" x14ac:dyDescent="0.25">
      <c r="A5" s="1198" t="s">
        <v>416</v>
      </c>
      <c r="B5" s="1199"/>
      <c r="C5" s="1200"/>
      <c r="D5" s="1201"/>
      <c r="E5" s="1202"/>
      <c r="F5" s="1203"/>
      <c r="G5" s="1203"/>
      <c r="H5" s="1204"/>
      <c r="I5" s="1205"/>
      <c r="J5" s="1203"/>
      <c r="K5" s="1206"/>
      <c r="L5" s="1207"/>
      <c r="M5" s="1208"/>
      <c r="N5" s="1208"/>
    </row>
    <row r="6" spans="1:14" ht="14.1" customHeight="1" x14ac:dyDescent="0.25">
      <c r="A6" s="1209" t="s">
        <v>296</v>
      </c>
      <c r="B6" s="1210">
        <v>350</v>
      </c>
      <c r="C6" s="1211">
        <v>368</v>
      </c>
      <c r="D6" s="1212">
        <v>319</v>
      </c>
      <c r="E6" s="1213">
        <v>280</v>
      </c>
      <c r="F6" s="1214">
        <v>304</v>
      </c>
      <c r="G6" s="1214">
        <v>248</v>
      </c>
      <c r="H6" s="1215">
        <v>270</v>
      </c>
      <c r="I6" s="1213">
        <v>313</v>
      </c>
      <c r="J6" s="1214">
        <v>257</v>
      </c>
      <c r="K6" s="1216">
        <v>1037</v>
      </c>
      <c r="L6" s="1217">
        <v>822</v>
      </c>
      <c r="M6" s="1214">
        <v>1102</v>
      </c>
      <c r="N6" s="1214">
        <v>1270</v>
      </c>
    </row>
    <row r="7" spans="1:14" ht="14.1" customHeight="1" x14ac:dyDescent="0.25">
      <c r="A7" s="1218" t="s">
        <v>297</v>
      </c>
      <c r="B7" s="1219">
        <v>1180</v>
      </c>
      <c r="C7" s="1220">
        <v>1090</v>
      </c>
      <c r="D7" s="1221">
        <v>1275</v>
      </c>
      <c r="E7" s="1222">
        <v>992</v>
      </c>
      <c r="F7" s="1223">
        <v>960</v>
      </c>
      <c r="G7" s="1223">
        <v>984</v>
      </c>
      <c r="H7" s="1224">
        <v>1023</v>
      </c>
      <c r="I7" s="1222">
        <v>954</v>
      </c>
      <c r="J7" s="1223">
        <v>1004</v>
      </c>
      <c r="K7" s="1225">
        <v>3545</v>
      </c>
      <c r="L7" s="1226">
        <v>2967</v>
      </c>
      <c r="M7" s="1223">
        <v>3959</v>
      </c>
      <c r="N7" s="1223">
        <v>3969</v>
      </c>
    </row>
    <row r="8" spans="1:14" ht="14.1" customHeight="1" x14ac:dyDescent="0.25">
      <c r="A8" s="1227" t="s">
        <v>298</v>
      </c>
      <c r="B8" s="1228">
        <v>695</v>
      </c>
      <c r="C8" s="1229">
        <v>700</v>
      </c>
      <c r="D8" s="1230">
        <v>718</v>
      </c>
      <c r="E8" s="1231">
        <v>600</v>
      </c>
      <c r="F8" s="1232">
        <v>619</v>
      </c>
      <c r="G8" s="1232">
        <v>585</v>
      </c>
      <c r="H8" s="1233">
        <v>544</v>
      </c>
      <c r="I8" s="1234">
        <v>599</v>
      </c>
      <c r="J8" s="1232">
        <v>535</v>
      </c>
      <c r="K8" s="1235">
        <v>2113</v>
      </c>
      <c r="L8" s="1236">
        <v>1748</v>
      </c>
      <c r="M8" s="1232">
        <v>2348</v>
      </c>
      <c r="N8" s="1232">
        <v>2056</v>
      </c>
    </row>
    <row r="9" spans="1:14" ht="14.1" customHeight="1" x14ac:dyDescent="0.25">
      <c r="A9" s="1227" t="s">
        <v>300</v>
      </c>
      <c r="B9" s="1228">
        <v>485</v>
      </c>
      <c r="C9" s="1229">
        <v>390</v>
      </c>
      <c r="D9" s="1230">
        <v>557</v>
      </c>
      <c r="E9" s="1231">
        <v>392</v>
      </c>
      <c r="F9" s="1232">
        <v>341</v>
      </c>
      <c r="G9" s="1232">
        <v>399</v>
      </c>
      <c r="H9" s="1233">
        <v>479</v>
      </c>
      <c r="I9" s="1234">
        <v>355</v>
      </c>
      <c r="J9" s="1232">
        <v>469</v>
      </c>
      <c r="K9" s="1235">
        <v>1432</v>
      </c>
      <c r="L9" s="1236">
        <v>1219</v>
      </c>
      <c r="M9" s="1232">
        <v>1611</v>
      </c>
      <c r="N9" s="1232">
        <v>1913</v>
      </c>
    </row>
    <row r="10" spans="1:14" ht="14.1" customHeight="1" x14ac:dyDescent="0.25">
      <c r="A10" s="1237" t="s">
        <v>301</v>
      </c>
      <c r="B10" s="1238">
        <v>1530</v>
      </c>
      <c r="C10" s="1239">
        <v>1458</v>
      </c>
      <c r="D10" s="1240">
        <v>1594</v>
      </c>
      <c r="E10" s="1241">
        <v>1272</v>
      </c>
      <c r="F10" s="1242">
        <v>1264</v>
      </c>
      <c r="G10" s="1242">
        <v>1232</v>
      </c>
      <c r="H10" s="1243">
        <v>1293</v>
      </c>
      <c r="I10" s="1244">
        <v>1267</v>
      </c>
      <c r="J10" s="1242">
        <v>1261</v>
      </c>
      <c r="K10" s="1245">
        <v>4582</v>
      </c>
      <c r="L10" s="1246">
        <v>3789</v>
      </c>
      <c r="M10" s="1242">
        <v>5061</v>
      </c>
      <c r="N10" s="1242">
        <v>5239</v>
      </c>
    </row>
    <row r="11" spans="1:14" ht="14.1" customHeight="1" x14ac:dyDescent="0.25">
      <c r="A11" s="1247" t="s">
        <v>302</v>
      </c>
      <c r="B11" s="1238">
        <v>19</v>
      </c>
      <c r="C11" s="1239">
        <v>40</v>
      </c>
      <c r="D11" s="1240">
        <v>18</v>
      </c>
      <c r="E11" s="1241">
        <v>19</v>
      </c>
      <c r="F11" s="1242">
        <v>18</v>
      </c>
      <c r="G11" s="1242">
        <v>5</v>
      </c>
      <c r="H11" s="1243">
        <v>5</v>
      </c>
      <c r="I11" s="1244">
        <v>39</v>
      </c>
      <c r="J11" s="1242">
        <v>-6</v>
      </c>
      <c r="K11" s="1245">
        <v>77</v>
      </c>
      <c r="L11" s="1246">
        <v>28</v>
      </c>
      <c r="M11" s="1242">
        <v>47</v>
      </c>
      <c r="N11" s="1242">
        <v>101</v>
      </c>
    </row>
    <row r="12" spans="1:14" ht="14.1" customHeight="1" x14ac:dyDescent="0.25">
      <c r="A12" s="1248" t="s">
        <v>303</v>
      </c>
      <c r="B12" s="1249">
        <v>894</v>
      </c>
      <c r="C12" s="1250">
        <v>878</v>
      </c>
      <c r="D12" s="1251">
        <v>891</v>
      </c>
      <c r="E12" s="1252">
        <v>807</v>
      </c>
      <c r="F12" s="1253">
        <v>773</v>
      </c>
      <c r="G12" s="1253">
        <v>761</v>
      </c>
      <c r="H12" s="1254">
        <v>781</v>
      </c>
      <c r="I12" s="1252">
        <v>758</v>
      </c>
      <c r="J12" s="1253">
        <v>738</v>
      </c>
      <c r="K12" s="1255">
        <v>2663</v>
      </c>
      <c r="L12" s="1256">
        <v>2315</v>
      </c>
      <c r="M12" s="1253">
        <v>3122</v>
      </c>
      <c r="N12" s="1253">
        <v>2984</v>
      </c>
    </row>
    <row r="13" spans="1:14" ht="14.1" customHeight="1" x14ac:dyDescent="0.25">
      <c r="A13" s="1257" t="s">
        <v>278</v>
      </c>
      <c r="B13" s="1258">
        <v>617</v>
      </c>
      <c r="C13" s="1259">
        <v>540</v>
      </c>
      <c r="D13" s="1260">
        <v>685</v>
      </c>
      <c r="E13" s="985">
        <v>446</v>
      </c>
      <c r="F13" s="1261">
        <v>473</v>
      </c>
      <c r="G13" s="1261">
        <v>466</v>
      </c>
      <c r="H13" s="987">
        <v>507</v>
      </c>
      <c r="I13" s="1262">
        <v>470</v>
      </c>
      <c r="J13" s="1261">
        <v>529</v>
      </c>
      <c r="K13" s="1263">
        <v>1842</v>
      </c>
      <c r="L13" s="1264">
        <v>1446</v>
      </c>
      <c r="M13" s="1261">
        <v>1892</v>
      </c>
      <c r="N13" s="1261">
        <v>2154</v>
      </c>
    </row>
    <row r="14" spans="1:14" ht="14.1" customHeight="1" x14ac:dyDescent="0.25">
      <c r="A14" s="1265" t="s">
        <v>304</v>
      </c>
      <c r="B14" s="1258">
        <v>144</v>
      </c>
      <c r="C14" s="1259">
        <v>128</v>
      </c>
      <c r="D14" s="1260">
        <v>168</v>
      </c>
      <c r="E14" s="985">
        <v>99</v>
      </c>
      <c r="F14" s="1261">
        <v>105</v>
      </c>
      <c r="G14" s="1261">
        <v>91</v>
      </c>
      <c r="H14" s="987">
        <v>119</v>
      </c>
      <c r="I14" s="1262">
        <v>106</v>
      </c>
      <c r="J14" s="1261">
        <v>150</v>
      </c>
      <c r="K14" s="1263">
        <v>440</v>
      </c>
      <c r="L14" s="1264">
        <v>315</v>
      </c>
      <c r="M14" s="1261">
        <v>414</v>
      </c>
      <c r="N14" s="1261">
        <v>570</v>
      </c>
    </row>
    <row r="15" spans="1:14" ht="14.1" customHeight="1" x14ac:dyDescent="0.25">
      <c r="A15" s="1257" t="s">
        <v>305</v>
      </c>
      <c r="B15" s="1258">
        <v>473</v>
      </c>
      <c r="C15" s="1259">
        <v>412</v>
      </c>
      <c r="D15" s="1260">
        <v>517</v>
      </c>
      <c r="E15" s="985">
        <v>347</v>
      </c>
      <c r="F15" s="1261">
        <v>368</v>
      </c>
      <c r="G15" s="1261">
        <v>375</v>
      </c>
      <c r="H15" s="987">
        <v>388</v>
      </c>
      <c r="I15" s="1262">
        <v>364</v>
      </c>
      <c r="J15" s="1261">
        <v>379</v>
      </c>
      <c r="K15" s="1263">
        <v>1402</v>
      </c>
      <c r="L15" s="1264">
        <v>1131</v>
      </c>
      <c r="M15" s="1261">
        <v>1478</v>
      </c>
      <c r="N15" s="1261">
        <v>1584</v>
      </c>
    </row>
    <row r="16" spans="1:14" ht="14.1" customHeight="1" x14ac:dyDescent="0.25">
      <c r="A16" s="1257"/>
      <c r="B16" s="1258"/>
      <c r="C16" s="1259"/>
      <c r="D16" s="1260"/>
      <c r="E16" s="985"/>
      <c r="F16" s="1261"/>
      <c r="G16" s="1261"/>
      <c r="H16" s="987"/>
      <c r="I16" s="1262"/>
      <c r="J16" s="1261"/>
      <c r="K16" s="1263"/>
      <c r="L16" s="1264"/>
      <c r="M16" s="1261"/>
      <c r="N16" s="1261"/>
    </row>
    <row r="17" spans="1:14" ht="14.1" customHeight="1" x14ac:dyDescent="0.25">
      <c r="A17" s="1257" t="s">
        <v>348</v>
      </c>
      <c r="B17" s="1258">
        <v>0</v>
      </c>
      <c r="C17" s="1259">
        <v>-1</v>
      </c>
      <c r="D17" s="1260">
        <v>0</v>
      </c>
      <c r="E17" s="408">
        <v>0</v>
      </c>
      <c r="F17" s="1259">
        <v>0</v>
      </c>
      <c r="G17" s="1259">
        <v>0</v>
      </c>
      <c r="H17" s="409">
        <v>0</v>
      </c>
      <c r="I17" s="1266">
        <v>0</v>
      </c>
      <c r="J17" s="1259">
        <v>0</v>
      </c>
      <c r="K17" s="1267">
        <v>-1</v>
      </c>
      <c r="L17" s="1268">
        <v>0</v>
      </c>
      <c r="M17" s="1259">
        <v>0</v>
      </c>
      <c r="N17" s="1259">
        <v>0</v>
      </c>
    </row>
    <row r="18" spans="1:14" ht="14.1" customHeight="1" x14ac:dyDescent="0.25">
      <c r="A18" s="1257" t="s">
        <v>349</v>
      </c>
      <c r="B18" s="1258">
        <v>473</v>
      </c>
      <c r="C18" s="1259">
        <v>413</v>
      </c>
      <c r="D18" s="1260">
        <v>517</v>
      </c>
      <c r="E18" s="985">
        <v>347</v>
      </c>
      <c r="F18" s="1261">
        <v>368</v>
      </c>
      <c r="G18" s="1261">
        <v>375</v>
      </c>
      <c r="H18" s="987">
        <v>388</v>
      </c>
      <c r="I18" s="1262">
        <v>364</v>
      </c>
      <c r="J18" s="1261">
        <v>379</v>
      </c>
      <c r="K18" s="1263">
        <v>1403</v>
      </c>
      <c r="L18" s="1264">
        <v>1131</v>
      </c>
      <c r="M18" s="1261">
        <v>1478</v>
      </c>
      <c r="N18" s="1261">
        <v>1584</v>
      </c>
    </row>
    <row r="19" spans="1:14" ht="14.1" customHeight="1" x14ac:dyDescent="0.25">
      <c r="A19" s="1257"/>
      <c r="B19" s="1258"/>
      <c r="C19" s="1259"/>
      <c r="D19" s="1260"/>
      <c r="E19" s="985"/>
      <c r="F19" s="1261"/>
      <c r="G19" s="1261"/>
      <c r="H19" s="987"/>
      <c r="I19" s="1262"/>
      <c r="J19" s="1261"/>
      <c r="K19" s="1263"/>
      <c r="L19" s="1264"/>
      <c r="M19" s="1261"/>
      <c r="N19" s="1261"/>
    </row>
    <row r="20" spans="1:14" ht="14.1" customHeight="1" x14ac:dyDescent="0.25">
      <c r="A20" s="1265"/>
      <c r="B20" s="1258"/>
      <c r="C20" s="1259"/>
      <c r="D20" s="1260"/>
      <c r="E20" s="985"/>
      <c r="F20" s="1261"/>
      <c r="G20" s="1261"/>
      <c r="H20" s="987"/>
      <c r="I20" s="1262"/>
      <c r="J20" s="1261"/>
      <c r="K20" s="1267"/>
      <c r="L20" s="1264"/>
      <c r="M20" s="1261"/>
      <c r="N20" s="1261"/>
    </row>
    <row r="21" spans="1:14" ht="14.1" customHeight="1" x14ac:dyDescent="0.25">
      <c r="A21" s="1257" t="s">
        <v>417</v>
      </c>
      <c r="B21" s="1258"/>
      <c r="C21" s="1259"/>
      <c r="D21" s="1260"/>
      <c r="E21" s="985"/>
      <c r="F21" s="1261"/>
      <c r="G21" s="1261"/>
      <c r="H21" s="987"/>
      <c r="I21" s="1262"/>
      <c r="J21" s="1261"/>
      <c r="K21" s="1263"/>
      <c r="L21" s="1264"/>
      <c r="M21" s="1261"/>
      <c r="N21" s="1261"/>
    </row>
    <row r="22" spans="1:14" ht="14.1" customHeight="1" x14ac:dyDescent="0.25">
      <c r="A22" s="1269" t="s">
        <v>418</v>
      </c>
      <c r="B22" s="1210">
        <v>690</v>
      </c>
      <c r="C22" s="1211">
        <v>723</v>
      </c>
      <c r="D22" s="1212">
        <v>741</v>
      </c>
      <c r="E22" s="1270">
        <v>693</v>
      </c>
      <c r="F22" s="1211">
        <v>716</v>
      </c>
      <c r="G22" s="1211">
        <v>656</v>
      </c>
      <c r="H22" s="1212">
        <v>688</v>
      </c>
      <c r="I22" s="1270">
        <v>728</v>
      </c>
      <c r="J22" s="1211">
        <v>664</v>
      </c>
      <c r="K22" s="1271">
        <v>2154</v>
      </c>
      <c r="L22" s="1272">
        <v>2060</v>
      </c>
      <c r="M22" s="1211">
        <v>2753</v>
      </c>
      <c r="N22" s="1214">
        <v>2847</v>
      </c>
    </row>
    <row r="23" spans="1:14" ht="14.1" customHeight="1" x14ac:dyDescent="0.25">
      <c r="A23" s="1273" t="s">
        <v>419</v>
      </c>
      <c r="B23" s="1274">
        <v>840</v>
      </c>
      <c r="C23" s="1275">
        <v>735</v>
      </c>
      <c r="D23" s="1276">
        <v>853</v>
      </c>
      <c r="E23" s="1277">
        <v>579</v>
      </c>
      <c r="F23" s="1275">
        <v>548</v>
      </c>
      <c r="G23" s="1275">
        <v>576</v>
      </c>
      <c r="H23" s="1278">
        <v>605</v>
      </c>
      <c r="I23" s="1279">
        <v>539</v>
      </c>
      <c r="J23" s="1280">
        <v>597</v>
      </c>
      <c r="K23" s="1281">
        <v>2428</v>
      </c>
      <c r="L23" s="1282">
        <v>1729</v>
      </c>
      <c r="M23" s="1280">
        <v>2308</v>
      </c>
      <c r="N23" s="1280">
        <v>2392</v>
      </c>
    </row>
    <row r="24" spans="1:14" ht="14.1" customHeight="1" x14ac:dyDescent="0.25">
      <c r="A24" s="1283" t="s">
        <v>301</v>
      </c>
      <c r="B24" s="1284">
        <v>1530</v>
      </c>
      <c r="C24" s="1275">
        <v>1458</v>
      </c>
      <c r="D24" s="1276">
        <v>1594</v>
      </c>
      <c r="E24" s="1277">
        <v>1272</v>
      </c>
      <c r="F24" s="1275">
        <v>1264</v>
      </c>
      <c r="G24" s="1275">
        <v>1232</v>
      </c>
      <c r="H24" s="1278">
        <v>1293</v>
      </c>
      <c r="I24" s="1279">
        <v>1267</v>
      </c>
      <c r="J24" s="1280">
        <v>1261</v>
      </c>
      <c r="K24" s="1281">
        <v>4582</v>
      </c>
      <c r="L24" s="1282">
        <v>3789</v>
      </c>
      <c r="M24" s="1280">
        <v>5061</v>
      </c>
      <c r="N24" s="1280">
        <v>5239</v>
      </c>
    </row>
    <row r="25" spans="1:14" ht="14.1" customHeight="1" x14ac:dyDescent="0.25">
      <c r="A25" s="1283"/>
      <c r="B25" s="1285"/>
      <c r="C25" s="1275"/>
      <c r="D25" s="1276"/>
      <c r="E25" s="1277"/>
      <c r="F25" s="1275"/>
      <c r="G25" s="1275"/>
      <c r="H25" s="1278"/>
      <c r="I25" s="1279"/>
      <c r="J25" s="1280"/>
      <c r="K25" s="1281"/>
      <c r="L25" s="1282"/>
      <c r="M25" s="1280"/>
      <c r="N25" s="1280"/>
    </row>
    <row r="26" spans="1:14" ht="14.1" customHeight="1" x14ac:dyDescent="0.25">
      <c r="A26" s="1283" t="s">
        <v>420</v>
      </c>
      <c r="B26" s="1285"/>
      <c r="C26" s="1275"/>
      <c r="D26" s="1276"/>
      <c r="E26" s="1277"/>
      <c r="F26" s="1275"/>
      <c r="G26" s="1275"/>
      <c r="H26" s="1278"/>
      <c r="I26" s="1279"/>
      <c r="J26" s="1280"/>
      <c r="K26" s="1281"/>
      <c r="L26" s="1282"/>
      <c r="M26" s="1280"/>
      <c r="N26" s="1280"/>
    </row>
    <row r="27" spans="1:14" ht="14.1" customHeight="1" x14ac:dyDescent="0.25">
      <c r="A27" s="1286" t="s">
        <v>421</v>
      </c>
      <c r="B27" s="1274">
        <v>432</v>
      </c>
      <c r="C27" s="1287">
        <v>320</v>
      </c>
      <c r="D27" s="1276">
        <v>355</v>
      </c>
      <c r="E27" s="1277">
        <v>259</v>
      </c>
      <c r="F27" s="1275">
        <v>233</v>
      </c>
      <c r="G27" s="1275">
        <v>277</v>
      </c>
      <c r="H27" s="1278">
        <v>264</v>
      </c>
      <c r="I27" s="1279">
        <v>210</v>
      </c>
      <c r="J27" s="1280">
        <v>269</v>
      </c>
      <c r="K27" s="1281">
        <v>1107</v>
      </c>
      <c r="L27" s="1282">
        <v>774</v>
      </c>
      <c r="M27" s="1280">
        <v>1033</v>
      </c>
      <c r="N27" s="1280">
        <v>1063</v>
      </c>
    </row>
    <row r="28" spans="1:14" ht="14.1" customHeight="1" x14ac:dyDescent="0.25">
      <c r="A28" s="1288" t="s">
        <v>422</v>
      </c>
      <c r="B28" s="1284">
        <v>289</v>
      </c>
      <c r="C28" s="199">
        <v>266</v>
      </c>
      <c r="D28" s="1289">
        <v>352</v>
      </c>
      <c r="E28" s="1290">
        <v>218</v>
      </c>
      <c r="F28" s="1287">
        <v>216</v>
      </c>
      <c r="G28" s="1287">
        <v>195</v>
      </c>
      <c r="H28" s="1289">
        <v>220</v>
      </c>
      <c r="I28" s="1290">
        <v>222</v>
      </c>
      <c r="J28" s="1287">
        <v>238</v>
      </c>
      <c r="K28" s="1291">
        <v>907</v>
      </c>
      <c r="L28" s="1292">
        <v>631</v>
      </c>
      <c r="M28" s="1287">
        <v>849</v>
      </c>
      <c r="N28" s="1293">
        <v>856</v>
      </c>
    </row>
    <row r="29" spans="1:14" ht="14.1" customHeight="1" x14ac:dyDescent="0.25">
      <c r="A29" s="1294" t="s">
        <v>423</v>
      </c>
      <c r="B29" s="1295">
        <v>20</v>
      </c>
      <c r="C29" s="1296">
        <v>32</v>
      </c>
      <c r="D29" s="1297">
        <v>27</v>
      </c>
      <c r="E29" s="1298">
        <v>23</v>
      </c>
      <c r="F29" s="1296">
        <v>8</v>
      </c>
      <c r="G29" s="1296">
        <v>23</v>
      </c>
      <c r="H29" s="1299">
        <v>27</v>
      </c>
      <c r="I29" s="1300">
        <v>22</v>
      </c>
      <c r="J29" s="1301">
        <v>16</v>
      </c>
      <c r="K29" s="1302">
        <v>79</v>
      </c>
      <c r="L29" s="1303">
        <v>58</v>
      </c>
      <c r="M29" s="1301">
        <v>81</v>
      </c>
      <c r="N29" s="1301">
        <v>122</v>
      </c>
    </row>
    <row r="30" spans="1:14" ht="14.1" customHeight="1" x14ac:dyDescent="0.25">
      <c r="A30" s="1294" t="s">
        <v>424</v>
      </c>
      <c r="B30" s="1295">
        <v>99</v>
      </c>
      <c r="C30" s="1296">
        <v>117</v>
      </c>
      <c r="D30" s="1297">
        <v>119</v>
      </c>
      <c r="E30" s="1298">
        <v>79</v>
      </c>
      <c r="F30" s="1296">
        <v>91</v>
      </c>
      <c r="G30" s="1296">
        <v>81</v>
      </c>
      <c r="H30" s="1299">
        <v>94</v>
      </c>
      <c r="I30" s="1300">
        <v>85</v>
      </c>
      <c r="J30" s="1301">
        <v>74</v>
      </c>
      <c r="K30" s="1302">
        <v>335</v>
      </c>
      <c r="L30" s="1303">
        <v>266</v>
      </c>
      <c r="M30" s="1301">
        <v>345</v>
      </c>
      <c r="N30" s="1301">
        <v>351</v>
      </c>
    </row>
    <row r="31" spans="1:14" ht="14.1" customHeight="1" x14ac:dyDescent="0.25">
      <c r="A31" s="1304" t="s">
        <v>425</v>
      </c>
      <c r="B31" s="1305">
        <v>840</v>
      </c>
      <c r="C31" s="1306">
        <v>735</v>
      </c>
      <c r="D31" s="1307">
        <v>853</v>
      </c>
      <c r="E31" s="1308">
        <v>579</v>
      </c>
      <c r="F31" s="1306">
        <v>548</v>
      </c>
      <c r="G31" s="1306">
        <v>576</v>
      </c>
      <c r="H31" s="1307">
        <v>605</v>
      </c>
      <c r="I31" s="1308">
        <v>539</v>
      </c>
      <c r="J31" s="1306">
        <v>597</v>
      </c>
      <c r="K31" s="1309">
        <v>2428</v>
      </c>
      <c r="L31" s="1310">
        <v>1729</v>
      </c>
      <c r="M31" s="1306">
        <v>2308</v>
      </c>
      <c r="N31" s="1311">
        <v>2392</v>
      </c>
    </row>
    <row r="32" spans="1:14" ht="14.1" customHeight="1" x14ac:dyDescent="0.25">
      <c r="A32" s="1312" t="s">
        <v>309</v>
      </c>
      <c r="B32" s="1313"/>
      <c r="C32" s="1314"/>
      <c r="D32" s="1315"/>
      <c r="E32" s="1316"/>
      <c r="F32" s="1314"/>
      <c r="G32" s="1314"/>
      <c r="H32" s="1317"/>
      <c r="I32" s="1318"/>
      <c r="J32" s="1314"/>
      <c r="K32" s="1319"/>
      <c r="L32" s="1320"/>
      <c r="M32" s="1314"/>
      <c r="N32" s="1314"/>
    </row>
    <row r="33" spans="1:14" ht="14.1" customHeight="1" x14ac:dyDescent="0.25">
      <c r="A33" s="1321" t="s">
        <v>208</v>
      </c>
      <c r="B33" s="1322">
        <v>0.09</v>
      </c>
      <c r="C33" s="1323">
        <v>0.13</v>
      </c>
      <c r="D33" s="1324">
        <v>0</v>
      </c>
      <c r="E33" s="1325">
        <v>0</v>
      </c>
      <c r="F33" s="1323">
        <v>0</v>
      </c>
      <c r="G33" s="1323">
        <v>0</v>
      </c>
      <c r="H33" s="1326">
        <v>-0.02</v>
      </c>
      <c r="I33" s="1325">
        <v>-0.02</v>
      </c>
      <c r="J33" s="1323">
        <v>-0.01</v>
      </c>
      <c r="K33" s="1327">
        <v>6.9999999999999993E-2</v>
      </c>
      <c r="L33" s="1328">
        <v>-0.01</v>
      </c>
      <c r="M33" s="1323">
        <v>0</v>
      </c>
      <c r="N33" s="1323">
        <v>0</v>
      </c>
    </row>
    <row r="34" spans="1:14" ht="14.1" customHeight="1" x14ac:dyDescent="0.25">
      <c r="A34" s="1329" t="s">
        <v>312</v>
      </c>
      <c r="B34" s="1330"/>
      <c r="C34" s="1331"/>
      <c r="D34" s="1332"/>
      <c r="E34" s="1333"/>
      <c r="F34" s="1334"/>
      <c r="G34" s="1334"/>
      <c r="H34" s="1335"/>
      <c r="I34" s="1333"/>
      <c r="J34" s="1334"/>
      <c r="K34" s="1336"/>
      <c r="L34" s="1337"/>
      <c r="M34" s="1334"/>
      <c r="N34" s="1334"/>
    </row>
    <row r="35" spans="1:14" ht="14.1" customHeight="1" x14ac:dyDescent="0.25">
      <c r="A35" s="1338" t="s">
        <v>313</v>
      </c>
      <c r="B35" s="1339">
        <v>12.6</v>
      </c>
      <c r="C35" s="1340">
        <v>11.3</v>
      </c>
      <c r="D35" s="1341">
        <v>13.3</v>
      </c>
      <c r="E35" s="1342">
        <v>9</v>
      </c>
      <c r="F35" s="1340">
        <v>9.5</v>
      </c>
      <c r="G35" s="1340">
        <v>10.199999999999999</v>
      </c>
      <c r="H35" s="1341">
        <v>9.8000000000000007</v>
      </c>
      <c r="I35" s="1342">
        <v>10.8</v>
      </c>
      <c r="J35" s="1343">
        <v>11.3</v>
      </c>
      <c r="K35" s="1344">
        <v>12.4</v>
      </c>
      <c r="L35" s="1345">
        <v>9.8000000000000007</v>
      </c>
      <c r="M35" s="1343">
        <v>9.6</v>
      </c>
      <c r="N35" s="1343">
        <v>11</v>
      </c>
    </row>
    <row r="36" spans="1:14" ht="14.1" customHeight="1" x14ac:dyDescent="0.25">
      <c r="A36" s="1273" t="s">
        <v>426</v>
      </c>
      <c r="B36" s="1346">
        <v>7.0000000000000007E-2</v>
      </c>
      <c r="C36" s="1347">
        <v>0.14000000000000001</v>
      </c>
      <c r="D36" s="1348">
        <v>0.06</v>
      </c>
      <c r="E36" s="1349">
        <v>0.06</v>
      </c>
      <c r="F36" s="1347">
        <v>0.06</v>
      </c>
      <c r="G36" s="1347">
        <v>0.02</v>
      </c>
      <c r="H36" s="1350">
        <v>0.02</v>
      </c>
      <c r="I36" s="1351">
        <v>0.11</v>
      </c>
      <c r="J36" s="1352">
        <v>-0.02</v>
      </c>
      <c r="K36" s="1353">
        <v>0.09</v>
      </c>
      <c r="L36" s="1354">
        <v>0.03</v>
      </c>
      <c r="M36" s="1352">
        <v>0.04</v>
      </c>
      <c r="N36" s="1352">
        <v>7.0000000000000007E-2</v>
      </c>
    </row>
    <row r="37" spans="1:14" ht="14.1" customHeight="1" x14ac:dyDescent="0.25">
      <c r="A37" s="1273" t="s">
        <v>427</v>
      </c>
      <c r="B37" s="1346">
        <v>0.01</v>
      </c>
      <c r="C37" s="1347">
        <v>0.15</v>
      </c>
      <c r="D37" s="1348">
        <v>0</v>
      </c>
      <c r="E37" s="1355">
        <v>0.02</v>
      </c>
      <c r="F37" s="1347">
        <v>0.01</v>
      </c>
      <c r="G37" s="1347">
        <v>0</v>
      </c>
      <c r="H37" s="1350">
        <v>-0.02</v>
      </c>
      <c r="I37" s="1351">
        <v>0.03</v>
      </c>
      <c r="J37" s="1352">
        <v>-0.03</v>
      </c>
      <c r="K37" s="1356">
        <v>0.05</v>
      </c>
      <c r="L37" s="1357">
        <v>0</v>
      </c>
      <c r="M37" s="1352">
        <v>0</v>
      </c>
      <c r="N37" s="1352">
        <v>0</v>
      </c>
    </row>
    <row r="38" spans="1:14" ht="14.1" customHeight="1" x14ac:dyDescent="0.25">
      <c r="A38" s="1273" t="s">
        <v>189</v>
      </c>
      <c r="B38" s="1358">
        <v>58.5</v>
      </c>
      <c r="C38" s="1359">
        <v>60.2</v>
      </c>
      <c r="D38" s="1360">
        <v>55.9</v>
      </c>
      <c r="E38" s="1342">
        <v>63.4</v>
      </c>
      <c r="F38" s="1359">
        <v>61.1</v>
      </c>
      <c r="G38" s="1359">
        <v>61.8</v>
      </c>
      <c r="H38" s="1341">
        <v>60.4</v>
      </c>
      <c r="I38" s="1361">
        <v>59.8</v>
      </c>
      <c r="J38" s="1362">
        <v>58.6</v>
      </c>
      <c r="K38" s="1363">
        <v>58.1</v>
      </c>
      <c r="L38" s="1364">
        <v>61.1</v>
      </c>
      <c r="M38" s="1362">
        <v>61.7</v>
      </c>
      <c r="N38" s="1362">
        <v>57</v>
      </c>
    </row>
    <row r="39" spans="1:14" ht="14.1" customHeight="1" x14ac:dyDescent="0.25">
      <c r="A39" s="1312" t="s">
        <v>352</v>
      </c>
      <c r="B39" s="1313"/>
      <c r="C39" s="1314"/>
      <c r="D39" s="1315"/>
      <c r="E39" s="1316"/>
      <c r="F39" s="1314"/>
      <c r="G39" s="1314"/>
      <c r="H39" s="1317"/>
      <c r="I39" s="1318"/>
      <c r="J39" s="1314"/>
      <c r="K39" s="1319"/>
      <c r="L39" s="1320"/>
      <c r="M39" s="1314"/>
      <c r="N39" s="1314"/>
    </row>
    <row r="40" spans="1:14" ht="14.1" customHeight="1" x14ac:dyDescent="0.25">
      <c r="A40" s="1365" t="s">
        <v>324</v>
      </c>
      <c r="B40" s="1366">
        <v>93.7</v>
      </c>
      <c r="C40" s="1367">
        <v>96.3</v>
      </c>
      <c r="D40" s="1368">
        <v>103.4</v>
      </c>
      <c r="E40" s="1369">
        <v>101.1</v>
      </c>
      <c r="F40" s="1367">
        <v>108.8</v>
      </c>
      <c r="G40" s="1367">
        <v>114.9</v>
      </c>
      <c r="H40" s="1368">
        <v>121.9</v>
      </c>
      <c r="I40" s="1370">
        <v>123.1</v>
      </c>
      <c r="J40" s="1371">
        <v>126.1</v>
      </c>
      <c r="K40" s="1372">
        <v>97.8</v>
      </c>
      <c r="L40" s="1373">
        <v>115.2</v>
      </c>
      <c r="M40" s="1374">
        <v>111.7</v>
      </c>
      <c r="N40" s="1374">
        <v>128.30000000000001</v>
      </c>
    </row>
    <row r="41" spans="1:14" ht="14.1" customHeight="1" x14ac:dyDescent="0.25">
      <c r="A41" s="1375" t="s">
        <v>428</v>
      </c>
      <c r="B41" s="1376">
        <v>197</v>
      </c>
      <c r="C41" s="1377">
        <v>202</v>
      </c>
      <c r="D41" s="1378">
        <v>196.7</v>
      </c>
      <c r="E41" s="1379">
        <v>192.2</v>
      </c>
      <c r="F41" s="1377">
        <v>185.1</v>
      </c>
      <c r="G41" s="1377">
        <v>187.3</v>
      </c>
      <c r="H41" s="1341">
        <v>191.4</v>
      </c>
      <c r="I41" s="1380">
        <v>192.6</v>
      </c>
      <c r="J41" s="1381">
        <v>187.5</v>
      </c>
      <c r="K41" s="1382">
        <v>198.6</v>
      </c>
      <c r="L41" s="1383">
        <v>188</v>
      </c>
      <c r="M41" s="1384">
        <v>189</v>
      </c>
      <c r="N41" s="1384">
        <v>184.7</v>
      </c>
    </row>
    <row r="42" spans="1:14" ht="14.1" customHeight="1" x14ac:dyDescent="0.25">
      <c r="A42" s="1375" t="s">
        <v>429</v>
      </c>
      <c r="B42" s="1385">
        <v>135.69999999999999</v>
      </c>
      <c r="C42" s="1386">
        <v>134.6</v>
      </c>
      <c r="D42" s="1387">
        <v>141.70000000000002</v>
      </c>
      <c r="E42" s="1388">
        <v>131.19999999999999</v>
      </c>
      <c r="F42" s="1386">
        <v>138.5</v>
      </c>
      <c r="G42" s="1386">
        <v>130.1</v>
      </c>
      <c r="H42" s="1389">
        <v>129</v>
      </c>
      <c r="I42" s="1390">
        <v>112.7</v>
      </c>
      <c r="J42" s="1384">
        <v>111.3</v>
      </c>
      <c r="K42" s="1391">
        <v>137.4</v>
      </c>
      <c r="L42" s="1392">
        <v>132.6</v>
      </c>
      <c r="M42" s="1384">
        <v>132.19999999999999</v>
      </c>
      <c r="N42" s="1384">
        <v>108.8</v>
      </c>
    </row>
    <row r="43" spans="1:14" ht="14.1" customHeight="1" x14ac:dyDescent="0.25">
      <c r="A43" s="1393" t="s">
        <v>430</v>
      </c>
      <c r="B43" s="1385">
        <v>127.8</v>
      </c>
      <c r="C43" s="1386">
        <v>126.8</v>
      </c>
      <c r="D43" s="1387">
        <v>133.80000000000001</v>
      </c>
      <c r="E43" s="1388">
        <v>123.3</v>
      </c>
      <c r="F43" s="1386">
        <v>131</v>
      </c>
      <c r="G43" s="1386">
        <v>122.6</v>
      </c>
      <c r="H43" s="1389">
        <v>121.5</v>
      </c>
      <c r="I43" s="1390">
        <v>104.2</v>
      </c>
      <c r="J43" s="1384">
        <v>103.4</v>
      </c>
      <c r="K43" s="1391">
        <v>129.5</v>
      </c>
      <c r="L43" s="1392">
        <v>125.1</v>
      </c>
      <c r="M43" s="1384">
        <v>124.6</v>
      </c>
      <c r="N43" s="1384">
        <v>100.8</v>
      </c>
    </row>
    <row r="44" spans="1:14" ht="14.1" customHeight="1" x14ac:dyDescent="0.25">
      <c r="A44" s="1393" t="s">
        <v>431</v>
      </c>
      <c r="B44" s="1385">
        <v>7.9</v>
      </c>
      <c r="C44" s="1386">
        <v>7.8</v>
      </c>
      <c r="D44" s="1387">
        <v>7.9</v>
      </c>
      <c r="E44" s="1388">
        <v>7.9</v>
      </c>
      <c r="F44" s="1386">
        <v>7.5</v>
      </c>
      <c r="G44" s="1386">
        <v>7.5</v>
      </c>
      <c r="H44" s="1389">
        <v>7.5</v>
      </c>
      <c r="I44" s="1390">
        <v>8.5</v>
      </c>
      <c r="J44" s="1384">
        <v>7.9</v>
      </c>
      <c r="K44" s="1391">
        <v>7.9</v>
      </c>
      <c r="L44" s="1392">
        <v>7.5</v>
      </c>
      <c r="M44" s="1384">
        <v>7.6</v>
      </c>
      <c r="N44" s="1384">
        <v>8</v>
      </c>
    </row>
    <row r="45" spans="1:14" ht="14.1" customHeight="1" x14ac:dyDescent="0.25">
      <c r="A45" s="1394" t="s">
        <v>356</v>
      </c>
      <c r="B45" s="1395">
        <v>2</v>
      </c>
      <c r="C45" s="1396">
        <v>2.4</v>
      </c>
      <c r="D45" s="1397">
        <v>2.6</v>
      </c>
      <c r="E45" s="1388">
        <v>2.7</v>
      </c>
      <c r="F45" s="1396">
        <v>2.8</v>
      </c>
      <c r="G45" s="1396">
        <v>3</v>
      </c>
      <c r="H45" s="1389">
        <v>3.1</v>
      </c>
      <c r="I45" s="1398">
        <v>5.7</v>
      </c>
      <c r="J45" s="1399">
        <v>6.3</v>
      </c>
      <c r="K45" s="1400">
        <v>2.2999999999999998</v>
      </c>
      <c r="L45" s="1401">
        <v>3</v>
      </c>
      <c r="M45" s="1399">
        <v>2.9</v>
      </c>
      <c r="N45" s="1399">
        <v>6.1</v>
      </c>
    </row>
    <row r="46" spans="1:14" ht="14.1" customHeight="1" x14ac:dyDescent="0.25">
      <c r="A46" s="1402" t="s">
        <v>357</v>
      </c>
      <c r="B46" s="1403">
        <v>1.8</v>
      </c>
      <c r="C46" s="1404">
        <v>1.2</v>
      </c>
      <c r="D46" s="1405">
        <v>1.5</v>
      </c>
      <c r="E46" s="1388">
        <v>1.7</v>
      </c>
      <c r="F46" s="1404">
        <v>0.6</v>
      </c>
      <c r="G46" s="1404">
        <v>0.9</v>
      </c>
      <c r="H46" s="1389">
        <v>0.4</v>
      </c>
      <c r="I46" s="1406">
        <v>1.2</v>
      </c>
      <c r="J46" s="1407">
        <v>1.6</v>
      </c>
      <c r="K46" s="1408">
        <v>1.5</v>
      </c>
      <c r="L46" s="1409">
        <v>0.6</v>
      </c>
      <c r="M46" s="1407">
        <v>0.9</v>
      </c>
      <c r="N46" s="1407">
        <v>0.5</v>
      </c>
    </row>
    <row r="47" spans="1:14" ht="14.1" customHeight="1" x14ac:dyDescent="0.25">
      <c r="A47" s="1402" t="s">
        <v>326</v>
      </c>
      <c r="B47" s="1403">
        <v>63</v>
      </c>
      <c r="C47" s="1404">
        <v>65.099999999999994</v>
      </c>
      <c r="D47" s="1405">
        <v>65</v>
      </c>
      <c r="E47" s="1388">
        <v>57.1</v>
      </c>
      <c r="F47" s="1404">
        <v>56.9</v>
      </c>
      <c r="G47" s="1404">
        <v>58</v>
      </c>
      <c r="H47" s="1389">
        <v>59.7</v>
      </c>
      <c r="I47" s="1406">
        <v>64.5</v>
      </c>
      <c r="J47" s="1407">
        <v>59.9</v>
      </c>
      <c r="K47" s="1408">
        <v>64.3</v>
      </c>
      <c r="L47" s="1409">
        <v>58.1</v>
      </c>
      <c r="M47" s="1407">
        <v>57.9</v>
      </c>
      <c r="N47" s="1407">
        <v>61.8</v>
      </c>
    </row>
    <row r="48" spans="1:14" ht="14.1" customHeight="1" x14ac:dyDescent="0.25">
      <c r="A48" s="1410" t="s">
        <v>327</v>
      </c>
      <c r="B48" s="1403">
        <v>493.2</v>
      </c>
      <c r="C48" s="1404">
        <v>501.6</v>
      </c>
      <c r="D48" s="1405">
        <v>510.9</v>
      </c>
      <c r="E48" s="1388">
        <v>486</v>
      </c>
      <c r="F48" s="1404">
        <v>492.7</v>
      </c>
      <c r="G48" s="1404">
        <v>494.2</v>
      </c>
      <c r="H48" s="1389">
        <v>505.5</v>
      </c>
      <c r="I48" s="1411">
        <v>499.8</v>
      </c>
      <c r="J48" s="1407">
        <v>492.7</v>
      </c>
      <c r="K48" s="1408">
        <v>501.9</v>
      </c>
      <c r="L48" s="1409">
        <v>497.5</v>
      </c>
      <c r="M48" s="1407">
        <v>494.6</v>
      </c>
      <c r="N48" s="1407">
        <v>490.2</v>
      </c>
    </row>
    <row r="49" spans="1:14" ht="14.1" customHeight="1" x14ac:dyDescent="0.25">
      <c r="A49" s="1402" t="s">
        <v>432</v>
      </c>
      <c r="B49" s="1403">
        <v>171</v>
      </c>
      <c r="C49" s="1404">
        <v>177.9</v>
      </c>
      <c r="D49" s="1405">
        <v>179.4</v>
      </c>
      <c r="E49" s="1388">
        <v>170.9</v>
      </c>
      <c r="F49" s="1404">
        <v>171</v>
      </c>
      <c r="G49" s="1404">
        <v>171.7</v>
      </c>
      <c r="H49" s="1389">
        <v>174.5</v>
      </c>
      <c r="I49" s="1406">
        <v>182.1</v>
      </c>
      <c r="J49" s="1407">
        <v>178.5</v>
      </c>
      <c r="K49" s="1408">
        <v>176.1</v>
      </c>
      <c r="L49" s="1409">
        <v>172.4</v>
      </c>
      <c r="M49" s="1407">
        <v>172</v>
      </c>
      <c r="N49" s="1407">
        <v>182</v>
      </c>
    </row>
    <row r="50" spans="1:14" ht="14.1" customHeight="1" x14ac:dyDescent="0.25">
      <c r="A50" s="1402" t="s">
        <v>331</v>
      </c>
      <c r="B50" s="1403">
        <v>342.20000000000005</v>
      </c>
      <c r="C50" s="1404">
        <v>338.1</v>
      </c>
      <c r="D50" s="1405">
        <v>331.20000000000005</v>
      </c>
      <c r="E50" s="1388">
        <v>307.39999999999998</v>
      </c>
      <c r="F50" s="1404">
        <v>304.8</v>
      </c>
      <c r="G50" s="1404">
        <v>298.60000000000002</v>
      </c>
      <c r="H50" s="1389">
        <v>301.89999999999998</v>
      </c>
      <c r="I50" s="1406">
        <v>288.39999999999998</v>
      </c>
      <c r="J50" s="1407">
        <v>271.7</v>
      </c>
      <c r="K50" s="1408">
        <v>337.1</v>
      </c>
      <c r="L50" s="1409">
        <v>301.79999999999995</v>
      </c>
      <c r="M50" s="1407">
        <v>303.2</v>
      </c>
      <c r="N50" s="1407">
        <v>273.39999999999998</v>
      </c>
    </row>
    <row r="51" spans="1:14" ht="14.1" customHeight="1" x14ac:dyDescent="0.25">
      <c r="A51" s="1412" t="s">
        <v>332</v>
      </c>
      <c r="B51" s="1413">
        <v>513.20000000000005</v>
      </c>
      <c r="C51" s="1414">
        <v>516</v>
      </c>
      <c r="D51" s="1415">
        <v>510.6</v>
      </c>
      <c r="E51" s="1416">
        <v>478.3</v>
      </c>
      <c r="F51" s="1414">
        <v>475.8</v>
      </c>
      <c r="G51" s="1414">
        <v>470.3</v>
      </c>
      <c r="H51" s="1415">
        <v>476.4</v>
      </c>
      <c r="I51" s="1417">
        <v>470.5</v>
      </c>
      <c r="J51" s="1418">
        <v>450.2</v>
      </c>
      <c r="K51" s="1419">
        <v>513.20000000000005</v>
      </c>
      <c r="L51" s="1420">
        <v>474.2</v>
      </c>
      <c r="M51" s="1418">
        <v>475.2</v>
      </c>
      <c r="N51" s="1418">
        <v>455.4</v>
      </c>
    </row>
    <row r="52" spans="1:14" ht="14.1" customHeight="1" x14ac:dyDescent="0.25">
      <c r="A52" s="1312" t="s">
        <v>333</v>
      </c>
      <c r="B52" s="1313"/>
      <c r="C52" s="1314"/>
      <c r="D52" s="1315"/>
      <c r="E52" s="1316"/>
      <c r="F52" s="1314"/>
      <c r="G52" s="1314"/>
      <c r="H52" s="1317"/>
      <c r="I52" s="1318"/>
      <c r="J52" s="1314"/>
      <c r="K52" s="1319"/>
      <c r="L52" s="1320"/>
      <c r="M52" s="1314"/>
      <c r="N52" s="1314"/>
    </row>
    <row r="53" spans="1:14" ht="14.1" customHeight="1" x14ac:dyDescent="0.25">
      <c r="A53" s="1421" t="s">
        <v>433</v>
      </c>
      <c r="B53" s="1422"/>
      <c r="C53" s="1423"/>
      <c r="D53" s="1424"/>
      <c r="E53" s="1425"/>
      <c r="F53" s="1423"/>
      <c r="G53" s="1423"/>
      <c r="H53" s="1426"/>
      <c r="I53" s="1425"/>
      <c r="J53" s="1423"/>
      <c r="K53" s="1427"/>
      <c r="L53" s="1428"/>
      <c r="M53" s="1429"/>
      <c r="N53" s="1429"/>
    </row>
    <row r="54" spans="1:14" ht="14.1" customHeight="1" x14ac:dyDescent="0.3">
      <c r="A54" s="1430" t="s">
        <v>408</v>
      </c>
      <c r="B54" s="1431">
        <v>1099</v>
      </c>
      <c r="C54" s="1432">
        <v>1085</v>
      </c>
      <c r="D54" s="1433">
        <v>1099</v>
      </c>
      <c r="E54" s="1434">
        <v>1115</v>
      </c>
      <c r="F54" s="1432">
        <v>1114</v>
      </c>
      <c r="G54" s="1432">
        <v>1099</v>
      </c>
      <c r="H54" s="1139">
        <v>1113</v>
      </c>
      <c r="I54" s="1435">
        <v>1121</v>
      </c>
      <c r="J54" s="1432">
        <v>1157</v>
      </c>
      <c r="K54" s="1436"/>
      <c r="L54" s="1437"/>
      <c r="M54" s="1438"/>
      <c r="N54" s="1438"/>
    </row>
    <row r="55" spans="1:14" ht="14.1" customHeight="1" x14ac:dyDescent="0.25">
      <c r="A55" s="1430" t="s">
        <v>409</v>
      </c>
      <c r="B55" s="1439">
        <v>1206</v>
      </c>
      <c r="C55" s="1432">
        <v>1139</v>
      </c>
      <c r="D55" s="1433">
        <v>1120</v>
      </c>
      <c r="E55" s="1440">
        <v>1101</v>
      </c>
      <c r="F55" s="1441">
        <v>1092</v>
      </c>
      <c r="G55" s="1441">
        <v>1024</v>
      </c>
      <c r="H55" s="1442">
        <v>1024</v>
      </c>
      <c r="I55" s="1443">
        <v>1031</v>
      </c>
      <c r="J55" s="1441">
        <v>1102</v>
      </c>
      <c r="K55" s="1444"/>
      <c r="L55" s="1445"/>
      <c r="M55" s="1446"/>
      <c r="N55" s="1446"/>
    </row>
    <row r="56" spans="1:14" ht="14.1" customHeight="1" x14ac:dyDescent="0.25">
      <c r="A56" s="1447" t="s">
        <v>410</v>
      </c>
      <c r="B56" s="1448">
        <v>2305</v>
      </c>
      <c r="C56" s="1449">
        <v>2224</v>
      </c>
      <c r="D56" s="1175">
        <v>2219</v>
      </c>
      <c r="E56" s="1450">
        <v>2216</v>
      </c>
      <c r="F56" s="1451">
        <v>2206</v>
      </c>
      <c r="G56" s="1451">
        <v>2123</v>
      </c>
      <c r="H56" s="1452">
        <v>2137</v>
      </c>
      <c r="I56" s="1450">
        <v>2152</v>
      </c>
      <c r="J56" s="1451">
        <v>2259</v>
      </c>
      <c r="K56" s="1453"/>
      <c r="L56" s="1454"/>
      <c r="M56" s="1455"/>
      <c r="N56" s="1455"/>
    </row>
    <row r="57" spans="1:14" ht="12" customHeight="1" x14ac:dyDescent="0.25">
      <c r="A57" s="1456"/>
      <c r="B57" s="1457"/>
      <c r="C57" s="1458"/>
      <c r="D57" s="1458"/>
      <c r="E57" s="1458"/>
      <c r="F57" s="1458"/>
      <c r="G57" s="1458"/>
      <c r="H57" s="1458"/>
      <c r="I57" s="1458"/>
      <c r="J57" s="1458"/>
      <c r="K57" s="1184"/>
      <c r="L57" s="1184"/>
      <c r="M57" s="1184"/>
      <c r="N57" s="1184"/>
    </row>
    <row r="58" spans="1:14" ht="12" customHeight="1" x14ac:dyDescent="0.25">
      <c r="A58" s="3500" t="s">
        <v>434</v>
      </c>
      <c r="B58" s="3500" t="s">
        <v>14</v>
      </c>
      <c r="C58" s="3500" t="s">
        <v>14</v>
      </c>
      <c r="D58" s="3500" t="s">
        <v>14</v>
      </c>
      <c r="E58" s="3500" t="s">
        <v>14</v>
      </c>
      <c r="F58" s="3500" t="s">
        <v>14</v>
      </c>
      <c r="G58" s="3500" t="s">
        <v>14</v>
      </c>
      <c r="H58" s="3500" t="s">
        <v>14</v>
      </c>
      <c r="I58" s="3500" t="s">
        <v>14</v>
      </c>
      <c r="J58" s="3500" t="s">
        <v>14</v>
      </c>
      <c r="K58" s="3500" t="s">
        <v>14</v>
      </c>
      <c r="L58" s="3500" t="s">
        <v>14</v>
      </c>
      <c r="M58" s="598"/>
      <c r="N58" s="598"/>
    </row>
    <row r="59" spans="1:14" ht="12" customHeight="1" x14ac:dyDescent="0.25">
      <c r="A59" s="3500" t="s">
        <v>361</v>
      </c>
      <c r="B59" s="3500" t="s">
        <v>14</v>
      </c>
      <c r="C59" s="3500" t="s">
        <v>14</v>
      </c>
      <c r="D59" s="3500" t="s">
        <v>14</v>
      </c>
      <c r="E59" s="3500" t="s">
        <v>14</v>
      </c>
      <c r="F59" s="3500" t="s">
        <v>14</v>
      </c>
      <c r="G59" s="3500" t="s">
        <v>14</v>
      </c>
      <c r="H59" s="3500" t="s">
        <v>14</v>
      </c>
      <c r="I59" s="3500" t="s">
        <v>14</v>
      </c>
      <c r="J59" s="3500" t="s">
        <v>14</v>
      </c>
      <c r="K59" s="3500" t="s">
        <v>14</v>
      </c>
      <c r="L59" s="3500" t="s">
        <v>14</v>
      </c>
      <c r="M59" s="598"/>
      <c r="N59" s="598"/>
    </row>
    <row r="60" spans="1:14" ht="12" customHeight="1" x14ac:dyDescent="0.25">
      <c r="A60" s="812" t="s">
        <v>435</v>
      </c>
      <c r="B60" s="812"/>
      <c r="C60" s="812"/>
      <c r="D60" s="812"/>
      <c r="E60" s="812"/>
      <c r="F60" s="812"/>
      <c r="G60" s="812"/>
      <c r="H60" s="812"/>
      <c r="I60" s="812"/>
      <c r="J60" s="812"/>
      <c r="K60" s="812"/>
      <c r="L60" s="812"/>
      <c r="M60" s="598"/>
      <c r="N60" s="598"/>
    </row>
    <row r="61" spans="1:14" ht="12" customHeight="1" x14ac:dyDescent="0.25">
      <c r="A61" s="812" t="s">
        <v>436</v>
      </c>
      <c r="B61" s="812"/>
      <c r="C61" s="812"/>
      <c r="D61" s="812"/>
      <c r="E61" s="812"/>
      <c r="F61" s="812"/>
      <c r="G61" s="812"/>
      <c r="H61" s="812"/>
      <c r="I61" s="812"/>
      <c r="J61" s="812"/>
      <c r="K61" s="812"/>
      <c r="L61" s="812"/>
      <c r="M61" s="598"/>
      <c r="N61" s="598"/>
    </row>
    <row r="62" spans="1:14" ht="12" customHeight="1" x14ac:dyDescent="0.25">
      <c r="A62" s="3500" t="s">
        <v>437</v>
      </c>
      <c r="B62" s="3500" t="s">
        <v>14</v>
      </c>
      <c r="C62" s="3500" t="s">
        <v>14</v>
      </c>
      <c r="D62" s="3500" t="s">
        <v>14</v>
      </c>
      <c r="E62" s="3500" t="s">
        <v>14</v>
      </c>
      <c r="F62" s="3500" t="s">
        <v>14</v>
      </c>
      <c r="G62" s="3500" t="s">
        <v>14</v>
      </c>
      <c r="H62" s="3500" t="s">
        <v>14</v>
      </c>
      <c r="I62" s="3500" t="s">
        <v>14</v>
      </c>
      <c r="J62" s="3500" t="s">
        <v>14</v>
      </c>
      <c r="K62" s="3500" t="s">
        <v>14</v>
      </c>
      <c r="L62" s="3500" t="s">
        <v>14</v>
      </c>
      <c r="M62" s="598"/>
      <c r="N62" s="598"/>
    </row>
    <row r="63" spans="1:14" ht="12" customHeight="1" x14ac:dyDescent="0.25">
      <c r="A63" s="3500"/>
      <c r="B63" s="3500" t="s">
        <v>14</v>
      </c>
      <c r="C63" s="3500" t="s">
        <v>14</v>
      </c>
      <c r="D63" s="3500" t="s">
        <v>14</v>
      </c>
      <c r="E63" s="3500" t="s">
        <v>14</v>
      </c>
      <c r="F63" s="3500" t="s">
        <v>14</v>
      </c>
      <c r="G63" s="3500" t="s">
        <v>14</v>
      </c>
      <c r="H63" s="3500" t="s">
        <v>14</v>
      </c>
      <c r="I63" s="3500" t="s">
        <v>14</v>
      </c>
      <c r="J63" s="3500" t="s">
        <v>14</v>
      </c>
      <c r="K63" s="3500" t="s">
        <v>14</v>
      </c>
      <c r="L63" s="3500" t="s">
        <v>14</v>
      </c>
      <c r="M63" s="598"/>
      <c r="N63" s="598"/>
    </row>
    <row r="64" spans="1:14" ht="4.5" customHeight="1" x14ac:dyDescent="0.25">
      <c r="A64" s="3486"/>
      <c r="B64" s="3486" t="s">
        <v>14</v>
      </c>
      <c r="C64" s="3486" t="s">
        <v>14</v>
      </c>
      <c r="D64" s="3486" t="s">
        <v>14</v>
      </c>
      <c r="E64" s="3486" t="s">
        <v>14</v>
      </c>
      <c r="F64" s="3486" t="s">
        <v>14</v>
      </c>
      <c r="G64" s="3486" t="s">
        <v>14</v>
      </c>
      <c r="H64" s="3486" t="s">
        <v>14</v>
      </c>
      <c r="I64" s="3486" t="s">
        <v>14</v>
      </c>
      <c r="J64" s="3486" t="s">
        <v>14</v>
      </c>
      <c r="K64" s="3486" t="s">
        <v>14</v>
      </c>
      <c r="L64" s="3486" t="s">
        <v>14</v>
      </c>
      <c r="M64" s="3486" t="s">
        <v>14</v>
      </c>
      <c r="N64" s="3486" t="s">
        <v>14</v>
      </c>
    </row>
    <row r="65" spans="1:14" ht="9" customHeight="1" x14ac:dyDescent="0.25">
      <c r="A65" s="3486"/>
      <c r="B65" s="3528" t="s">
        <v>14</v>
      </c>
      <c r="C65" s="3528" t="s">
        <v>14</v>
      </c>
      <c r="D65" s="3528" t="s">
        <v>14</v>
      </c>
      <c r="E65" s="3528" t="s">
        <v>14</v>
      </c>
      <c r="F65" s="3528" t="s">
        <v>14</v>
      </c>
      <c r="G65" s="3528" t="s">
        <v>14</v>
      </c>
      <c r="H65" s="3528" t="s">
        <v>14</v>
      </c>
      <c r="I65" s="3528" t="s">
        <v>14</v>
      </c>
      <c r="J65" s="3528" t="s">
        <v>14</v>
      </c>
      <c r="K65" s="3528" t="s">
        <v>14</v>
      </c>
      <c r="L65" s="3528" t="s">
        <v>14</v>
      </c>
      <c r="M65" s="3528" t="s">
        <v>14</v>
      </c>
      <c r="N65" s="3528" t="s">
        <v>14</v>
      </c>
    </row>
  </sheetData>
  <mergeCells count="12">
    <mergeCell ref="A65:N65"/>
    <mergeCell ref="A2:N2"/>
    <mergeCell ref="B3:D3"/>
    <mergeCell ref="E3:H3"/>
    <mergeCell ref="I3:J3"/>
    <mergeCell ref="K3:L3"/>
    <mergeCell ref="M3:N3"/>
    <mergeCell ref="A58:L58"/>
    <mergeCell ref="A59:L59"/>
    <mergeCell ref="A62:L62"/>
    <mergeCell ref="A63:L63"/>
    <mergeCell ref="A64:N64"/>
  </mergeCells>
  <hyperlinks>
    <hyperlink ref="A1" location="ToC!A2" display="Back to Table of Contents" xr:uid="{2F2044DB-759D-4E9F-ACF2-882E069366E5}"/>
  </hyperlinks>
  <pageMargins left="0.5" right="0.5" top="0.5" bottom="0.5" header="0.25" footer="0.25"/>
  <pageSetup scale="50" orientation="landscape" r:id="rId1"/>
  <headerFooter>
    <oddFooter>&amp;L&amp;G&amp;C&amp;"Scotia,Regular"&amp;9Supplementary Financial Information (SFI)&amp;R8&amp;"Scotia,Regular"&amp;7</oddFooter>
  </headerFooter>
  <ignoredErrors>
    <ignoredError sqref="B3" numberStoredAsText="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3765-C37D-4467-B021-AA4C935DF231}">
  <sheetPr>
    <pageSetUpPr fitToPage="1"/>
  </sheetPr>
  <dimension ref="A1:N44"/>
  <sheetViews>
    <sheetView showGridLines="0" zoomScaleNormal="100" workbookViewId="0"/>
  </sheetViews>
  <sheetFormatPr defaultColWidth="8.77734375" defaultRowHeight="13.2" x14ac:dyDescent="0.25"/>
  <cols>
    <col min="1" max="1" width="66.77734375" style="22" customWidth="1"/>
    <col min="2" max="14" width="11.77734375" style="22" customWidth="1"/>
    <col min="15" max="16384" width="8.77734375" style="22"/>
  </cols>
  <sheetData>
    <row r="1" spans="1:14" ht="19.95" customHeight="1" x14ac:dyDescent="0.25">
      <c r="A1" s="21" t="s">
        <v>12</v>
      </c>
    </row>
    <row r="2" spans="1:14" ht="24.6" customHeight="1" x14ac:dyDescent="0.25">
      <c r="A2" s="3539" t="s">
        <v>438</v>
      </c>
      <c r="B2" s="3539" t="s">
        <v>14</v>
      </c>
      <c r="C2" s="3539" t="s">
        <v>14</v>
      </c>
      <c r="D2" s="3539" t="s">
        <v>14</v>
      </c>
      <c r="E2" s="3539" t="s">
        <v>14</v>
      </c>
      <c r="F2" s="3539" t="s">
        <v>14</v>
      </c>
      <c r="G2" s="3539" t="s">
        <v>14</v>
      </c>
      <c r="H2" s="3539" t="s">
        <v>14</v>
      </c>
      <c r="I2" s="3539" t="s">
        <v>14</v>
      </c>
      <c r="J2" s="3539" t="s">
        <v>14</v>
      </c>
      <c r="K2" s="3539" t="s">
        <v>14</v>
      </c>
      <c r="L2" s="3539" t="s">
        <v>14</v>
      </c>
      <c r="M2" s="3539" t="s">
        <v>14</v>
      </c>
      <c r="N2" s="3539" t="s">
        <v>14</v>
      </c>
    </row>
    <row r="3" spans="1:14" ht="20.100000000000001" customHeight="1" x14ac:dyDescent="0.25">
      <c r="A3" s="1459"/>
      <c r="B3" s="3540" t="s">
        <v>172</v>
      </c>
      <c r="C3" s="3540" t="s">
        <v>14</v>
      </c>
      <c r="D3" s="3541" t="s">
        <v>14</v>
      </c>
      <c r="E3" s="3542">
        <v>2024</v>
      </c>
      <c r="F3" s="3543" t="s">
        <v>14</v>
      </c>
      <c r="G3" s="3543" t="s">
        <v>14</v>
      </c>
      <c r="H3" s="3544" t="s">
        <v>14</v>
      </c>
      <c r="I3" s="3545">
        <v>2023</v>
      </c>
      <c r="J3" s="3543" t="s">
        <v>14</v>
      </c>
      <c r="K3" s="3545" t="s">
        <v>173</v>
      </c>
      <c r="L3" s="3546" t="s">
        <v>14</v>
      </c>
      <c r="M3" s="3543" t="s">
        <v>174</v>
      </c>
      <c r="N3" s="3543" t="s">
        <v>14</v>
      </c>
    </row>
    <row r="4" spans="1:14" ht="20.100000000000001" customHeight="1" x14ac:dyDescent="0.25">
      <c r="A4" s="1460"/>
      <c r="B4" s="1461" t="s">
        <v>176</v>
      </c>
      <c r="C4" s="1462" t="s">
        <v>177</v>
      </c>
      <c r="D4" s="1463" t="s">
        <v>178</v>
      </c>
      <c r="E4" s="1464" t="s">
        <v>179</v>
      </c>
      <c r="F4" s="1462" t="s">
        <v>180</v>
      </c>
      <c r="G4" s="1462" t="s">
        <v>177</v>
      </c>
      <c r="H4" s="1465" t="s">
        <v>178</v>
      </c>
      <c r="I4" s="1466" t="s">
        <v>179</v>
      </c>
      <c r="J4" s="1467" t="s">
        <v>180</v>
      </c>
      <c r="K4" s="1466">
        <v>2025</v>
      </c>
      <c r="L4" s="1468">
        <v>2024</v>
      </c>
      <c r="M4" s="1467">
        <v>2024</v>
      </c>
      <c r="N4" s="1467">
        <v>2023</v>
      </c>
    </row>
    <row r="5" spans="1:14" ht="20.100000000000001" customHeight="1" x14ac:dyDescent="0.25">
      <c r="A5" s="1469" t="s">
        <v>439</v>
      </c>
      <c r="B5" s="1470"/>
      <c r="C5" s="1471"/>
      <c r="D5" s="1472"/>
      <c r="E5" s="1464"/>
      <c r="F5" s="1462"/>
      <c r="G5" s="1462"/>
      <c r="H5" s="1465"/>
      <c r="I5" s="1466"/>
      <c r="J5" s="1467"/>
      <c r="K5" s="1466"/>
      <c r="L5" s="1468"/>
      <c r="M5" s="1473"/>
      <c r="N5" s="1473"/>
    </row>
    <row r="6" spans="1:14" ht="20.100000000000001" customHeight="1" x14ac:dyDescent="0.25">
      <c r="A6" s="1474" t="s">
        <v>440</v>
      </c>
      <c r="B6" s="1475">
        <v>-9</v>
      </c>
      <c r="C6" s="1476">
        <v>-47</v>
      </c>
      <c r="D6" s="1477">
        <v>-194</v>
      </c>
      <c r="E6" s="1478">
        <v>-346</v>
      </c>
      <c r="F6" s="1479">
        <v>-451</v>
      </c>
      <c r="G6" s="1480">
        <v>-478</v>
      </c>
      <c r="H6" s="1481">
        <v>-413</v>
      </c>
      <c r="I6" s="1482">
        <v>-402</v>
      </c>
      <c r="J6" s="1479">
        <v>-320</v>
      </c>
      <c r="K6" s="1482">
        <v>-250</v>
      </c>
      <c r="L6" s="1483">
        <v>-1342</v>
      </c>
      <c r="M6" s="1479">
        <v>-1688</v>
      </c>
      <c r="N6" s="1479">
        <v>-1187</v>
      </c>
    </row>
    <row r="7" spans="1:14" ht="20.100000000000001" customHeight="1" x14ac:dyDescent="0.25">
      <c r="A7" s="1484" t="s">
        <v>441</v>
      </c>
      <c r="B7" s="1485">
        <v>-13</v>
      </c>
      <c r="C7" s="1486">
        <v>-66</v>
      </c>
      <c r="D7" s="1487">
        <v>-49</v>
      </c>
      <c r="E7" s="1488">
        <v>-44</v>
      </c>
      <c r="F7" s="1489">
        <v>-155</v>
      </c>
      <c r="G7" s="1490">
        <v>78</v>
      </c>
      <c r="H7" s="1491">
        <v>-70</v>
      </c>
      <c r="I7" s="1492">
        <v>160</v>
      </c>
      <c r="J7" s="1489">
        <v>-62</v>
      </c>
      <c r="K7" s="1492">
        <v>-128</v>
      </c>
      <c r="L7" s="1493">
        <v>-147</v>
      </c>
      <c r="M7" s="1489">
        <v>-191</v>
      </c>
      <c r="N7" s="1489">
        <v>-294</v>
      </c>
    </row>
    <row r="8" spans="1:14" ht="20.100000000000001" customHeight="1" x14ac:dyDescent="0.25">
      <c r="A8" s="1494" t="s">
        <v>298</v>
      </c>
      <c r="B8" s="1485">
        <v>-126</v>
      </c>
      <c r="C8" s="1486">
        <v>-149</v>
      </c>
      <c r="D8" s="1487">
        <v>-115</v>
      </c>
      <c r="E8" s="1488">
        <v>-121</v>
      </c>
      <c r="F8" s="1489">
        <v>-91</v>
      </c>
      <c r="G8" s="1490">
        <v>-31</v>
      </c>
      <c r="H8" s="1491">
        <v>-46</v>
      </c>
      <c r="I8" s="1492">
        <v>-3</v>
      </c>
      <c r="J8" s="1489">
        <v>-51</v>
      </c>
      <c r="K8" s="1492">
        <v>-390</v>
      </c>
      <c r="L8" s="1493">
        <v>-168</v>
      </c>
      <c r="M8" s="1489">
        <v>-289</v>
      </c>
      <c r="N8" s="1489">
        <v>-128</v>
      </c>
    </row>
    <row r="9" spans="1:14" ht="20.100000000000001" customHeight="1" x14ac:dyDescent="0.25">
      <c r="A9" s="1494" t="s">
        <v>299</v>
      </c>
      <c r="B9" s="1485">
        <v>120</v>
      </c>
      <c r="C9" s="1486">
        <v>123</v>
      </c>
      <c r="D9" s="1487">
        <v>54</v>
      </c>
      <c r="E9" s="1488">
        <v>7</v>
      </c>
      <c r="F9" s="1489">
        <v>18</v>
      </c>
      <c r="G9" s="1490">
        <v>40</v>
      </c>
      <c r="H9" s="1491">
        <v>12</v>
      </c>
      <c r="I9" s="1492">
        <v>-36</v>
      </c>
      <c r="J9" s="1489">
        <v>16</v>
      </c>
      <c r="K9" s="1492">
        <v>297</v>
      </c>
      <c r="L9" s="1493">
        <v>70</v>
      </c>
      <c r="M9" s="1489">
        <v>77</v>
      </c>
      <c r="N9" s="1489">
        <v>-48</v>
      </c>
    </row>
    <row r="10" spans="1:14" ht="20.100000000000001" customHeight="1" x14ac:dyDescent="0.25">
      <c r="A10" s="1494" t="s">
        <v>300</v>
      </c>
      <c r="B10" s="1485">
        <v>-7</v>
      </c>
      <c r="C10" s="1486">
        <v>-40</v>
      </c>
      <c r="D10" s="1487">
        <v>12</v>
      </c>
      <c r="E10" s="1488">
        <v>70</v>
      </c>
      <c r="F10" s="1489">
        <v>-82</v>
      </c>
      <c r="G10" s="1490">
        <v>69</v>
      </c>
      <c r="H10" s="1491">
        <v>-36</v>
      </c>
      <c r="I10" s="1492">
        <v>199</v>
      </c>
      <c r="J10" s="1489">
        <v>-27</v>
      </c>
      <c r="K10" s="1492">
        <v>-35</v>
      </c>
      <c r="L10" s="1493">
        <v>-49</v>
      </c>
      <c r="M10" s="1489">
        <v>21</v>
      </c>
      <c r="N10" s="1489">
        <v>-118</v>
      </c>
    </row>
    <row r="11" spans="1:14" ht="20.100000000000001" customHeight="1" x14ac:dyDescent="0.25">
      <c r="A11" s="1495" t="s">
        <v>442</v>
      </c>
      <c r="B11" s="1485">
        <v>-22</v>
      </c>
      <c r="C11" s="1496">
        <v>-113</v>
      </c>
      <c r="D11" s="1487">
        <v>-243</v>
      </c>
      <c r="E11" s="1488">
        <v>-390</v>
      </c>
      <c r="F11" s="1489">
        <v>-606</v>
      </c>
      <c r="G11" s="1489">
        <v>-400</v>
      </c>
      <c r="H11" s="1491">
        <v>-483</v>
      </c>
      <c r="I11" s="1492">
        <v>-242</v>
      </c>
      <c r="J11" s="1489">
        <v>-382</v>
      </c>
      <c r="K11" s="1492">
        <v>-378</v>
      </c>
      <c r="L11" s="1493">
        <v>-1489</v>
      </c>
      <c r="M11" s="1489">
        <v>-1879</v>
      </c>
      <c r="N11" s="1489">
        <v>-1481</v>
      </c>
    </row>
    <row r="12" spans="1:14" ht="20.100000000000001" customHeight="1" x14ac:dyDescent="0.25">
      <c r="A12" s="1484" t="s">
        <v>276</v>
      </c>
      <c r="B12" s="1485">
        <v>0</v>
      </c>
      <c r="C12" s="1496">
        <v>1</v>
      </c>
      <c r="D12" s="1487">
        <v>0</v>
      </c>
      <c r="E12" s="1488">
        <v>0</v>
      </c>
      <c r="F12" s="1489">
        <v>0</v>
      </c>
      <c r="G12" s="1489">
        <v>1</v>
      </c>
      <c r="H12" s="1491">
        <v>0</v>
      </c>
      <c r="I12" s="1492">
        <v>0</v>
      </c>
      <c r="J12" s="1489">
        <v>0</v>
      </c>
      <c r="K12" s="1492">
        <v>1</v>
      </c>
      <c r="L12" s="1493">
        <v>1</v>
      </c>
      <c r="M12" s="1489">
        <v>1</v>
      </c>
      <c r="N12" s="1489">
        <v>0</v>
      </c>
    </row>
    <row r="13" spans="1:14" ht="20.100000000000001" customHeight="1" x14ac:dyDescent="0.25">
      <c r="A13" s="1484" t="s">
        <v>443</v>
      </c>
      <c r="B13" s="1485">
        <v>58</v>
      </c>
      <c r="C13" s="1496">
        <v>131</v>
      </c>
      <c r="D13" s="1487">
        <v>1414</v>
      </c>
      <c r="E13" s="1488">
        <v>471</v>
      </c>
      <c r="F13" s="1489">
        <v>172</v>
      </c>
      <c r="G13" s="1489">
        <v>-23</v>
      </c>
      <c r="H13" s="1491">
        <v>3</v>
      </c>
      <c r="I13" s="1492">
        <v>825</v>
      </c>
      <c r="J13" s="1489">
        <v>17</v>
      </c>
      <c r="K13" s="1492">
        <v>1603</v>
      </c>
      <c r="L13" s="1493">
        <v>152</v>
      </c>
      <c r="M13" s="1489">
        <v>623</v>
      </c>
      <c r="N13" s="1489">
        <v>908</v>
      </c>
    </row>
    <row r="14" spans="1:14" ht="20.100000000000001" customHeight="1" x14ac:dyDescent="0.25">
      <c r="A14" s="1495" t="s">
        <v>278</v>
      </c>
      <c r="B14" s="1485">
        <v>-80</v>
      </c>
      <c r="C14" s="1496">
        <v>-245</v>
      </c>
      <c r="D14" s="1487">
        <v>-1657</v>
      </c>
      <c r="E14" s="1488">
        <v>-861</v>
      </c>
      <c r="F14" s="1489">
        <v>-778</v>
      </c>
      <c r="G14" s="1489">
        <v>-378</v>
      </c>
      <c r="H14" s="1491">
        <v>-486</v>
      </c>
      <c r="I14" s="1492">
        <v>-1067</v>
      </c>
      <c r="J14" s="1489">
        <v>-399</v>
      </c>
      <c r="K14" s="1492">
        <v>-1982</v>
      </c>
      <c r="L14" s="1493">
        <v>-1642</v>
      </c>
      <c r="M14" s="1489">
        <v>-2503</v>
      </c>
      <c r="N14" s="1489">
        <v>-2389</v>
      </c>
    </row>
    <row r="15" spans="1:14" ht="20.100000000000001" customHeight="1" x14ac:dyDescent="0.25">
      <c r="A15" s="1484" t="s">
        <v>444</v>
      </c>
      <c r="B15" s="1485">
        <v>-45</v>
      </c>
      <c r="C15" s="1496">
        <v>-137</v>
      </c>
      <c r="D15" s="1487">
        <v>-125</v>
      </c>
      <c r="E15" s="1488">
        <v>-243</v>
      </c>
      <c r="F15" s="1489">
        <v>-311</v>
      </c>
      <c r="G15" s="1489">
        <v>-196</v>
      </c>
      <c r="H15" s="1491">
        <v>-256</v>
      </c>
      <c r="I15" s="1492">
        <v>-509</v>
      </c>
      <c r="J15" s="1489">
        <v>-308</v>
      </c>
      <c r="K15" s="1492">
        <v>-307</v>
      </c>
      <c r="L15" s="1493">
        <v>-763</v>
      </c>
      <c r="M15" s="1489">
        <v>-1006</v>
      </c>
      <c r="N15" s="1489">
        <v>-866</v>
      </c>
    </row>
    <row r="16" spans="1:14" ht="20.100000000000001" customHeight="1" x14ac:dyDescent="0.25">
      <c r="A16" s="1495" t="s">
        <v>445</v>
      </c>
      <c r="B16" s="1485">
        <v>-35</v>
      </c>
      <c r="C16" s="1496">
        <v>-108</v>
      </c>
      <c r="D16" s="1487">
        <v>-1532</v>
      </c>
      <c r="E16" s="1488">
        <v>-618</v>
      </c>
      <c r="F16" s="1489">
        <v>-467</v>
      </c>
      <c r="G16" s="1489">
        <v>-182</v>
      </c>
      <c r="H16" s="1491">
        <v>-230</v>
      </c>
      <c r="I16" s="1492">
        <v>-558</v>
      </c>
      <c r="J16" s="1489">
        <v>-91</v>
      </c>
      <c r="K16" s="1492">
        <v>-1675</v>
      </c>
      <c r="L16" s="1493">
        <v>-879</v>
      </c>
      <c r="M16" s="1489">
        <v>-1497</v>
      </c>
      <c r="N16" s="1489">
        <v>-1523</v>
      </c>
    </row>
    <row r="17" spans="1:14" ht="20.100000000000001" customHeight="1" x14ac:dyDescent="0.25">
      <c r="A17" s="1495"/>
      <c r="B17" s="1497"/>
      <c r="C17" s="1498"/>
      <c r="D17" s="1499"/>
      <c r="E17" s="1500"/>
      <c r="F17" s="1501"/>
      <c r="G17" s="1501"/>
      <c r="H17" s="1502"/>
      <c r="I17" s="1500"/>
      <c r="J17" s="1501"/>
      <c r="K17" s="1500"/>
      <c r="L17" s="1502"/>
      <c r="M17" s="1501"/>
      <c r="N17" s="1501"/>
    </row>
    <row r="18" spans="1:14" ht="20.100000000000001" customHeight="1" x14ac:dyDescent="0.25">
      <c r="A18" s="1484" t="s">
        <v>446</v>
      </c>
      <c r="B18" s="1485">
        <v>-15</v>
      </c>
      <c r="C18" s="1496">
        <v>44</v>
      </c>
      <c r="D18" s="1487">
        <v>1362</v>
      </c>
      <c r="E18" s="1488">
        <v>493</v>
      </c>
      <c r="F18" s="1489">
        <v>312</v>
      </c>
      <c r="G18" s="1489">
        <v>0</v>
      </c>
      <c r="H18" s="1491">
        <v>0</v>
      </c>
      <c r="I18" s="1492">
        <v>420</v>
      </c>
      <c r="J18" s="1489">
        <v>0</v>
      </c>
      <c r="K18" s="1492">
        <v>1391</v>
      </c>
      <c r="L18" s="1493">
        <v>312</v>
      </c>
      <c r="M18" s="1489">
        <v>805</v>
      </c>
      <c r="N18" s="1489">
        <v>420</v>
      </c>
    </row>
    <row r="19" spans="1:14" ht="20.100000000000001" customHeight="1" x14ac:dyDescent="0.25">
      <c r="A19" s="1495" t="s">
        <v>447</v>
      </c>
      <c r="B19" s="1497">
        <v>-95</v>
      </c>
      <c r="C19" s="1498">
        <v>-201</v>
      </c>
      <c r="D19" s="1499">
        <v>-295</v>
      </c>
      <c r="E19" s="1503">
        <v>-368</v>
      </c>
      <c r="F19" s="1498">
        <v>-466</v>
      </c>
      <c r="G19" s="1498">
        <v>-378</v>
      </c>
      <c r="H19" s="1499">
        <v>-486</v>
      </c>
      <c r="I19" s="1503">
        <v>-647</v>
      </c>
      <c r="J19" s="1498">
        <v>-399</v>
      </c>
      <c r="K19" s="1492">
        <v>-591</v>
      </c>
      <c r="L19" s="1493">
        <v>-1330</v>
      </c>
      <c r="M19" s="1498">
        <v>-1698</v>
      </c>
      <c r="N19" s="1498">
        <v>-1969</v>
      </c>
    </row>
    <row r="20" spans="1:14" ht="20.100000000000001" customHeight="1" x14ac:dyDescent="0.25">
      <c r="A20" s="1484" t="s">
        <v>448</v>
      </c>
      <c r="B20" s="1485">
        <v>-22</v>
      </c>
      <c r="C20" s="1496">
        <v>29</v>
      </c>
      <c r="D20" s="1487">
        <v>1355</v>
      </c>
      <c r="E20" s="1488">
        <v>417</v>
      </c>
      <c r="F20" s="1489">
        <v>266</v>
      </c>
      <c r="G20" s="1489">
        <v>0</v>
      </c>
      <c r="H20" s="1491">
        <v>0</v>
      </c>
      <c r="I20" s="1492">
        <v>275</v>
      </c>
      <c r="J20" s="1489">
        <v>0</v>
      </c>
      <c r="K20" s="1492">
        <v>1362</v>
      </c>
      <c r="L20" s="1493">
        <v>266</v>
      </c>
      <c r="M20" s="1489">
        <v>683</v>
      </c>
      <c r="N20" s="1489">
        <v>854</v>
      </c>
    </row>
    <row r="21" spans="1:14" ht="20.100000000000001" customHeight="1" x14ac:dyDescent="0.25">
      <c r="A21" s="1495" t="s">
        <v>449</v>
      </c>
      <c r="B21" s="1485">
        <v>-57</v>
      </c>
      <c r="C21" s="1496">
        <v>-79</v>
      </c>
      <c r="D21" s="1487">
        <v>-177</v>
      </c>
      <c r="E21" s="1488">
        <v>-201</v>
      </c>
      <c r="F21" s="1489">
        <v>-201</v>
      </c>
      <c r="G21" s="1489">
        <v>-182</v>
      </c>
      <c r="H21" s="1491">
        <v>-230</v>
      </c>
      <c r="I21" s="1492">
        <v>-283</v>
      </c>
      <c r="J21" s="1489">
        <v>-91</v>
      </c>
      <c r="K21" s="1492">
        <v>-313</v>
      </c>
      <c r="L21" s="1493">
        <v>-613</v>
      </c>
      <c r="M21" s="1489">
        <v>-814</v>
      </c>
      <c r="N21" s="1489">
        <v>-669</v>
      </c>
    </row>
    <row r="22" spans="1:14" ht="20.100000000000001" customHeight="1" x14ac:dyDescent="0.25">
      <c r="A22" s="1495"/>
      <c r="B22" s="1485"/>
      <c r="C22" s="1496"/>
      <c r="D22" s="1504"/>
      <c r="E22" s="1505"/>
      <c r="F22" s="1506"/>
      <c r="G22" s="1506"/>
      <c r="H22" s="1507"/>
      <c r="I22" s="1508"/>
      <c r="J22" s="1506"/>
      <c r="K22" s="1509"/>
      <c r="L22" s="1510"/>
      <c r="M22" s="1506"/>
      <c r="N22" s="1506"/>
    </row>
    <row r="23" spans="1:14" ht="20.100000000000001" customHeight="1" x14ac:dyDescent="0.25">
      <c r="A23" s="1495" t="s">
        <v>450</v>
      </c>
      <c r="B23" s="1485">
        <v>36</v>
      </c>
      <c r="C23" s="1496">
        <v>17</v>
      </c>
      <c r="D23" s="1487">
        <v>-191</v>
      </c>
      <c r="E23" s="1511">
        <v>1</v>
      </c>
      <c r="F23" s="1496">
        <v>-2</v>
      </c>
      <c r="G23" s="1496">
        <v>0</v>
      </c>
      <c r="H23" s="1512">
        <v>0</v>
      </c>
      <c r="I23" s="1513">
        <v>-3</v>
      </c>
      <c r="J23" s="1496">
        <v>-1</v>
      </c>
      <c r="K23" s="1513">
        <v>-138</v>
      </c>
      <c r="L23" s="1514">
        <v>-2</v>
      </c>
      <c r="M23" s="1496">
        <v>-1</v>
      </c>
      <c r="N23" s="1496">
        <v>-3</v>
      </c>
    </row>
    <row r="24" spans="1:14" ht="20.100000000000001" customHeight="1" x14ac:dyDescent="0.25">
      <c r="A24" s="1495" t="s">
        <v>307</v>
      </c>
      <c r="B24" s="1485">
        <v>-71</v>
      </c>
      <c r="C24" s="1496">
        <v>-125</v>
      </c>
      <c r="D24" s="1487">
        <v>-1341</v>
      </c>
      <c r="E24" s="1488">
        <v>-619</v>
      </c>
      <c r="F24" s="1489">
        <v>-465</v>
      </c>
      <c r="G24" s="1489">
        <v>-182</v>
      </c>
      <c r="H24" s="1491">
        <v>-230</v>
      </c>
      <c r="I24" s="1492">
        <v>-555</v>
      </c>
      <c r="J24" s="1489">
        <v>-90</v>
      </c>
      <c r="K24" s="1492">
        <v>-1537</v>
      </c>
      <c r="L24" s="1493">
        <v>-877</v>
      </c>
      <c r="M24" s="1489">
        <v>-1496</v>
      </c>
      <c r="N24" s="1489">
        <v>-1520</v>
      </c>
    </row>
    <row r="25" spans="1:14" ht="20.100000000000001" customHeight="1" x14ac:dyDescent="0.25">
      <c r="A25" s="1495"/>
      <c r="B25" s="1485"/>
      <c r="C25" s="1496"/>
      <c r="D25" s="1504"/>
      <c r="E25" s="1505"/>
      <c r="F25" s="1506"/>
      <c r="G25" s="1506"/>
      <c r="H25" s="1507"/>
      <c r="I25" s="1508"/>
      <c r="J25" s="1506"/>
      <c r="K25" s="1509"/>
      <c r="L25" s="1510"/>
      <c r="M25" s="1506"/>
      <c r="N25" s="1506"/>
    </row>
    <row r="26" spans="1:14" ht="20.100000000000001" customHeight="1" x14ac:dyDescent="0.25">
      <c r="A26" s="1495" t="s">
        <v>451</v>
      </c>
      <c r="B26" s="1485">
        <v>-1</v>
      </c>
      <c r="C26" s="1496">
        <v>1</v>
      </c>
      <c r="D26" s="1487">
        <v>0</v>
      </c>
      <c r="E26" s="1511">
        <v>1</v>
      </c>
      <c r="F26" s="1496">
        <v>0</v>
      </c>
      <c r="G26" s="1496">
        <v>0</v>
      </c>
      <c r="H26" s="1512">
        <v>0</v>
      </c>
      <c r="I26" s="1513">
        <v>0</v>
      </c>
      <c r="J26" s="1496">
        <v>-1</v>
      </c>
      <c r="K26" s="1513">
        <v>0</v>
      </c>
      <c r="L26" s="1514">
        <v>0</v>
      </c>
      <c r="M26" s="1496">
        <v>1</v>
      </c>
      <c r="N26" s="1496">
        <v>0</v>
      </c>
    </row>
    <row r="27" spans="1:14" ht="20.100000000000001" customHeight="1" x14ac:dyDescent="0.25">
      <c r="A27" s="1515" t="s">
        <v>452</v>
      </c>
      <c r="B27" s="1516">
        <v>-56</v>
      </c>
      <c r="C27" s="1517">
        <v>-80</v>
      </c>
      <c r="D27" s="1518">
        <v>-177</v>
      </c>
      <c r="E27" s="1519">
        <v>-202</v>
      </c>
      <c r="F27" s="1520">
        <v>-201</v>
      </c>
      <c r="G27" s="1520">
        <v>-182</v>
      </c>
      <c r="H27" s="1521">
        <v>-230</v>
      </c>
      <c r="I27" s="1522">
        <v>-283</v>
      </c>
      <c r="J27" s="1520">
        <v>-90</v>
      </c>
      <c r="K27" s="1522">
        <v>-313</v>
      </c>
      <c r="L27" s="1523">
        <v>-613</v>
      </c>
      <c r="M27" s="1520">
        <v>-815</v>
      </c>
      <c r="N27" s="1520">
        <v>-669</v>
      </c>
    </row>
    <row r="28" spans="1:14" ht="20.100000000000001" customHeight="1" x14ac:dyDescent="0.25">
      <c r="A28" s="1524" t="s">
        <v>453</v>
      </c>
      <c r="B28" s="1525"/>
      <c r="C28" s="1526"/>
      <c r="D28" s="1527"/>
      <c r="E28" s="1528"/>
      <c r="F28" s="1529"/>
      <c r="G28" s="1529"/>
      <c r="H28" s="1530"/>
      <c r="I28" s="1531"/>
      <c r="J28" s="1529"/>
      <c r="K28" s="1532"/>
      <c r="L28" s="1533"/>
      <c r="M28" s="1529"/>
      <c r="N28" s="1529"/>
    </row>
    <row r="29" spans="1:14" ht="20.100000000000001" customHeight="1" x14ac:dyDescent="0.25">
      <c r="A29" s="1534" t="s">
        <v>327</v>
      </c>
      <c r="B29" s="1535">
        <v>227.7</v>
      </c>
      <c r="C29" s="1536">
        <v>238.4</v>
      </c>
      <c r="D29" s="1537">
        <v>223.6</v>
      </c>
      <c r="E29" s="1538">
        <v>216.1</v>
      </c>
      <c r="F29" s="1539">
        <v>210.5</v>
      </c>
      <c r="G29" s="1539">
        <v>202.7</v>
      </c>
      <c r="H29" s="1540">
        <v>202.7</v>
      </c>
      <c r="I29" s="1541">
        <v>191.4</v>
      </c>
      <c r="J29" s="1539">
        <v>184.4</v>
      </c>
      <c r="K29" s="1541">
        <v>229.7</v>
      </c>
      <c r="L29" s="1542">
        <v>205.6</v>
      </c>
      <c r="M29" s="1536">
        <v>208.2</v>
      </c>
      <c r="N29" s="1539">
        <v>186.7</v>
      </c>
    </row>
    <row r="30" spans="1:14" ht="20.100000000000001" customHeight="1" x14ac:dyDescent="0.25">
      <c r="A30" s="1515" t="s">
        <v>332</v>
      </c>
      <c r="B30" s="1543">
        <v>243.2</v>
      </c>
      <c r="C30" s="1544">
        <v>257.60000000000002</v>
      </c>
      <c r="D30" s="1545">
        <v>262.8</v>
      </c>
      <c r="E30" s="1546">
        <v>260</v>
      </c>
      <c r="F30" s="1544">
        <v>256.5</v>
      </c>
      <c r="G30" s="1544">
        <v>247.3</v>
      </c>
      <c r="H30" s="1547">
        <v>251.6</v>
      </c>
      <c r="I30" s="1548">
        <v>252.6</v>
      </c>
      <c r="J30" s="1544">
        <v>273</v>
      </c>
      <c r="K30" s="1549">
        <v>254.7</v>
      </c>
      <c r="L30" s="1550">
        <v>252</v>
      </c>
      <c r="M30" s="1544">
        <v>254</v>
      </c>
      <c r="N30" s="1544">
        <v>272.2</v>
      </c>
    </row>
    <row r="31" spans="1:14" ht="20.100000000000001" customHeight="1" x14ac:dyDescent="0.25">
      <c r="A31" s="1524" t="s">
        <v>454</v>
      </c>
      <c r="B31" s="1525"/>
      <c r="C31" s="1526"/>
      <c r="D31" s="1527"/>
      <c r="E31" s="1528"/>
      <c r="F31" s="1529"/>
      <c r="G31" s="1529"/>
      <c r="H31" s="1530"/>
      <c r="I31" s="1531"/>
      <c r="J31" s="1529"/>
      <c r="K31" s="1532"/>
      <c r="L31" s="1533"/>
      <c r="M31" s="1529"/>
      <c r="N31" s="1529"/>
    </row>
    <row r="32" spans="1:14" ht="20.100000000000001" customHeight="1" x14ac:dyDescent="0.25">
      <c r="A32" s="1484" t="s">
        <v>455</v>
      </c>
      <c r="B32" s="1485">
        <v>0</v>
      </c>
      <c r="C32" s="1496">
        <v>0</v>
      </c>
      <c r="D32" s="1551">
        <v>0</v>
      </c>
      <c r="E32" s="1488">
        <v>0</v>
      </c>
      <c r="F32" s="1489">
        <v>1</v>
      </c>
      <c r="G32" s="1489">
        <v>0</v>
      </c>
      <c r="H32" s="1491">
        <v>2</v>
      </c>
      <c r="I32" s="1492">
        <v>7</v>
      </c>
      <c r="J32" s="1489">
        <v>9</v>
      </c>
      <c r="K32" s="1513">
        <v>0</v>
      </c>
      <c r="L32" s="1514">
        <v>3</v>
      </c>
      <c r="M32" s="1489">
        <v>3</v>
      </c>
      <c r="N32" s="1489">
        <v>36</v>
      </c>
    </row>
    <row r="33" spans="1:14" ht="20.100000000000001" customHeight="1" x14ac:dyDescent="0.25">
      <c r="A33" s="1484" t="s">
        <v>456</v>
      </c>
      <c r="B33" s="1485">
        <v>0</v>
      </c>
      <c r="C33" s="1496">
        <v>0</v>
      </c>
      <c r="D33" s="1487">
        <v>0</v>
      </c>
      <c r="E33" s="1488">
        <v>2</v>
      </c>
      <c r="F33" s="1489">
        <v>5</v>
      </c>
      <c r="G33" s="1489">
        <v>4</v>
      </c>
      <c r="H33" s="1491">
        <v>41</v>
      </c>
      <c r="I33" s="1492">
        <v>108</v>
      </c>
      <c r="J33" s="1489">
        <v>110</v>
      </c>
      <c r="K33" s="1513">
        <v>0</v>
      </c>
      <c r="L33" s="1514">
        <v>50</v>
      </c>
      <c r="M33" s="1489">
        <v>52</v>
      </c>
      <c r="N33" s="1489">
        <v>437</v>
      </c>
    </row>
    <row r="34" spans="1:14" ht="20.100000000000001" customHeight="1" x14ac:dyDescent="0.25">
      <c r="A34" s="1552" t="s">
        <v>457</v>
      </c>
      <c r="B34" s="1485">
        <v>0</v>
      </c>
      <c r="C34" s="1496">
        <v>0</v>
      </c>
      <c r="D34" s="1487">
        <v>0</v>
      </c>
      <c r="E34" s="1488">
        <v>2</v>
      </c>
      <c r="F34" s="1496">
        <v>6</v>
      </c>
      <c r="G34" s="1496">
        <v>4</v>
      </c>
      <c r="H34" s="1512">
        <v>43</v>
      </c>
      <c r="I34" s="1492">
        <v>115</v>
      </c>
      <c r="J34" s="1496">
        <v>119</v>
      </c>
      <c r="K34" s="1513">
        <v>0</v>
      </c>
      <c r="L34" s="1514">
        <v>53</v>
      </c>
      <c r="M34" s="1496">
        <v>55</v>
      </c>
      <c r="N34" s="1496">
        <v>473</v>
      </c>
    </row>
    <row r="35" spans="1:14" ht="20.100000000000001" customHeight="1" x14ac:dyDescent="0.25">
      <c r="A35" s="1553" t="s">
        <v>458</v>
      </c>
      <c r="B35" s="1554">
        <v>0</v>
      </c>
      <c r="C35" s="1555">
        <v>0</v>
      </c>
      <c r="D35" s="1556">
        <v>0</v>
      </c>
      <c r="E35" s="1557">
        <v>-2</v>
      </c>
      <c r="F35" s="1555">
        <v>-6</v>
      </c>
      <c r="G35" s="1555">
        <v>-4</v>
      </c>
      <c r="H35" s="1556">
        <v>-43</v>
      </c>
      <c r="I35" s="1557">
        <v>-115</v>
      </c>
      <c r="J35" s="1555">
        <v>-119</v>
      </c>
      <c r="K35" s="1558">
        <v>0</v>
      </c>
      <c r="L35" s="1556">
        <v>-53</v>
      </c>
      <c r="M35" s="1555">
        <v>-55</v>
      </c>
      <c r="N35" s="1555">
        <v>-473</v>
      </c>
    </row>
    <row r="36" spans="1:14" ht="13.05" customHeight="1" x14ac:dyDescent="0.25">
      <c r="A36" s="1559"/>
      <c r="B36" s="1560"/>
      <c r="C36" s="1560"/>
      <c r="D36" s="1560"/>
      <c r="E36" s="1560"/>
      <c r="F36" s="1560"/>
      <c r="G36" s="1560"/>
      <c r="H36" s="1560"/>
      <c r="I36" s="1560"/>
      <c r="J36" s="1560"/>
      <c r="K36" s="1560"/>
      <c r="L36" s="1560"/>
      <c r="M36" s="1560"/>
      <c r="N36" s="1560"/>
    </row>
    <row r="37" spans="1:14" ht="12" customHeight="1" x14ac:dyDescent="0.25">
      <c r="A37" s="3510" t="s">
        <v>459</v>
      </c>
      <c r="B37" s="3510" t="s">
        <v>14</v>
      </c>
      <c r="C37" s="3510" t="s">
        <v>14</v>
      </c>
      <c r="D37" s="3510" t="s">
        <v>14</v>
      </c>
      <c r="E37" s="3510" t="s">
        <v>14</v>
      </c>
      <c r="F37" s="3510" t="s">
        <v>14</v>
      </c>
      <c r="G37" s="3510" t="s">
        <v>14</v>
      </c>
      <c r="H37" s="3510" t="s">
        <v>14</v>
      </c>
      <c r="I37" s="3510" t="s">
        <v>14</v>
      </c>
      <c r="J37" s="3510" t="s">
        <v>14</v>
      </c>
      <c r="K37" s="3510" t="s">
        <v>14</v>
      </c>
      <c r="L37" s="3510" t="s">
        <v>14</v>
      </c>
      <c r="M37" s="3510" t="s">
        <v>14</v>
      </c>
      <c r="N37" s="3510" t="s">
        <v>14</v>
      </c>
    </row>
    <row r="38" spans="1:14" ht="23.85" customHeight="1" x14ac:dyDescent="0.25">
      <c r="A38" s="3510" t="s">
        <v>460</v>
      </c>
      <c r="B38" s="3510" t="s">
        <v>14</v>
      </c>
      <c r="C38" s="3510" t="s">
        <v>14</v>
      </c>
      <c r="D38" s="3510" t="s">
        <v>14</v>
      </c>
      <c r="E38" s="3510" t="s">
        <v>14</v>
      </c>
      <c r="F38" s="3510" t="s">
        <v>14</v>
      </c>
      <c r="G38" s="3510" t="s">
        <v>14</v>
      </c>
      <c r="H38" s="3510" t="s">
        <v>14</v>
      </c>
      <c r="I38" s="3510" t="s">
        <v>14</v>
      </c>
      <c r="J38" s="3510" t="s">
        <v>14</v>
      </c>
      <c r="K38" s="3510" t="s">
        <v>14</v>
      </c>
      <c r="L38" s="3510" t="s">
        <v>14</v>
      </c>
      <c r="M38" s="3510" t="s">
        <v>14</v>
      </c>
      <c r="N38" s="3510" t="s">
        <v>14</v>
      </c>
    </row>
    <row r="39" spans="1:14" ht="26.85" customHeight="1" x14ac:dyDescent="0.25">
      <c r="A39" s="3510" t="s">
        <v>461</v>
      </c>
      <c r="B39" s="3511" t="s">
        <v>14</v>
      </c>
      <c r="C39" s="3511" t="s">
        <v>14</v>
      </c>
      <c r="D39" s="3511" t="s">
        <v>14</v>
      </c>
      <c r="E39" s="3511" t="s">
        <v>14</v>
      </c>
      <c r="F39" s="3511" t="s">
        <v>14</v>
      </c>
      <c r="G39" s="3511" t="s">
        <v>14</v>
      </c>
      <c r="H39" s="3511" t="s">
        <v>14</v>
      </c>
      <c r="I39" s="3511" t="s">
        <v>14</v>
      </c>
      <c r="J39" s="3511" t="s">
        <v>14</v>
      </c>
      <c r="K39" s="3511" t="s">
        <v>14</v>
      </c>
      <c r="L39" s="3511" t="s">
        <v>14</v>
      </c>
      <c r="M39" s="3511" t="s">
        <v>14</v>
      </c>
      <c r="N39" s="3511" t="s">
        <v>14</v>
      </c>
    </row>
    <row r="40" spans="1:14" ht="49.05" customHeight="1" x14ac:dyDescent="0.25">
      <c r="A40" s="3510" t="s">
        <v>1039</v>
      </c>
      <c r="B40" s="3510" t="s">
        <v>14</v>
      </c>
      <c r="C40" s="3510" t="s">
        <v>14</v>
      </c>
      <c r="D40" s="3510" t="s">
        <v>14</v>
      </c>
      <c r="E40" s="3510" t="s">
        <v>14</v>
      </c>
      <c r="F40" s="3510" t="s">
        <v>14</v>
      </c>
      <c r="G40" s="3510" t="s">
        <v>14</v>
      </c>
      <c r="H40" s="3510" t="s">
        <v>14</v>
      </c>
      <c r="I40" s="3510" t="s">
        <v>14</v>
      </c>
      <c r="J40" s="3510" t="s">
        <v>14</v>
      </c>
      <c r="K40" s="3510" t="s">
        <v>14</v>
      </c>
      <c r="L40" s="3510" t="s">
        <v>14</v>
      </c>
      <c r="M40" s="3510" t="s">
        <v>14</v>
      </c>
      <c r="N40" s="3510" t="s">
        <v>14</v>
      </c>
    </row>
    <row r="41" spans="1:14" ht="15" customHeight="1" x14ac:dyDescent="0.25">
      <c r="A41" s="3510"/>
      <c r="B41" s="3510" t="s">
        <v>14</v>
      </c>
      <c r="C41" s="3510" t="s">
        <v>14</v>
      </c>
      <c r="D41" s="3510" t="s">
        <v>14</v>
      </c>
      <c r="E41" s="3510" t="s">
        <v>14</v>
      </c>
      <c r="F41" s="3510" t="s">
        <v>14</v>
      </c>
      <c r="G41" s="3510" t="s">
        <v>14</v>
      </c>
      <c r="H41" s="3510" t="s">
        <v>14</v>
      </c>
      <c r="I41" s="3510" t="s">
        <v>14</v>
      </c>
      <c r="J41" s="3510" t="s">
        <v>14</v>
      </c>
      <c r="K41" s="3510" t="s">
        <v>14</v>
      </c>
      <c r="L41" s="3510" t="s">
        <v>14</v>
      </c>
      <c r="M41" s="3510" t="s">
        <v>14</v>
      </c>
      <c r="N41" s="3510" t="s">
        <v>14</v>
      </c>
    </row>
    <row r="42" spans="1:14" ht="10.35" customHeight="1" x14ac:dyDescent="0.25">
      <c r="A42" s="1561"/>
      <c r="B42" s="332"/>
      <c r="C42" s="332"/>
      <c r="D42" s="332"/>
      <c r="E42" s="332"/>
      <c r="F42" s="332"/>
      <c r="G42" s="332"/>
      <c r="H42" s="332"/>
      <c r="I42" s="332"/>
      <c r="J42" s="332"/>
      <c r="K42" s="332"/>
      <c r="L42" s="332"/>
      <c r="M42" s="332"/>
      <c r="N42" s="332"/>
    </row>
    <row r="43" spans="1:14" ht="10.35" customHeight="1" x14ac:dyDescent="0.25">
      <c r="A43" s="332"/>
      <c r="B43" s="332"/>
      <c r="C43" s="332"/>
      <c r="D43" s="332"/>
      <c r="E43" s="332"/>
      <c r="F43" s="332"/>
      <c r="G43" s="332"/>
      <c r="H43" s="332"/>
      <c r="I43" s="332"/>
      <c r="J43" s="332"/>
      <c r="K43" s="332"/>
      <c r="L43" s="332"/>
      <c r="M43" s="332"/>
      <c r="N43" s="332"/>
    </row>
    <row r="44" spans="1:14" ht="10.35" customHeight="1" x14ac:dyDescent="0.25">
      <c r="A44" s="332"/>
      <c r="B44" s="332"/>
      <c r="C44" s="332"/>
      <c r="D44" s="332"/>
      <c r="E44" s="332"/>
      <c r="F44" s="332"/>
      <c r="G44" s="332"/>
      <c r="H44" s="332"/>
      <c r="I44" s="332"/>
      <c r="J44" s="332"/>
      <c r="K44" s="332"/>
      <c r="L44" s="332"/>
      <c r="M44" s="332"/>
      <c r="N44" s="332"/>
    </row>
  </sheetData>
  <mergeCells count="11">
    <mergeCell ref="A2:N2"/>
    <mergeCell ref="B3:D3"/>
    <mergeCell ref="E3:H3"/>
    <mergeCell ref="I3:J3"/>
    <mergeCell ref="K3:L3"/>
    <mergeCell ref="M3:N3"/>
    <mergeCell ref="A37:N37"/>
    <mergeCell ref="A38:N38"/>
    <mergeCell ref="A39:N39"/>
    <mergeCell ref="A40:N40"/>
    <mergeCell ref="A41:N41"/>
  </mergeCells>
  <hyperlinks>
    <hyperlink ref="A1" location="ToC!A2" display="Back to Table of Contents" xr:uid="{BE15FDAB-5596-4368-A60D-6908B9C21713}"/>
  </hyperlinks>
  <pageMargins left="0.5" right="0.5" top="0.5" bottom="0.5" header="0.25" footer="0.25"/>
  <pageSetup scale="58" orientation="landscape" r:id="rId1"/>
  <headerFooter>
    <oddFooter>&amp;L&amp;G&amp;C&amp;"Scotia,Regular"&amp;9Supplementary Financial Information (SFI)&amp;R9&amp;"Scotia,Regular"&amp;7</oddFooter>
  </headerFooter>
  <ignoredErrors>
    <ignoredError sqref="B3" numberStoredAsText="1"/>
  </ignoredError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B8E5-5747-4E8D-9DBD-B9D814B96868}">
  <sheetPr>
    <pageSetUpPr fitToPage="1"/>
  </sheetPr>
  <dimension ref="A1:N39"/>
  <sheetViews>
    <sheetView showGridLines="0" zoomScaleNormal="100" workbookViewId="0"/>
  </sheetViews>
  <sheetFormatPr defaultColWidth="8.77734375" defaultRowHeight="13.2" x14ac:dyDescent="0.25"/>
  <cols>
    <col min="1" max="1" width="58" style="22" customWidth="1"/>
    <col min="2" max="2" width="8.21875" style="22" customWidth="1"/>
    <col min="3" max="3" width="8.44140625" style="22" customWidth="1"/>
    <col min="4" max="10" width="8.21875" style="22" customWidth="1"/>
    <col min="11" max="11" width="8.77734375" style="22" bestFit="1" customWidth="1"/>
    <col min="12" max="12" width="9.21875" style="22" customWidth="1"/>
    <col min="13" max="14" width="8.77734375" style="22" customWidth="1"/>
    <col min="15" max="16384" width="8.77734375" style="22"/>
  </cols>
  <sheetData>
    <row r="1" spans="1:14" ht="19.95" customHeight="1" x14ac:dyDescent="0.25">
      <c r="A1" s="21" t="s">
        <v>12</v>
      </c>
    </row>
    <row r="2" spans="1:14" ht="24.6" customHeight="1" x14ac:dyDescent="0.25">
      <c r="A2" s="3547" t="s">
        <v>462</v>
      </c>
      <c r="B2" s="3547" t="s">
        <v>14</v>
      </c>
      <c r="C2" s="3547" t="s">
        <v>14</v>
      </c>
      <c r="D2" s="3547" t="s">
        <v>14</v>
      </c>
      <c r="E2" s="3547" t="s">
        <v>14</v>
      </c>
      <c r="F2" s="3547" t="s">
        <v>14</v>
      </c>
      <c r="G2" s="3547" t="s">
        <v>14</v>
      </c>
      <c r="H2" s="3547" t="s">
        <v>14</v>
      </c>
      <c r="I2" s="3547" t="s">
        <v>14</v>
      </c>
      <c r="J2" s="3547" t="s">
        <v>14</v>
      </c>
      <c r="K2" s="3547" t="s">
        <v>14</v>
      </c>
      <c r="L2" s="3547" t="s">
        <v>14</v>
      </c>
      <c r="M2" s="3547" t="s">
        <v>14</v>
      </c>
      <c r="N2" s="3547" t="s">
        <v>14</v>
      </c>
    </row>
    <row r="3" spans="1:14" ht="15" customHeight="1" x14ac:dyDescent="0.25">
      <c r="A3" s="1562"/>
      <c r="B3" s="3548" t="s">
        <v>172</v>
      </c>
      <c r="C3" s="3548" t="s">
        <v>14</v>
      </c>
      <c r="D3" s="3549" t="s">
        <v>14</v>
      </c>
      <c r="E3" s="3550" t="s">
        <v>343</v>
      </c>
      <c r="F3" s="3551" t="s">
        <v>14</v>
      </c>
      <c r="G3" s="3551" t="s">
        <v>14</v>
      </c>
      <c r="H3" s="3552" t="s">
        <v>14</v>
      </c>
      <c r="I3" s="3550" t="s">
        <v>344</v>
      </c>
      <c r="J3" s="3551" t="s">
        <v>14</v>
      </c>
      <c r="K3" s="3550" t="s">
        <v>173</v>
      </c>
      <c r="L3" s="3553" t="s">
        <v>14</v>
      </c>
      <c r="M3" s="3551" t="s">
        <v>174</v>
      </c>
      <c r="N3" s="3551" t="s">
        <v>14</v>
      </c>
    </row>
    <row r="4" spans="1:14" ht="15" customHeight="1" x14ac:dyDescent="0.25">
      <c r="A4" s="1563" t="s">
        <v>270</v>
      </c>
      <c r="B4" s="1564" t="s">
        <v>176</v>
      </c>
      <c r="C4" s="1565" t="s">
        <v>177</v>
      </c>
      <c r="D4" s="1566" t="s">
        <v>178</v>
      </c>
      <c r="E4" s="1567" t="s">
        <v>179</v>
      </c>
      <c r="F4" s="1565" t="s">
        <v>180</v>
      </c>
      <c r="G4" s="1565" t="s">
        <v>177</v>
      </c>
      <c r="H4" s="1566" t="s">
        <v>178</v>
      </c>
      <c r="I4" s="1568" t="s">
        <v>179</v>
      </c>
      <c r="J4" s="1565" t="s">
        <v>180</v>
      </c>
      <c r="K4" s="1569">
        <v>2025</v>
      </c>
      <c r="L4" s="1570">
        <v>2024</v>
      </c>
      <c r="M4" s="1571">
        <v>2024</v>
      </c>
      <c r="N4" s="1571">
        <v>2023</v>
      </c>
    </row>
    <row r="5" spans="1:14" ht="15" customHeight="1" x14ac:dyDescent="0.25">
      <c r="A5" s="1572" t="s">
        <v>463</v>
      </c>
      <c r="B5" s="1573">
        <v>228</v>
      </c>
      <c r="C5" s="1574">
        <v>223</v>
      </c>
      <c r="D5" s="1575">
        <v>218</v>
      </c>
      <c r="E5" s="1576">
        <v>226</v>
      </c>
      <c r="F5" s="1577">
        <v>220</v>
      </c>
      <c r="G5" s="1577">
        <v>214</v>
      </c>
      <c r="H5" s="1578">
        <v>209</v>
      </c>
      <c r="I5" s="1579">
        <v>199</v>
      </c>
      <c r="J5" s="1577">
        <v>188</v>
      </c>
      <c r="K5" s="1579">
        <v>669</v>
      </c>
      <c r="L5" s="1580">
        <v>643</v>
      </c>
      <c r="M5" s="1577">
        <v>869</v>
      </c>
      <c r="N5" s="1577">
        <v>778</v>
      </c>
    </row>
    <row r="6" spans="1:14" ht="15" customHeight="1" x14ac:dyDescent="0.25">
      <c r="A6" s="1581" t="s">
        <v>464</v>
      </c>
      <c r="B6" s="1582">
        <v>500</v>
      </c>
      <c r="C6" s="1583">
        <v>496</v>
      </c>
      <c r="D6" s="1499">
        <v>502</v>
      </c>
      <c r="E6" s="1584">
        <v>484</v>
      </c>
      <c r="F6" s="1585">
        <v>494</v>
      </c>
      <c r="G6" s="1585">
        <v>477</v>
      </c>
      <c r="H6" s="1502">
        <v>500</v>
      </c>
      <c r="I6" s="1586">
        <v>474</v>
      </c>
      <c r="J6" s="1585">
        <v>474</v>
      </c>
      <c r="K6" s="1586">
        <v>1498</v>
      </c>
      <c r="L6" s="1587">
        <v>1471</v>
      </c>
      <c r="M6" s="1585">
        <v>1955</v>
      </c>
      <c r="N6" s="1585">
        <v>1879</v>
      </c>
    </row>
    <row r="7" spans="1:14" ht="15" customHeight="1" x14ac:dyDescent="0.25">
      <c r="A7" s="1581" t="s">
        <v>465</v>
      </c>
      <c r="B7" s="1582">
        <v>314</v>
      </c>
      <c r="C7" s="1583">
        <v>291</v>
      </c>
      <c r="D7" s="1499">
        <v>326</v>
      </c>
      <c r="E7" s="1584">
        <v>282</v>
      </c>
      <c r="F7" s="1585">
        <v>370</v>
      </c>
      <c r="G7" s="1585">
        <v>437</v>
      </c>
      <c r="H7" s="1502">
        <v>496</v>
      </c>
      <c r="I7" s="1586">
        <v>479</v>
      </c>
      <c r="J7" s="1585">
        <v>469</v>
      </c>
      <c r="K7" s="1586">
        <v>931</v>
      </c>
      <c r="L7" s="1587">
        <v>1303</v>
      </c>
      <c r="M7" s="1585">
        <v>1585</v>
      </c>
      <c r="N7" s="1585">
        <v>1861</v>
      </c>
    </row>
    <row r="8" spans="1:14" ht="15" customHeight="1" x14ac:dyDescent="0.25">
      <c r="A8" s="1588" t="s">
        <v>466</v>
      </c>
      <c r="B8" s="1582">
        <v>1042</v>
      </c>
      <c r="C8" s="1583">
        <v>1010</v>
      </c>
      <c r="D8" s="1499">
        <v>1046</v>
      </c>
      <c r="E8" s="1584">
        <v>992</v>
      </c>
      <c r="F8" s="1585">
        <v>1084</v>
      </c>
      <c r="G8" s="1585">
        <v>1128</v>
      </c>
      <c r="H8" s="1502">
        <v>1205</v>
      </c>
      <c r="I8" s="1586">
        <v>1152</v>
      </c>
      <c r="J8" s="1585">
        <v>1131</v>
      </c>
      <c r="K8" s="1586">
        <v>3098</v>
      </c>
      <c r="L8" s="1587">
        <v>3417</v>
      </c>
      <c r="M8" s="1585">
        <v>4409</v>
      </c>
      <c r="N8" s="1585">
        <v>4518</v>
      </c>
    </row>
    <row r="9" spans="1:14" ht="15" customHeight="1" x14ac:dyDescent="0.25">
      <c r="A9" s="1589"/>
      <c r="B9" s="1590"/>
      <c r="C9" s="1591"/>
      <c r="D9" s="1592"/>
      <c r="E9" s="1593"/>
      <c r="F9" s="1594"/>
      <c r="G9" s="1594"/>
      <c r="H9" s="1595"/>
      <c r="I9" s="1596"/>
      <c r="J9" s="1594"/>
      <c r="K9" s="1596"/>
      <c r="L9" s="1597"/>
      <c r="M9" s="1594"/>
      <c r="N9" s="1594"/>
    </row>
    <row r="10" spans="1:14" ht="15" customHeight="1" x14ac:dyDescent="0.25">
      <c r="A10" s="1581" t="s">
        <v>467</v>
      </c>
      <c r="B10" s="1582">
        <v>641</v>
      </c>
      <c r="C10" s="1583">
        <v>607</v>
      </c>
      <c r="D10" s="1499">
        <v>635</v>
      </c>
      <c r="E10" s="1584">
        <v>623</v>
      </c>
      <c r="F10" s="1585">
        <v>570</v>
      </c>
      <c r="G10" s="1585">
        <v>551</v>
      </c>
      <c r="H10" s="1502">
        <v>538</v>
      </c>
      <c r="I10" s="1586">
        <v>527</v>
      </c>
      <c r="J10" s="1585">
        <v>541</v>
      </c>
      <c r="K10" s="1586">
        <v>1883</v>
      </c>
      <c r="L10" s="1587">
        <v>1659</v>
      </c>
      <c r="M10" s="1585">
        <v>2282</v>
      </c>
      <c r="N10" s="1585">
        <v>2127</v>
      </c>
    </row>
    <row r="11" spans="1:14" ht="15" customHeight="1" x14ac:dyDescent="0.25">
      <c r="A11" s="1581" t="s">
        <v>468</v>
      </c>
      <c r="B11" s="1582">
        <v>353</v>
      </c>
      <c r="C11" s="1583">
        <v>349</v>
      </c>
      <c r="D11" s="1499">
        <v>353</v>
      </c>
      <c r="E11" s="1584">
        <v>310</v>
      </c>
      <c r="F11" s="1585">
        <v>333</v>
      </c>
      <c r="G11" s="1585">
        <v>317</v>
      </c>
      <c r="H11" s="1502">
        <v>291</v>
      </c>
      <c r="I11" s="1586">
        <v>284</v>
      </c>
      <c r="J11" s="1585">
        <v>285</v>
      </c>
      <c r="K11" s="1586">
        <v>1055</v>
      </c>
      <c r="L11" s="1587">
        <v>941</v>
      </c>
      <c r="M11" s="1585">
        <v>1251</v>
      </c>
      <c r="N11" s="1585">
        <v>1117</v>
      </c>
    </row>
    <row r="12" spans="1:14" ht="15" customHeight="1" x14ac:dyDescent="0.25">
      <c r="A12" s="1581" t="s">
        <v>469</v>
      </c>
      <c r="B12" s="1590"/>
      <c r="C12" s="1591"/>
      <c r="D12" s="1592"/>
      <c r="E12" s="1593"/>
      <c r="F12" s="1594"/>
      <c r="G12" s="1594"/>
      <c r="H12" s="1595"/>
      <c r="I12" s="1596"/>
      <c r="J12" s="1594"/>
      <c r="K12" s="1596"/>
      <c r="L12" s="1597"/>
      <c r="M12" s="1594"/>
      <c r="N12" s="1594"/>
    </row>
    <row r="13" spans="1:14" ht="15" customHeight="1" x14ac:dyDescent="0.25">
      <c r="A13" s="1598" t="s">
        <v>470</v>
      </c>
      <c r="B13" s="1582">
        <v>228</v>
      </c>
      <c r="C13" s="1583">
        <v>221</v>
      </c>
      <c r="D13" s="1499">
        <v>222</v>
      </c>
      <c r="E13" s="1584">
        <v>215</v>
      </c>
      <c r="F13" s="1585">
        <v>213</v>
      </c>
      <c r="G13" s="1585">
        <v>209</v>
      </c>
      <c r="H13" s="1502">
        <v>203</v>
      </c>
      <c r="I13" s="1586">
        <v>199</v>
      </c>
      <c r="J13" s="1585">
        <v>202</v>
      </c>
      <c r="K13" s="1586">
        <v>671</v>
      </c>
      <c r="L13" s="1587">
        <v>625</v>
      </c>
      <c r="M13" s="1585">
        <v>840</v>
      </c>
      <c r="N13" s="1585">
        <v>795</v>
      </c>
    </row>
    <row r="14" spans="1:14" ht="15" customHeight="1" x14ac:dyDescent="0.25">
      <c r="A14" s="1598" t="s">
        <v>471</v>
      </c>
      <c r="B14" s="1582">
        <v>64</v>
      </c>
      <c r="C14" s="1583">
        <v>67</v>
      </c>
      <c r="D14" s="1499">
        <v>64</v>
      </c>
      <c r="E14" s="1584">
        <v>64</v>
      </c>
      <c r="F14" s="1585">
        <v>65</v>
      </c>
      <c r="G14" s="1585">
        <v>64</v>
      </c>
      <c r="H14" s="1502">
        <v>63</v>
      </c>
      <c r="I14" s="1586">
        <v>60</v>
      </c>
      <c r="J14" s="1585">
        <v>59</v>
      </c>
      <c r="K14" s="1586">
        <v>195</v>
      </c>
      <c r="L14" s="1587">
        <v>192</v>
      </c>
      <c r="M14" s="1585">
        <v>256</v>
      </c>
      <c r="N14" s="1585">
        <v>234</v>
      </c>
    </row>
    <row r="15" spans="1:14" ht="15" customHeight="1" x14ac:dyDescent="0.25">
      <c r="A15" s="1581" t="s">
        <v>472</v>
      </c>
      <c r="B15" s="1582">
        <v>292</v>
      </c>
      <c r="C15" s="1583">
        <v>288</v>
      </c>
      <c r="D15" s="1499">
        <v>286</v>
      </c>
      <c r="E15" s="1584">
        <v>279</v>
      </c>
      <c r="F15" s="1585">
        <v>278</v>
      </c>
      <c r="G15" s="1585">
        <v>273</v>
      </c>
      <c r="H15" s="1502">
        <v>266</v>
      </c>
      <c r="I15" s="1586">
        <v>259</v>
      </c>
      <c r="J15" s="1585">
        <v>261</v>
      </c>
      <c r="K15" s="1586">
        <v>866</v>
      </c>
      <c r="L15" s="1587">
        <v>817</v>
      </c>
      <c r="M15" s="1585">
        <v>1096</v>
      </c>
      <c r="N15" s="1585">
        <v>1029</v>
      </c>
    </row>
    <row r="16" spans="1:14" ht="15" customHeight="1" x14ac:dyDescent="0.25">
      <c r="A16" s="1588" t="s">
        <v>473</v>
      </c>
      <c r="B16" s="1582">
        <v>1286</v>
      </c>
      <c r="C16" s="1583">
        <v>1244</v>
      </c>
      <c r="D16" s="1499">
        <v>1274</v>
      </c>
      <c r="E16" s="1584">
        <v>1212</v>
      </c>
      <c r="F16" s="1585">
        <v>1181</v>
      </c>
      <c r="G16" s="1585">
        <v>1141</v>
      </c>
      <c r="H16" s="1502">
        <v>1095</v>
      </c>
      <c r="I16" s="1586">
        <v>1070</v>
      </c>
      <c r="J16" s="1585">
        <v>1087</v>
      </c>
      <c r="K16" s="1586">
        <v>3804</v>
      </c>
      <c r="L16" s="1587">
        <v>3417</v>
      </c>
      <c r="M16" s="1585">
        <v>4629</v>
      </c>
      <c r="N16" s="1585">
        <v>4273</v>
      </c>
    </row>
    <row r="17" spans="1:14" ht="15" customHeight="1" x14ac:dyDescent="0.25">
      <c r="A17" s="1589"/>
      <c r="B17" s="1590"/>
      <c r="C17" s="1591"/>
      <c r="D17" s="1592"/>
      <c r="E17" s="1593"/>
      <c r="F17" s="1594"/>
      <c r="G17" s="1594"/>
      <c r="H17" s="1595"/>
      <c r="I17" s="1596"/>
      <c r="J17" s="1594"/>
      <c r="K17" s="1596"/>
      <c r="L17" s="1597"/>
      <c r="M17" s="1594"/>
      <c r="N17" s="1594"/>
    </row>
    <row r="18" spans="1:14" ht="15" customHeight="1" x14ac:dyDescent="0.25">
      <c r="A18" s="1588" t="s">
        <v>474</v>
      </c>
      <c r="B18" s="1582">
        <v>234</v>
      </c>
      <c r="C18" s="1583">
        <v>246</v>
      </c>
      <c r="D18" s="1499">
        <v>223</v>
      </c>
      <c r="E18" s="1584">
        <v>168</v>
      </c>
      <c r="F18" s="1585">
        <v>202</v>
      </c>
      <c r="G18" s="1585">
        <v>196</v>
      </c>
      <c r="H18" s="1502">
        <v>136</v>
      </c>
      <c r="I18" s="1586">
        <v>152</v>
      </c>
      <c r="J18" s="1585">
        <v>146</v>
      </c>
      <c r="K18" s="1586">
        <v>703</v>
      </c>
      <c r="L18" s="1587">
        <v>534</v>
      </c>
      <c r="M18" s="1585">
        <v>702</v>
      </c>
      <c r="N18" s="1585">
        <v>554</v>
      </c>
    </row>
    <row r="19" spans="1:14" ht="15" customHeight="1" x14ac:dyDescent="0.25">
      <c r="A19" s="1588" t="s">
        <v>475</v>
      </c>
      <c r="B19" s="1582">
        <v>228</v>
      </c>
      <c r="C19" s="1583">
        <v>216</v>
      </c>
      <c r="D19" s="1499">
        <v>264</v>
      </c>
      <c r="E19" s="1584">
        <v>221</v>
      </c>
      <c r="F19" s="1585">
        <v>236</v>
      </c>
      <c r="G19" s="1585">
        <v>245</v>
      </c>
      <c r="H19" s="1502">
        <v>228</v>
      </c>
      <c r="I19" s="1586">
        <v>239</v>
      </c>
      <c r="J19" s="1585">
        <v>213</v>
      </c>
      <c r="K19" s="1586">
        <v>708</v>
      </c>
      <c r="L19" s="1587">
        <v>709</v>
      </c>
      <c r="M19" s="1585">
        <v>930</v>
      </c>
      <c r="N19" s="1585">
        <v>911</v>
      </c>
    </row>
    <row r="20" spans="1:14" ht="15" customHeight="1" x14ac:dyDescent="0.25">
      <c r="A20" s="1588" t="s">
        <v>476</v>
      </c>
      <c r="B20" s="1582">
        <v>388</v>
      </c>
      <c r="C20" s="1583">
        <v>391</v>
      </c>
      <c r="D20" s="1499">
        <v>422</v>
      </c>
      <c r="E20" s="1584">
        <v>362</v>
      </c>
      <c r="F20" s="1585">
        <v>308</v>
      </c>
      <c r="G20" s="1585">
        <v>286</v>
      </c>
      <c r="H20" s="1502">
        <v>291</v>
      </c>
      <c r="I20" s="1586">
        <v>322</v>
      </c>
      <c r="J20" s="1585">
        <v>283</v>
      </c>
      <c r="K20" s="1586">
        <v>1201</v>
      </c>
      <c r="L20" s="1587">
        <v>885</v>
      </c>
      <c r="M20" s="1585">
        <v>1247</v>
      </c>
      <c r="N20" s="1585">
        <v>1073</v>
      </c>
    </row>
    <row r="21" spans="1:14" ht="15" customHeight="1" x14ac:dyDescent="0.25">
      <c r="A21" s="1589" t="s">
        <v>477</v>
      </c>
      <c r="B21" s="1582">
        <v>3178</v>
      </c>
      <c r="C21" s="1583">
        <v>3107</v>
      </c>
      <c r="D21" s="1499">
        <v>3229</v>
      </c>
      <c r="E21" s="1584">
        <v>2955</v>
      </c>
      <c r="F21" s="1585">
        <v>3011</v>
      </c>
      <c r="G21" s="1585">
        <v>2996</v>
      </c>
      <c r="H21" s="1502">
        <v>2955</v>
      </c>
      <c r="I21" s="1586">
        <v>2935</v>
      </c>
      <c r="J21" s="1585">
        <v>2860</v>
      </c>
      <c r="K21" s="1586">
        <v>9514</v>
      </c>
      <c r="L21" s="1587">
        <v>8962</v>
      </c>
      <c r="M21" s="1585">
        <v>11917</v>
      </c>
      <c r="N21" s="1585">
        <v>11329</v>
      </c>
    </row>
    <row r="22" spans="1:14" ht="15" customHeight="1" x14ac:dyDescent="0.25">
      <c r="A22" s="1589" t="s">
        <v>478</v>
      </c>
      <c r="B22" s="1582">
        <v>157</v>
      </c>
      <c r="C22" s="1583">
        <v>159</v>
      </c>
      <c r="D22" s="1499">
        <v>113</v>
      </c>
      <c r="E22" s="1584">
        <v>41</v>
      </c>
      <c r="F22" s="1585">
        <v>54</v>
      </c>
      <c r="G22" s="1585">
        <v>57</v>
      </c>
      <c r="H22" s="1502">
        <v>46</v>
      </c>
      <c r="I22" s="1586">
        <v>18</v>
      </c>
      <c r="J22" s="1585">
        <v>55</v>
      </c>
      <c r="K22" s="1586">
        <v>429</v>
      </c>
      <c r="L22" s="1587">
        <v>157</v>
      </c>
      <c r="M22" s="1585">
        <v>198</v>
      </c>
      <c r="N22" s="1585">
        <v>153</v>
      </c>
    </row>
    <row r="23" spans="1:14" ht="15" customHeight="1" x14ac:dyDescent="0.25">
      <c r="A23" s="1599" t="s">
        <v>479</v>
      </c>
      <c r="B23" s="1582"/>
      <c r="C23" s="1583"/>
      <c r="D23" s="1499"/>
      <c r="E23" s="1584"/>
      <c r="F23" s="1585"/>
      <c r="G23" s="1585"/>
      <c r="H23" s="1502"/>
      <c r="I23" s="1586"/>
      <c r="J23" s="1585"/>
      <c r="K23" s="1586"/>
      <c r="L23" s="1587"/>
      <c r="M23" s="1585"/>
      <c r="N23" s="1585"/>
    </row>
    <row r="24" spans="1:14" ht="15" customHeight="1" x14ac:dyDescent="0.25">
      <c r="A24" s="1600" t="s">
        <v>480</v>
      </c>
      <c r="B24" s="1582">
        <v>463</v>
      </c>
      <c r="C24" s="1583">
        <v>405</v>
      </c>
      <c r="D24" s="1499">
        <v>655</v>
      </c>
      <c r="E24" s="1584">
        <v>408</v>
      </c>
      <c r="F24" s="1585">
        <v>370</v>
      </c>
      <c r="G24" s="1585">
        <v>383</v>
      </c>
      <c r="H24" s="1502">
        <v>473</v>
      </c>
      <c r="I24" s="1586">
        <v>197</v>
      </c>
      <c r="J24" s="1585">
        <v>360</v>
      </c>
      <c r="K24" s="1586">
        <v>1523</v>
      </c>
      <c r="L24" s="1587">
        <v>1226</v>
      </c>
      <c r="M24" s="1585">
        <v>1634</v>
      </c>
      <c r="N24" s="1585">
        <v>1580</v>
      </c>
    </row>
    <row r="25" spans="1:14" ht="15" customHeight="1" x14ac:dyDescent="0.25">
      <c r="A25" s="1600" t="s">
        <v>481</v>
      </c>
      <c r="B25" s="1582">
        <v>22</v>
      </c>
      <c r="C25" s="1583">
        <v>7</v>
      </c>
      <c r="D25" s="1499">
        <v>31</v>
      </c>
      <c r="E25" s="1584">
        <v>24</v>
      </c>
      <c r="F25" s="1585">
        <v>2</v>
      </c>
      <c r="G25" s="1585">
        <v>19</v>
      </c>
      <c r="H25" s="1502">
        <v>3</v>
      </c>
      <c r="I25" s="1586">
        <v>-1</v>
      </c>
      <c r="J25" s="1585">
        <v>30</v>
      </c>
      <c r="K25" s="1586">
        <v>60</v>
      </c>
      <c r="L25" s="1587">
        <v>24</v>
      </c>
      <c r="M25" s="1585">
        <v>48</v>
      </c>
      <c r="N25" s="1585">
        <v>129</v>
      </c>
    </row>
    <row r="26" spans="1:14" ht="15" customHeight="1" x14ac:dyDescent="0.25">
      <c r="A26" s="1600" t="s">
        <v>482</v>
      </c>
      <c r="B26" s="1582">
        <v>119</v>
      </c>
      <c r="C26" s="1583">
        <v>121</v>
      </c>
      <c r="D26" s="1499">
        <v>125</v>
      </c>
      <c r="E26" s="1584">
        <v>133</v>
      </c>
      <c r="F26" s="1585">
        <v>115</v>
      </c>
      <c r="G26" s="1585">
        <v>108</v>
      </c>
      <c r="H26" s="1502">
        <v>114</v>
      </c>
      <c r="I26" s="1586">
        <v>104</v>
      </c>
      <c r="J26" s="1585">
        <v>97</v>
      </c>
      <c r="K26" s="1586">
        <v>365</v>
      </c>
      <c r="L26" s="1587">
        <v>337</v>
      </c>
      <c r="M26" s="1585">
        <v>470</v>
      </c>
      <c r="N26" s="1585">
        <v>413</v>
      </c>
    </row>
    <row r="27" spans="1:14" ht="15" customHeight="1" x14ac:dyDescent="0.25">
      <c r="A27" s="1600" t="s">
        <v>483</v>
      </c>
      <c r="B27" s="1582">
        <v>54</v>
      </c>
      <c r="C27" s="1583">
        <v>11</v>
      </c>
      <c r="D27" s="1499">
        <v>46</v>
      </c>
      <c r="E27" s="1584">
        <v>42</v>
      </c>
      <c r="F27" s="1585">
        <v>-50</v>
      </c>
      <c r="G27" s="1585">
        <v>90</v>
      </c>
      <c r="H27" s="1502">
        <v>69</v>
      </c>
      <c r="I27" s="1586">
        <v>353</v>
      </c>
      <c r="J27" s="1585">
        <v>92</v>
      </c>
      <c r="K27" s="1586">
        <v>111</v>
      </c>
      <c r="L27" s="1587">
        <v>109</v>
      </c>
      <c r="M27" s="1585">
        <v>151</v>
      </c>
      <c r="N27" s="1585">
        <v>348</v>
      </c>
    </row>
    <row r="28" spans="1:14" ht="15" customHeight="1" x14ac:dyDescent="0.25">
      <c r="A28" s="1600" t="s">
        <v>484</v>
      </c>
      <c r="B28" s="1582">
        <v>658</v>
      </c>
      <c r="C28" s="1583">
        <v>544</v>
      </c>
      <c r="D28" s="1499">
        <v>857</v>
      </c>
      <c r="E28" s="1584">
        <v>607</v>
      </c>
      <c r="F28" s="1585">
        <v>437</v>
      </c>
      <c r="G28" s="1585">
        <v>600</v>
      </c>
      <c r="H28" s="1502">
        <v>659</v>
      </c>
      <c r="I28" s="1586">
        <v>653</v>
      </c>
      <c r="J28" s="1585">
        <v>579</v>
      </c>
      <c r="K28" s="1586">
        <v>2059</v>
      </c>
      <c r="L28" s="1587">
        <v>1696</v>
      </c>
      <c r="M28" s="1585">
        <v>2303</v>
      </c>
      <c r="N28" s="1585">
        <v>2470</v>
      </c>
    </row>
    <row r="29" spans="1:14" ht="15" customHeight="1" x14ac:dyDescent="0.25">
      <c r="A29" s="1600"/>
      <c r="B29" s="1590"/>
      <c r="C29" s="1591"/>
      <c r="D29" s="1592"/>
      <c r="E29" s="1593"/>
      <c r="F29" s="1594"/>
      <c r="G29" s="1594"/>
      <c r="H29" s="1595"/>
      <c r="I29" s="1596"/>
      <c r="J29" s="1594"/>
      <c r="K29" s="1596"/>
      <c r="L29" s="1597"/>
      <c r="M29" s="1594"/>
      <c r="N29" s="1594"/>
    </row>
    <row r="30" spans="1:14" ht="15" customHeight="1" x14ac:dyDescent="0.25">
      <c r="A30" s="1589" t="s">
        <v>485</v>
      </c>
      <c r="B30" s="1582">
        <v>3993</v>
      </c>
      <c r="C30" s="1583">
        <v>3810</v>
      </c>
      <c r="D30" s="1499">
        <v>4199</v>
      </c>
      <c r="E30" s="1584">
        <v>3603</v>
      </c>
      <c r="F30" s="1585">
        <v>3502</v>
      </c>
      <c r="G30" s="1585">
        <v>3653</v>
      </c>
      <c r="H30" s="1502">
        <v>3660</v>
      </c>
      <c r="I30" s="1586">
        <v>3606</v>
      </c>
      <c r="J30" s="1585">
        <v>3494</v>
      </c>
      <c r="K30" s="1586">
        <v>12002</v>
      </c>
      <c r="L30" s="1587">
        <v>10815</v>
      </c>
      <c r="M30" s="1585">
        <v>14418</v>
      </c>
      <c r="N30" s="1585">
        <v>13952</v>
      </c>
    </row>
    <row r="31" spans="1:14" ht="15" customHeight="1" x14ac:dyDescent="0.25">
      <c r="A31" s="1589"/>
      <c r="B31" s="1590"/>
      <c r="C31" s="1591"/>
      <c r="D31" s="1592"/>
      <c r="E31" s="1593"/>
      <c r="F31" s="1594"/>
      <c r="G31" s="1594"/>
      <c r="H31" s="1595"/>
      <c r="I31" s="1596"/>
      <c r="J31" s="1594"/>
      <c r="K31" s="1596"/>
      <c r="L31" s="1597"/>
      <c r="M31" s="1594"/>
      <c r="N31" s="1594"/>
    </row>
    <row r="32" spans="1:14" ht="15" customHeight="1" x14ac:dyDescent="0.25">
      <c r="A32" s="1589" t="s">
        <v>486</v>
      </c>
      <c r="B32" s="1590"/>
      <c r="C32" s="1591"/>
      <c r="D32" s="1592"/>
      <c r="E32" s="1593"/>
      <c r="F32" s="1594"/>
      <c r="G32" s="1594"/>
      <c r="H32" s="1595"/>
      <c r="I32" s="1596"/>
      <c r="J32" s="1594"/>
      <c r="K32" s="1596"/>
      <c r="L32" s="1597"/>
      <c r="M32" s="1594"/>
      <c r="N32" s="1594"/>
    </row>
    <row r="33" spans="1:14" ht="15" customHeight="1" x14ac:dyDescent="0.25">
      <c r="A33" s="1601" t="s">
        <v>487</v>
      </c>
      <c r="B33" s="1582">
        <v>0</v>
      </c>
      <c r="C33" s="1583">
        <v>9</v>
      </c>
      <c r="D33" s="1499">
        <v>0</v>
      </c>
      <c r="E33" s="1584">
        <v>0</v>
      </c>
      <c r="F33" s="1585">
        <v>143</v>
      </c>
      <c r="G33" s="1585">
        <v>0</v>
      </c>
      <c r="H33" s="1502">
        <v>0</v>
      </c>
      <c r="I33" s="1586">
        <v>-367</v>
      </c>
      <c r="J33" s="1585">
        <v>0</v>
      </c>
      <c r="K33" s="1586">
        <v>9</v>
      </c>
      <c r="L33" s="1587">
        <v>143</v>
      </c>
      <c r="M33" s="1585">
        <v>143</v>
      </c>
      <c r="N33" s="1585">
        <v>-367</v>
      </c>
    </row>
    <row r="34" spans="1:14" ht="15" customHeight="1" x14ac:dyDescent="0.25">
      <c r="A34" s="1601" t="s">
        <v>488</v>
      </c>
      <c r="B34" s="1582">
        <v>8</v>
      </c>
      <c r="C34" s="1583">
        <v>9</v>
      </c>
      <c r="D34" s="1499">
        <v>0</v>
      </c>
      <c r="E34" s="1584">
        <v>0</v>
      </c>
      <c r="F34" s="1585">
        <v>0</v>
      </c>
      <c r="G34" s="1585">
        <v>0</v>
      </c>
      <c r="H34" s="1502">
        <v>0</v>
      </c>
      <c r="I34" s="1586">
        <v>0</v>
      </c>
      <c r="J34" s="1585">
        <v>0</v>
      </c>
      <c r="K34" s="1586">
        <v>17</v>
      </c>
      <c r="L34" s="1587">
        <v>0</v>
      </c>
      <c r="M34" s="1585">
        <v>0</v>
      </c>
      <c r="N34" s="1585">
        <v>0</v>
      </c>
    </row>
    <row r="35" spans="1:14" ht="15" customHeight="1" x14ac:dyDescent="0.25">
      <c r="A35" s="1602" t="s">
        <v>489</v>
      </c>
      <c r="B35" s="1603">
        <v>4001</v>
      </c>
      <c r="C35" s="1604">
        <v>3828</v>
      </c>
      <c r="D35" s="1556">
        <v>4199</v>
      </c>
      <c r="E35" s="1605">
        <v>3603</v>
      </c>
      <c r="F35" s="1606">
        <v>3645</v>
      </c>
      <c r="G35" s="1606">
        <v>3653</v>
      </c>
      <c r="H35" s="1607">
        <v>3660</v>
      </c>
      <c r="I35" s="1608">
        <v>3239</v>
      </c>
      <c r="J35" s="1606">
        <v>3494</v>
      </c>
      <c r="K35" s="1608">
        <v>12028</v>
      </c>
      <c r="L35" s="1609">
        <v>10958</v>
      </c>
      <c r="M35" s="1606">
        <v>14561</v>
      </c>
      <c r="N35" s="1606">
        <v>13585</v>
      </c>
    </row>
    <row r="36" spans="1:14" ht="15" customHeight="1" x14ac:dyDescent="0.3">
      <c r="A36" s="1610"/>
      <c r="B36" s="1610"/>
      <c r="C36" s="1610"/>
      <c r="D36" s="1610"/>
      <c r="E36" s="1610"/>
      <c r="F36" s="1610"/>
      <c r="G36" s="1610"/>
      <c r="H36" s="1610"/>
      <c r="I36" s="1610"/>
      <c r="J36" s="1610"/>
      <c r="K36" s="1610"/>
      <c r="L36" s="1610"/>
      <c r="M36" s="1610"/>
      <c r="N36" s="1610"/>
    </row>
    <row r="37" spans="1:14" ht="8.25" customHeight="1" x14ac:dyDescent="0.25">
      <c r="A37" s="3441" t="s">
        <v>292</v>
      </c>
      <c r="B37" s="3441" t="s">
        <v>14</v>
      </c>
      <c r="C37" s="3441" t="s">
        <v>14</v>
      </c>
      <c r="D37" s="3441" t="s">
        <v>14</v>
      </c>
      <c r="E37" s="3441" t="s">
        <v>14</v>
      </c>
      <c r="F37" s="3441" t="s">
        <v>14</v>
      </c>
      <c r="G37" s="3441" t="s">
        <v>14</v>
      </c>
      <c r="H37" s="3441" t="s">
        <v>14</v>
      </c>
      <c r="I37" s="3441" t="s">
        <v>14</v>
      </c>
      <c r="J37" s="3441" t="s">
        <v>14</v>
      </c>
      <c r="K37" s="3441" t="s">
        <v>14</v>
      </c>
      <c r="L37" s="3441" t="s">
        <v>14</v>
      </c>
      <c r="M37" s="3441" t="s">
        <v>14</v>
      </c>
      <c r="N37" s="3441" t="s">
        <v>14</v>
      </c>
    </row>
    <row r="38" spans="1:14" ht="8.25" customHeight="1" x14ac:dyDescent="0.25">
      <c r="A38" s="3439" t="s">
        <v>490</v>
      </c>
      <c r="B38" s="3439" t="s">
        <v>14</v>
      </c>
      <c r="C38" s="3439" t="s">
        <v>14</v>
      </c>
      <c r="D38" s="3439" t="s">
        <v>14</v>
      </c>
      <c r="E38" s="3439" t="s">
        <v>14</v>
      </c>
      <c r="F38" s="3439" t="s">
        <v>14</v>
      </c>
      <c r="G38" s="3439" t="s">
        <v>14</v>
      </c>
      <c r="H38" s="3439" t="s">
        <v>14</v>
      </c>
      <c r="I38" s="3439" t="s">
        <v>14</v>
      </c>
      <c r="J38" s="3439" t="s">
        <v>14</v>
      </c>
      <c r="K38" s="3439" t="s">
        <v>14</v>
      </c>
      <c r="L38" s="3439" t="s">
        <v>14</v>
      </c>
      <c r="M38" s="3439" t="s">
        <v>14</v>
      </c>
      <c r="N38" s="3439" t="s">
        <v>14</v>
      </c>
    </row>
    <row r="39" spans="1:14" ht="8.25" customHeight="1" x14ac:dyDescent="0.25">
      <c r="A39" s="3439" t="s">
        <v>491</v>
      </c>
      <c r="B39" s="3439" t="s">
        <v>14</v>
      </c>
      <c r="C39" s="3439" t="s">
        <v>14</v>
      </c>
      <c r="D39" s="3439" t="s">
        <v>14</v>
      </c>
      <c r="E39" s="3439" t="s">
        <v>14</v>
      </c>
      <c r="F39" s="3439" t="s">
        <v>14</v>
      </c>
      <c r="G39" s="3439" t="s">
        <v>14</v>
      </c>
      <c r="H39" s="3439" t="s">
        <v>14</v>
      </c>
      <c r="I39" s="3439" t="s">
        <v>14</v>
      </c>
      <c r="J39" s="3439" t="s">
        <v>14</v>
      </c>
      <c r="K39" s="3439" t="s">
        <v>14</v>
      </c>
      <c r="L39" s="3439" t="s">
        <v>14</v>
      </c>
      <c r="M39" s="3439" t="s">
        <v>14</v>
      </c>
      <c r="N39" s="3439" t="s">
        <v>14</v>
      </c>
    </row>
  </sheetData>
  <mergeCells count="9">
    <mergeCell ref="A37:N37"/>
    <mergeCell ref="A38:N38"/>
    <mergeCell ref="A39:N39"/>
    <mergeCell ref="A2:N2"/>
    <mergeCell ref="B3:D3"/>
    <mergeCell ref="E3:H3"/>
    <mergeCell ref="I3:J3"/>
    <mergeCell ref="K3:L3"/>
    <mergeCell ref="M3:N3"/>
  </mergeCells>
  <hyperlinks>
    <hyperlink ref="A1" location="ToC!A2" display="Back to Table of Contents" xr:uid="{BB5E15B3-64C0-4A7F-82C8-78A2EDCA649B}"/>
  </hyperlinks>
  <pageMargins left="0.5" right="0.5" top="0.5" bottom="0.5" header="0.25" footer="0.25"/>
  <pageSetup scale="76" orientation="landscape" r:id="rId1"/>
  <headerFooter>
    <oddFooter>&amp;L&amp;G&amp;C&amp;"Scotia,Regular"&amp;9Supplementary Financial Information (SFI)&amp;R10&amp;"Scotia,Regular"&amp;7</oddFooter>
  </headerFooter>
  <ignoredErrors>
    <ignoredError sqref="B3:L4" numberStoredAsText="1"/>
  </ignoredError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A374-D40E-4AFC-A37D-07DF4663AA09}">
  <sheetPr>
    <pageSetUpPr fitToPage="1"/>
  </sheetPr>
  <dimension ref="A1:N40"/>
  <sheetViews>
    <sheetView showGridLines="0" zoomScaleNormal="100" workbookViewId="0"/>
  </sheetViews>
  <sheetFormatPr defaultColWidth="8.77734375" defaultRowHeight="13.2" x14ac:dyDescent="0.25"/>
  <cols>
    <col min="1" max="1" width="55.77734375" style="22" customWidth="1"/>
    <col min="2" max="14" width="8.21875" style="22" customWidth="1"/>
    <col min="15" max="16384" width="8.77734375" style="22"/>
  </cols>
  <sheetData>
    <row r="1" spans="1:14" ht="19.95" customHeight="1" x14ac:dyDescent="0.25">
      <c r="A1" s="21" t="s">
        <v>12</v>
      </c>
    </row>
    <row r="2" spans="1:14" ht="15.6" customHeight="1" x14ac:dyDescent="0.25">
      <c r="A2" s="3554" t="s">
        <v>492</v>
      </c>
      <c r="B2" s="3554" t="s">
        <v>14</v>
      </c>
      <c r="C2" s="3554" t="s">
        <v>14</v>
      </c>
      <c r="D2" s="3554" t="s">
        <v>14</v>
      </c>
      <c r="E2" s="3554" t="s">
        <v>14</v>
      </c>
      <c r="F2" s="3554" t="s">
        <v>14</v>
      </c>
      <c r="G2" s="3554" t="s">
        <v>14</v>
      </c>
      <c r="H2" s="3554" t="s">
        <v>14</v>
      </c>
      <c r="I2" s="3554" t="s">
        <v>14</v>
      </c>
      <c r="J2" s="3554" t="s">
        <v>14</v>
      </c>
      <c r="K2" s="3554" t="s">
        <v>14</v>
      </c>
      <c r="L2" s="3554" t="s">
        <v>14</v>
      </c>
      <c r="M2" s="3554" t="s">
        <v>14</v>
      </c>
      <c r="N2" s="3554" t="s">
        <v>14</v>
      </c>
    </row>
    <row r="3" spans="1:14" ht="15.6" customHeight="1" x14ac:dyDescent="0.25">
      <c r="A3" s="1611"/>
      <c r="B3" s="3555" t="s">
        <v>172</v>
      </c>
      <c r="C3" s="3555" t="s">
        <v>14</v>
      </c>
      <c r="D3" s="3556" t="s">
        <v>14</v>
      </c>
      <c r="E3" s="3557">
        <v>2024</v>
      </c>
      <c r="F3" s="3558" t="s">
        <v>14</v>
      </c>
      <c r="G3" s="3558" t="s">
        <v>14</v>
      </c>
      <c r="H3" s="3552" t="s">
        <v>14</v>
      </c>
      <c r="I3" s="3557">
        <v>2023</v>
      </c>
      <c r="J3" s="3558" t="s">
        <v>14</v>
      </c>
      <c r="K3" s="3557" t="s">
        <v>173</v>
      </c>
      <c r="L3" s="3559" t="s">
        <v>14</v>
      </c>
      <c r="M3" s="3558" t="s">
        <v>174</v>
      </c>
      <c r="N3" s="3558" t="s">
        <v>14</v>
      </c>
    </row>
    <row r="4" spans="1:14" ht="15.6" customHeight="1" x14ac:dyDescent="0.25">
      <c r="A4" s="1612" t="s">
        <v>270</v>
      </c>
      <c r="B4" s="1613" t="s">
        <v>176</v>
      </c>
      <c r="C4" s="1614" t="s">
        <v>177</v>
      </c>
      <c r="D4" s="1615" t="s">
        <v>178</v>
      </c>
      <c r="E4" s="1616" t="s">
        <v>179</v>
      </c>
      <c r="F4" s="1614" t="s">
        <v>180</v>
      </c>
      <c r="G4" s="1614" t="s">
        <v>177</v>
      </c>
      <c r="H4" s="1617" t="s">
        <v>178</v>
      </c>
      <c r="I4" s="1616" t="s">
        <v>179</v>
      </c>
      <c r="J4" s="1614" t="s">
        <v>180</v>
      </c>
      <c r="K4" s="1618">
        <v>2025</v>
      </c>
      <c r="L4" s="1619">
        <v>2024</v>
      </c>
      <c r="M4" s="1620">
        <v>2024</v>
      </c>
      <c r="N4" s="1620">
        <v>2023</v>
      </c>
    </row>
    <row r="5" spans="1:14" ht="15.6" customHeight="1" x14ac:dyDescent="0.25">
      <c r="A5" s="1621" t="s">
        <v>493</v>
      </c>
      <c r="B5" s="1613"/>
      <c r="C5" s="1614"/>
      <c r="D5" s="1615"/>
      <c r="E5" s="1622"/>
      <c r="F5" s="1613"/>
      <c r="G5" s="1613"/>
      <c r="H5" s="1623"/>
      <c r="I5" s="1624"/>
      <c r="J5" s="1625"/>
      <c r="K5" s="1624"/>
      <c r="L5" s="1626"/>
      <c r="M5" s="1625"/>
      <c r="N5" s="1625"/>
    </row>
    <row r="6" spans="1:14" ht="15.6" customHeight="1" x14ac:dyDescent="0.25">
      <c r="A6" s="1627" t="s">
        <v>494</v>
      </c>
      <c r="B6" s="1628">
        <v>24</v>
      </c>
      <c r="C6" s="1629">
        <v>23</v>
      </c>
      <c r="D6" s="1630">
        <v>-46</v>
      </c>
      <c r="E6" s="1631">
        <v>-77</v>
      </c>
      <c r="F6" s="1632">
        <v>-37</v>
      </c>
      <c r="G6" s="1632">
        <v>-63</v>
      </c>
      <c r="H6" s="1578">
        <v>-75</v>
      </c>
      <c r="I6" s="1631">
        <v>-69</v>
      </c>
      <c r="J6" s="1632">
        <v>-30</v>
      </c>
      <c r="K6" s="1633">
        <v>1</v>
      </c>
      <c r="L6" s="1634">
        <v>-175</v>
      </c>
      <c r="M6" s="1632">
        <v>-252</v>
      </c>
      <c r="N6" s="1632">
        <v>-240</v>
      </c>
    </row>
    <row r="7" spans="1:14" ht="15.6" customHeight="1" x14ac:dyDescent="0.25">
      <c r="A7" s="1635" t="s">
        <v>274</v>
      </c>
      <c r="B7" s="1636"/>
      <c r="C7" s="1637"/>
      <c r="D7" s="1638"/>
      <c r="E7" s="1639"/>
      <c r="F7" s="1640"/>
      <c r="G7" s="1640"/>
      <c r="H7" s="1502"/>
      <c r="I7" s="1639"/>
      <c r="J7" s="1640"/>
      <c r="K7" s="1641"/>
      <c r="L7" s="1642"/>
      <c r="M7" s="1640"/>
      <c r="N7" s="1640"/>
    </row>
    <row r="8" spans="1:14" ht="15.6" customHeight="1" x14ac:dyDescent="0.25">
      <c r="A8" s="1643" t="s">
        <v>480</v>
      </c>
      <c r="B8" s="1636">
        <v>463</v>
      </c>
      <c r="C8" s="1637">
        <v>405</v>
      </c>
      <c r="D8" s="1638">
        <v>655</v>
      </c>
      <c r="E8" s="1639">
        <v>410</v>
      </c>
      <c r="F8" s="1640">
        <v>375</v>
      </c>
      <c r="G8" s="1640">
        <v>387</v>
      </c>
      <c r="H8" s="1502">
        <v>514</v>
      </c>
      <c r="I8" s="1639">
        <v>305</v>
      </c>
      <c r="J8" s="1640">
        <v>470</v>
      </c>
      <c r="K8" s="1641">
        <v>1523</v>
      </c>
      <c r="L8" s="1642">
        <v>1276</v>
      </c>
      <c r="M8" s="1640">
        <v>1686</v>
      </c>
      <c r="N8" s="1640">
        <v>2017</v>
      </c>
    </row>
    <row r="9" spans="1:14" ht="15.6" customHeight="1" x14ac:dyDescent="0.25">
      <c r="A9" s="1643" t="s">
        <v>495</v>
      </c>
      <c r="B9" s="1636">
        <v>223</v>
      </c>
      <c r="C9" s="1637">
        <v>228</v>
      </c>
      <c r="D9" s="1638">
        <v>247</v>
      </c>
      <c r="E9" s="1639">
        <v>198</v>
      </c>
      <c r="F9" s="1640">
        <v>149</v>
      </c>
      <c r="G9" s="1640">
        <v>131</v>
      </c>
      <c r="H9" s="1502">
        <v>135</v>
      </c>
      <c r="I9" s="1639">
        <v>173</v>
      </c>
      <c r="J9" s="1640">
        <v>141</v>
      </c>
      <c r="K9" s="1641">
        <v>698</v>
      </c>
      <c r="L9" s="1642">
        <v>415</v>
      </c>
      <c r="M9" s="1640">
        <v>613</v>
      </c>
      <c r="N9" s="1640">
        <v>503</v>
      </c>
    </row>
    <row r="10" spans="1:14" ht="15.6" customHeight="1" x14ac:dyDescent="0.25">
      <c r="A10" s="1635" t="s">
        <v>496</v>
      </c>
      <c r="B10" s="1636">
        <v>686</v>
      </c>
      <c r="C10" s="1637">
        <v>633</v>
      </c>
      <c r="D10" s="1638">
        <v>902</v>
      </c>
      <c r="E10" s="1639">
        <v>608</v>
      </c>
      <c r="F10" s="1640">
        <v>524</v>
      </c>
      <c r="G10" s="1640">
        <v>518</v>
      </c>
      <c r="H10" s="1502">
        <v>649</v>
      </c>
      <c r="I10" s="1639">
        <v>478</v>
      </c>
      <c r="J10" s="1640">
        <v>611</v>
      </c>
      <c r="K10" s="1641">
        <v>2221</v>
      </c>
      <c r="L10" s="1642">
        <v>1691</v>
      </c>
      <c r="M10" s="1640">
        <v>2299</v>
      </c>
      <c r="N10" s="1640">
        <v>2520</v>
      </c>
    </row>
    <row r="11" spans="1:14" ht="15.6" customHeight="1" x14ac:dyDescent="0.25">
      <c r="A11" s="1644" t="s">
        <v>497</v>
      </c>
      <c r="B11" s="1636">
        <v>710</v>
      </c>
      <c r="C11" s="1637">
        <v>656</v>
      </c>
      <c r="D11" s="1638">
        <v>856</v>
      </c>
      <c r="E11" s="1639">
        <v>531</v>
      </c>
      <c r="F11" s="1640">
        <v>487</v>
      </c>
      <c r="G11" s="1640">
        <v>455</v>
      </c>
      <c r="H11" s="1502">
        <v>574</v>
      </c>
      <c r="I11" s="1639">
        <v>409</v>
      </c>
      <c r="J11" s="1640">
        <v>581</v>
      </c>
      <c r="K11" s="1641">
        <v>2222</v>
      </c>
      <c r="L11" s="1642">
        <v>1516</v>
      </c>
      <c r="M11" s="1640">
        <v>2047</v>
      </c>
      <c r="N11" s="1640">
        <v>2280</v>
      </c>
    </row>
    <row r="12" spans="1:14" ht="15.6" customHeight="1" x14ac:dyDescent="0.25">
      <c r="A12" s="1644"/>
      <c r="B12" s="1645"/>
      <c r="C12" s="1646"/>
      <c r="D12" s="1638"/>
      <c r="E12" s="1647"/>
      <c r="F12" s="1648"/>
      <c r="G12" s="1648"/>
      <c r="H12" s="1649"/>
      <c r="I12" s="1647"/>
      <c r="J12" s="1648"/>
      <c r="K12" s="1650"/>
      <c r="L12" s="1651"/>
      <c r="M12" s="1648"/>
      <c r="N12" s="1648"/>
    </row>
    <row r="13" spans="1:14" ht="15.6" customHeight="1" x14ac:dyDescent="0.25">
      <c r="A13" s="1644" t="s">
        <v>498</v>
      </c>
      <c r="B13" s="1645"/>
      <c r="C13" s="1646"/>
      <c r="D13" s="1638"/>
      <c r="E13" s="1647"/>
      <c r="F13" s="1648"/>
      <c r="G13" s="1648"/>
      <c r="H13" s="1649"/>
      <c r="I13" s="1647"/>
      <c r="J13" s="1648"/>
      <c r="K13" s="1650"/>
      <c r="L13" s="1651"/>
      <c r="M13" s="1648"/>
      <c r="N13" s="1648"/>
    </row>
    <row r="14" spans="1:14" ht="15.6" customHeight="1" x14ac:dyDescent="0.25">
      <c r="A14" s="1643" t="s">
        <v>421</v>
      </c>
      <c r="B14" s="1636">
        <v>305</v>
      </c>
      <c r="C14" s="1637">
        <v>222</v>
      </c>
      <c r="D14" s="1638">
        <v>263</v>
      </c>
      <c r="E14" s="1639">
        <v>172</v>
      </c>
      <c r="F14" s="1640">
        <v>153</v>
      </c>
      <c r="G14" s="1640">
        <v>187</v>
      </c>
      <c r="H14" s="1502">
        <v>199</v>
      </c>
      <c r="I14" s="1639">
        <v>153</v>
      </c>
      <c r="J14" s="1640">
        <v>205</v>
      </c>
      <c r="K14" s="1641">
        <v>790</v>
      </c>
      <c r="L14" s="1642">
        <v>539</v>
      </c>
      <c r="M14" s="1640">
        <v>711</v>
      </c>
      <c r="N14" s="1640">
        <v>815</v>
      </c>
    </row>
    <row r="15" spans="1:14" ht="15.6" customHeight="1" x14ac:dyDescent="0.25">
      <c r="A15" s="1643" t="s">
        <v>422</v>
      </c>
      <c r="B15" s="1636">
        <v>263</v>
      </c>
      <c r="C15" s="1637">
        <v>260</v>
      </c>
      <c r="D15" s="1638">
        <v>372</v>
      </c>
      <c r="E15" s="1639">
        <v>225</v>
      </c>
      <c r="F15" s="1640">
        <v>199</v>
      </c>
      <c r="G15" s="1640">
        <v>189</v>
      </c>
      <c r="H15" s="1502">
        <v>214</v>
      </c>
      <c r="I15" s="1639">
        <v>224</v>
      </c>
      <c r="J15" s="1640">
        <v>241</v>
      </c>
      <c r="K15" s="1641">
        <v>895</v>
      </c>
      <c r="L15" s="1642">
        <v>602</v>
      </c>
      <c r="M15" s="1640">
        <v>827</v>
      </c>
      <c r="N15" s="1640">
        <v>837</v>
      </c>
    </row>
    <row r="16" spans="1:14" ht="15.6" customHeight="1" x14ac:dyDescent="0.25">
      <c r="A16" s="1643" t="s">
        <v>499</v>
      </c>
      <c r="B16" s="1636">
        <v>142</v>
      </c>
      <c r="C16" s="1637">
        <v>174</v>
      </c>
      <c r="D16" s="1638">
        <v>221</v>
      </c>
      <c r="E16" s="1639">
        <v>134</v>
      </c>
      <c r="F16" s="1640">
        <v>135</v>
      </c>
      <c r="G16" s="1640">
        <v>79</v>
      </c>
      <c r="H16" s="1502">
        <v>161</v>
      </c>
      <c r="I16" s="1639">
        <v>32</v>
      </c>
      <c r="J16" s="1640">
        <v>135</v>
      </c>
      <c r="K16" s="1641">
        <v>537</v>
      </c>
      <c r="L16" s="1642">
        <v>375</v>
      </c>
      <c r="M16" s="1640">
        <v>509</v>
      </c>
      <c r="N16" s="1640">
        <v>628</v>
      </c>
    </row>
    <row r="17" spans="1:14" ht="15.6" customHeight="1" x14ac:dyDescent="0.25">
      <c r="A17" s="1644" t="s">
        <v>498</v>
      </c>
      <c r="B17" s="1636">
        <v>710</v>
      </c>
      <c r="C17" s="1637">
        <v>656</v>
      </c>
      <c r="D17" s="1638">
        <v>856</v>
      </c>
      <c r="E17" s="1639">
        <v>531</v>
      </c>
      <c r="F17" s="1640">
        <v>487</v>
      </c>
      <c r="G17" s="1640">
        <v>455</v>
      </c>
      <c r="H17" s="1502">
        <v>574</v>
      </c>
      <c r="I17" s="1639">
        <v>409</v>
      </c>
      <c r="J17" s="1640">
        <v>581</v>
      </c>
      <c r="K17" s="1641">
        <v>2222</v>
      </c>
      <c r="L17" s="1642">
        <v>1516</v>
      </c>
      <c r="M17" s="1640">
        <v>2047</v>
      </c>
      <c r="N17" s="1640">
        <v>2280</v>
      </c>
    </row>
    <row r="18" spans="1:14" ht="15.6" customHeight="1" x14ac:dyDescent="0.25">
      <c r="A18" s="1635" t="s">
        <v>500</v>
      </c>
      <c r="B18" s="1636">
        <v>0</v>
      </c>
      <c r="C18" s="1637">
        <v>0</v>
      </c>
      <c r="D18" s="1638">
        <v>0</v>
      </c>
      <c r="E18" s="1639">
        <v>2</v>
      </c>
      <c r="F18" s="1640">
        <v>5</v>
      </c>
      <c r="G18" s="1640">
        <v>4</v>
      </c>
      <c r="H18" s="1502">
        <v>41</v>
      </c>
      <c r="I18" s="1639">
        <v>108</v>
      </c>
      <c r="J18" s="1640">
        <v>110</v>
      </c>
      <c r="K18" s="1641">
        <v>0</v>
      </c>
      <c r="L18" s="1642">
        <v>50</v>
      </c>
      <c r="M18" s="1640">
        <v>52</v>
      </c>
      <c r="N18" s="1640">
        <v>437</v>
      </c>
    </row>
    <row r="19" spans="1:14" ht="15.6" customHeight="1" x14ac:dyDescent="0.25">
      <c r="A19" s="1644" t="s">
        <v>501</v>
      </c>
      <c r="B19" s="1636">
        <v>710</v>
      </c>
      <c r="C19" s="1637">
        <v>656</v>
      </c>
      <c r="D19" s="1638">
        <v>856</v>
      </c>
      <c r="E19" s="1639">
        <v>529</v>
      </c>
      <c r="F19" s="1640">
        <v>482</v>
      </c>
      <c r="G19" s="1640">
        <v>451</v>
      </c>
      <c r="H19" s="1502">
        <v>533</v>
      </c>
      <c r="I19" s="1639">
        <v>301</v>
      </c>
      <c r="J19" s="1640">
        <v>471</v>
      </c>
      <c r="K19" s="1641">
        <v>2222</v>
      </c>
      <c r="L19" s="1642">
        <v>1466</v>
      </c>
      <c r="M19" s="1640">
        <v>1995</v>
      </c>
      <c r="N19" s="1640">
        <v>1843</v>
      </c>
    </row>
    <row r="20" spans="1:14" ht="15.6" customHeight="1" x14ac:dyDescent="0.25">
      <c r="A20" s="1652"/>
      <c r="B20" s="1653"/>
      <c r="C20" s="1654"/>
      <c r="D20" s="1655"/>
      <c r="E20" s="1656"/>
      <c r="F20" s="1657"/>
      <c r="G20" s="1658"/>
      <c r="H20" s="1659"/>
      <c r="I20" s="1660"/>
      <c r="J20" s="1659"/>
      <c r="K20" s="1661"/>
      <c r="L20" s="1662"/>
      <c r="M20" s="1658"/>
      <c r="N20" s="1658"/>
    </row>
    <row r="21" spans="1:14" ht="15.6" customHeight="1" x14ac:dyDescent="0.25">
      <c r="A21" s="1663" t="s">
        <v>502</v>
      </c>
      <c r="B21" s="1664"/>
      <c r="C21" s="1665"/>
      <c r="D21" s="1666"/>
      <c r="E21" s="1667"/>
      <c r="F21" s="1668"/>
      <c r="G21" s="1668"/>
      <c r="H21" s="1669"/>
      <c r="I21" s="1667"/>
      <c r="J21" s="1670"/>
      <c r="K21" s="1671"/>
      <c r="L21" s="1672"/>
      <c r="M21" s="1673"/>
      <c r="N21" s="1673"/>
    </row>
    <row r="22" spans="1:14" ht="15.6" customHeight="1" x14ac:dyDescent="0.25">
      <c r="A22" s="1674" t="s">
        <v>503</v>
      </c>
      <c r="B22" s="1675">
        <v>262.59999999999997</v>
      </c>
      <c r="C22" s="1676">
        <v>242.5</v>
      </c>
      <c r="D22" s="1677">
        <v>257.2</v>
      </c>
      <c r="E22" s="1678">
        <v>242.9</v>
      </c>
      <c r="F22" s="1679">
        <v>234.4</v>
      </c>
      <c r="G22" s="1679">
        <v>221.6</v>
      </c>
      <c r="H22" s="1680">
        <v>214.4</v>
      </c>
      <c r="I22" s="1678">
        <v>198.3</v>
      </c>
      <c r="J22" s="1680">
        <v>208.2</v>
      </c>
      <c r="K22" s="1681"/>
      <c r="L22" s="1682"/>
      <c r="M22" s="1683"/>
      <c r="N22" s="1683"/>
    </row>
    <row r="23" spans="1:14" ht="15" customHeight="1" x14ac:dyDescent="0.25">
      <c r="A23" s="1643" t="s">
        <v>504</v>
      </c>
      <c r="B23" s="1684">
        <v>204.5</v>
      </c>
      <c r="C23" s="1685">
        <v>199.3</v>
      </c>
      <c r="D23" s="1686">
        <v>203</v>
      </c>
      <c r="E23" s="1687">
        <v>198.6</v>
      </c>
      <c r="F23" s="1688">
        <v>199.2</v>
      </c>
      <c r="G23" s="1688">
        <v>194.5</v>
      </c>
      <c r="H23" s="1689">
        <v>191.7</v>
      </c>
      <c r="I23" s="1687">
        <v>180.5</v>
      </c>
      <c r="J23" s="1690">
        <v>179.5</v>
      </c>
      <c r="K23" s="1691"/>
      <c r="L23" s="1692"/>
      <c r="M23" s="1693"/>
      <c r="N23" s="1693"/>
    </row>
    <row r="24" spans="1:14" ht="15" customHeight="1" x14ac:dyDescent="0.25">
      <c r="A24" s="1635" t="s">
        <v>505</v>
      </c>
      <c r="B24" s="1684">
        <v>467.1</v>
      </c>
      <c r="C24" s="1685">
        <v>441.8</v>
      </c>
      <c r="D24" s="1686">
        <v>460.2</v>
      </c>
      <c r="E24" s="1687">
        <v>441.5</v>
      </c>
      <c r="F24" s="1688">
        <v>433.6</v>
      </c>
      <c r="G24" s="1688">
        <v>416.1</v>
      </c>
      <c r="H24" s="1689">
        <v>406.1</v>
      </c>
      <c r="I24" s="1687">
        <v>378.8</v>
      </c>
      <c r="J24" s="1690">
        <v>387.7</v>
      </c>
      <c r="K24" s="1694"/>
      <c r="L24" s="1695"/>
      <c r="M24" s="1696"/>
      <c r="N24" s="1696"/>
    </row>
    <row r="25" spans="1:14" ht="15" customHeight="1" x14ac:dyDescent="0.25">
      <c r="A25" s="1635" t="s">
        <v>506</v>
      </c>
      <c r="B25" s="1684">
        <v>252.2</v>
      </c>
      <c r="C25" s="1685">
        <v>235.8</v>
      </c>
      <c r="D25" s="1686">
        <v>246.9</v>
      </c>
      <c r="E25" s="1687">
        <v>233.7</v>
      </c>
      <c r="F25" s="1688">
        <v>228.8</v>
      </c>
      <c r="G25" s="1688">
        <v>221.4</v>
      </c>
      <c r="H25" s="1689">
        <v>214.5</v>
      </c>
      <c r="I25" s="1687">
        <v>201.5</v>
      </c>
      <c r="J25" s="1690">
        <v>211.4</v>
      </c>
      <c r="K25" s="1691"/>
      <c r="L25" s="1692"/>
      <c r="M25" s="1693"/>
      <c r="N25" s="1693"/>
    </row>
    <row r="26" spans="1:14" ht="15" customHeight="1" x14ac:dyDescent="0.25">
      <c r="A26" s="1635" t="s">
        <v>507</v>
      </c>
      <c r="B26" s="1684">
        <v>105.8</v>
      </c>
      <c r="C26" s="1685">
        <v>101.5</v>
      </c>
      <c r="D26" s="1686">
        <v>100.4</v>
      </c>
      <c r="E26" s="1687">
        <v>96.3</v>
      </c>
      <c r="F26" s="1688">
        <v>98.6</v>
      </c>
      <c r="G26" s="1688">
        <v>101.4</v>
      </c>
      <c r="H26" s="1689">
        <v>95.3</v>
      </c>
      <c r="I26" s="1687">
        <v>93.3</v>
      </c>
      <c r="J26" s="1690">
        <v>91.7</v>
      </c>
      <c r="K26" s="1691"/>
      <c r="L26" s="1692"/>
      <c r="M26" s="1693"/>
      <c r="N26" s="1693"/>
    </row>
    <row r="27" spans="1:14" ht="15" customHeight="1" x14ac:dyDescent="0.25">
      <c r="A27" s="1644" t="s">
        <v>508</v>
      </c>
      <c r="B27" s="1684">
        <v>825.1</v>
      </c>
      <c r="C27" s="1685">
        <v>779.1</v>
      </c>
      <c r="D27" s="1686">
        <v>807.5</v>
      </c>
      <c r="E27" s="1687">
        <v>771.5</v>
      </c>
      <c r="F27" s="1688">
        <v>761</v>
      </c>
      <c r="G27" s="1688">
        <v>738.9</v>
      </c>
      <c r="H27" s="1689">
        <v>715.9</v>
      </c>
      <c r="I27" s="1687">
        <v>673.6</v>
      </c>
      <c r="J27" s="1690">
        <v>690.8</v>
      </c>
      <c r="K27" s="1691"/>
      <c r="L27" s="1692"/>
      <c r="M27" s="1693"/>
      <c r="N27" s="1693"/>
    </row>
    <row r="28" spans="1:14" ht="15" customHeight="1" x14ac:dyDescent="0.25">
      <c r="A28" s="1652"/>
      <c r="B28" s="1697"/>
      <c r="C28" s="1698"/>
      <c r="D28" s="1699"/>
      <c r="E28" s="1700"/>
      <c r="F28" s="1701"/>
      <c r="G28" s="1701"/>
      <c r="H28" s="1702"/>
      <c r="I28" s="1700"/>
      <c r="J28" s="1702"/>
      <c r="K28" s="1661"/>
      <c r="L28" s="1662"/>
      <c r="M28" s="1658"/>
      <c r="N28" s="1658"/>
    </row>
    <row r="29" spans="1:14" ht="15" customHeight="1" x14ac:dyDescent="0.25">
      <c r="A29" s="1663" t="s">
        <v>509</v>
      </c>
      <c r="B29" s="1664"/>
      <c r="C29" s="1665"/>
      <c r="D29" s="1703"/>
      <c r="E29" s="1667"/>
      <c r="F29" s="1668"/>
      <c r="G29" s="1668"/>
      <c r="H29" s="1669"/>
      <c r="I29" s="1667"/>
      <c r="J29" s="1670"/>
      <c r="K29" s="1671"/>
      <c r="L29" s="1672"/>
      <c r="M29" s="1673"/>
      <c r="N29" s="1673"/>
    </row>
    <row r="30" spans="1:14" ht="15" customHeight="1" x14ac:dyDescent="0.25">
      <c r="A30" s="1704" t="s">
        <v>505</v>
      </c>
      <c r="B30" s="1705">
        <v>113.1</v>
      </c>
      <c r="C30" s="1706">
        <v>104.8</v>
      </c>
      <c r="D30" s="1677">
        <v>107.2</v>
      </c>
      <c r="E30" s="1678">
        <v>100.1</v>
      </c>
      <c r="F30" s="1679">
        <v>96.5</v>
      </c>
      <c r="G30" s="1679">
        <v>89.4</v>
      </c>
      <c r="H30" s="1680">
        <v>86.8</v>
      </c>
      <c r="I30" s="1678">
        <v>79.8</v>
      </c>
      <c r="J30" s="1680">
        <v>82.5</v>
      </c>
      <c r="K30" s="1707"/>
      <c r="L30" s="1682"/>
      <c r="M30" s="1683"/>
      <c r="N30" s="1683"/>
    </row>
    <row r="31" spans="1:14" ht="15" customHeight="1" x14ac:dyDescent="0.25">
      <c r="A31" s="1635" t="s">
        <v>506</v>
      </c>
      <c r="B31" s="1708">
        <v>236.9</v>
      </c>
      <c r="C31" s="1709">
        <v>220.9</v>
      </c>
      <c r="D31" s="1686">
        <v>230</v>
      </c>
      <c r="E31" s="1687">
        <v>217.1</v>
      </c>
      <c r="F31" s="1688">
        <v>212.5</v>
      </c>
      <c r="G31" s="1688">
        <v>204.2</v>
      </c>
      <c r="H31" s="1689">
        <v>198.3</v>
      </c>
      <c r="I31" s="1687">
        <v>186.2</v>
      </c>
      <c r="J31" s="1690">
        <v>195.5</v>
      </c>
      <c r="K31" s="1691"/>
      <c r="L31" s="1692"/>
      <c r="M31" s="1693"/>
      <c r="N31" s="1693"/>
    </row>
    <row r="32" spans="1:14" ht="15" customHeight="1" x14ac:dyDescent="0.25">
      <c r="A32" s="1635" t="s">
        <v>507</v>
      </c>
      <c r="B32" s="1708">
        <v>57</v>
      </c>
      <c r="C32" s="1709">
        <v>54.3</v>
      </c>
      <c r="D32" s="1686">
        <v>58.3</v>
      </c>
      <c r="E32" s="1687">
        <v>55.8</v>
      </c>
      <c r="F32" s="1688">
        <v>54.9</v>
      </c>
      <c r="G32" s="1688">
        <v>55</v>
      </c>
      <c r="H32" s="1689">
        <v>54.5</v>
      </c>
      <c r="I32" s="1687">
        <v>50.6</v>
      </c>
      <c r="J32" s="1690">
        <v>53.3</v>
      </c>
      <c r="K32" s="1691"/>
      <c r="L32" s="1692"/>
      <c r="M32" s="1693"/>
      <c r="N32" s="1693"/>
    </row>
    <row r="33" spans="1:14" ht="15" customHeight="1" x14ac:dyDescent="0.25">
      <c r="A33" s="1710" t="s">
        <v>508</v>
      </c>
      <c r="B33" s="1711">
        <v>407</v>
      </c>
      <c r="C33" s="1712">
        <v>379.9</v>
      </c>
      <c r="D33" s="1713">
        <v>395.5</v>
      </c>
      <c r="E33" s="1714">
        <v>373</v>
      </c>
      <c r="F33" s="1715">
        <v>363.9</v>
      </c>
      <c r="G33" s="1715">
        <v>348.6</v>
      </c>
      <c r="H33" s="1716">
        <v>339.6</v>
      </c>
      <c r="I33" s="1714">
        <v>316.60000000000002</v>
      </c>
      <c r="J33" s="1717">
        <v>331.3</v>
      </c>
      <c r="K33" s="1718"/>
      <c r="L33" s="1719"/>
      <c r="M33" s="1720"/>
      <c r="N33" s="1720"/>
    </row>
    <row r="34" spans="1:14" ht="12" customHeight="1" x14ac:dyDescent="0.25">
      <c r="A34" s="1721"/>
      <c r="B34" s="1722"/>
      <c r="C34" s="1723"/>
      <c r="D34" s="1723"/>
      <c r="E34" s="1723"/>
      <c r="F34" s="1723"/>
      <c r="G34" s="1723"/>
      <c r="H34" s="1723"/>
      <c r="I34" s="1723"/>
      <c r="J34" s="1723"/>
      <c r="K34" s="1723"/>
      <c r="L34" s="1723"/>
      <c r="M34" s="1723"/>
      <c r="N34" s="1723"/>
    </row>
    <row r="35" spans="1:14" ht="18.600000000000001" customHeight="1" x14ac:dyDescent="0.25">
      <c r="A35" s="3560" t="s">
        <v>510</v>
      </c>
      <c r="B35" s="3561" t="s">
        <v>14</v>
      </c>
      <c r="C35" s="3561" t="s">
        <v>14</v>
      </c>
      <c r="D35" s="3561" t="s">
        <v>14</v>
      </c>
      <c r="E35" s="3561" t="s">
        <v>14</v>
      </c>
      <c r="F35" s="3561" t="s">
        <v>14</v>
      </c>
      <c r="G35" s="3561" t="s">
        <v>14</v>
      </c>
      <c r="H35" s="3561" t="s">
        <v>14</v>
      </c>
      <c r="I35" s="3561" t="s">
        <v>14</v>
      </c>
      <c r="J35" s="3561" t="s">
        <v>14</v>
      </c>
      <c r="K35" s="3561" t="s">
        <v>14</v>
      </c>
      <c r="L35" s="3561" t="s">
        <v>14</v>
      </c>
      <c r="M35" s="3561" t="s">
        <v>14</v>
      </c>
      <c r="N35" s="3561" t="s">
        <v>14</v>
      </c>
    </row>
    <row r="36" spans="1:14" ht="10.35" customHeight="1" x14ac:dyDescent="0.25">
      <c r="A36" s="3439" t="s">
        <v>511</v>
      </c>
      <c r="B36" s="3439" t="s">
        <v>14</v>
      </c>
      <c r="C36" s="3439" t="s">
        <v>14</v>
      </c>
      <c r="D36" s="3439" t="s">
        <v>14</v>
      </c>
      <c r="E36" s="3439" t="s">
        <v>14</v>
      </c>
      <c r="F36" s="3439" t="s">
        <v>14</v>
      </c>
      <c r="G36" s="3439" t="s">
        <v>14</v>
      </c>
      <c r="H36" s="3439" t="s">
        <v>14</v>
      </c>
      <c r="I36" s="3439" t="s">
        <v>14</v>
      </c>
      <c r="J36" s="3439" t="s">
        <v>14</v>
      </c>
      <c r="K36" s="3439" t="s">
        <v>14</v>
      </c>
      <c r="L36" s="3439" t="s">
        <v>14</v>
      </c>
      <c r="M36" s="3439" t="s">
        <v>14</v>
      </c>
      <c r="N36" s="3439" t="s">
        <v>14</v>
      </c>
    </row>
    <row r="37" spans="1:14" ht="10.35" customHeight="1" x14ac:dyDescent="0.25">
      <c r="A37" s="3439" t="s">
        <v>512</v>
      </c>
      <c r="B37" s="3439" t="s">
        <v>14</v>
      </c>
      <c r="C37" s="3439" t="s">
        <v>14</v>
      </c>
      <c r="D37" s="3439" t="s">
        <v>14</v>
      </c>
      <c r="E37" s="3439" t="s">
        <v>14</v>
      </c>
      <c r="F37" s="3439" t="s">
        <v>14</v>
      </c>
      <c r="G37" s="3439" t="s">
        <v>14</v>
      </c>
      <c r="H37" s="3439" t="s">
        <v>14</v>
      </c>
      <c r="I37" s="3439" t="s">
        <v>14</v>
      </c>
      <c r="J37" s="3439" t="s">
        <v>14</v>
      </c>
      <c r="K37" s="3439" t="s">
        <v>14</v>
      </c>
      <c r="L37" s="3439" t="s">
        <v>14</v>
      </c>
      <c r="M37" s="3439" t="s">
        <v>14</v>
      </c>
      <c r="N37" s="3439" t="s">
        <v>14</v>
      </c>
    </row>
    <row r="38" spans="1:14" ht="10.35" customHeight="1" x14ac:dyDescent="0.25">
      <c r="A38" s="3439" t="s">
        <v>513</v>
      </c>
      <c r="B38" s="3439" t="s">
        <v>14</v>
      </c>
      <c r="C38" s="3439" t="s">
        <v>14</v>
      </c>
      <c r="D38" s="3439" t="s">
        <v>14</v>
      </c>
      <c r="E38" s="3439" t="s">
        <v>14</v>
      </c>
      <c r="F38" s="3439" t="s">
        <v>14</v>
      </c>
      <c r="G38" s="3439" t="s">
        <v>14</v>
      </c>
      <c r="H38" s="3439" t="s">
        <v>14</v>
      </c>
      <c r="I38" s="3439" t="s">
        <v>14</v>
      </c>
      <c r="J38" s="3439" t="s">
        <v>14</v>
      </c>
      <c r="K38" s="3439" t="s">
        <v>14</v>
      </c>
      <c r="L38" s="3439" t="s">
        <v>14</v>
      </c>
      <c r="M38" s="3439" t="s">
        <v>14</v>
      </c>
      <c r="N38" s="3439" t="s">
        <v>14</v>
      </c>
    </row>
    <row r="39" spans="1:14" ht="10.35" customHeight="1" x14ac:dyDescent="0.25">
      <c r="A39" s="3439" t="s">
        <v>514</v>
      </c>
      <c r="B39" s="3439" t="s">
        <v>14</v>
      </c>
      <c r="C39" s="3439" t="s">
        <v>14</v>
      </c>
      <c r="D39" s="3439" t="s">
        <v>14</v>
      </c>
      <c r="E39" s="3439" t="s">
        <v>14</v>
      </c>
      <c r="F39" s="3439" t="s">
        <v>14</v>
      </c>
      <c r="G39" s="3439" t="s">
        <v>14</v>
      </c>
      <c r="H39" s="3439" t="s">
        <v>14</v>
      </c>
      <c r="I39" s="3439" t="s">
        <v>14</v>
      </c>
      <c r="J39" s="3439" t="s">
        <v>14</v>
      </c>
      <c r="K39" s="3439" t="s">
        <v>14</v>
      </c>
      <c r="L39" s="3439" t="s">
        <v>14</v>
      </c>
      <c r="M39" s="3439" t="s">
        <v>14</v>
      </c>
      <c r="N39" s="3439" t="s">
        <v>14</v>
      </c>
    </row>
    <row r="40" spans="1:14" ht="10.35" customHeight="1" x14ac:dyDescent="0.25">
      <c r="A40" s="3439"/>
      <c r="B40" s="3439" t="s">
        <v>14</v>
      </c>
      <c r="C40" s="3439" t="s">
        <v>14</v>
      </c>
      <c r="D40" s="3439" t="s">
        <v>14</v>
      </c>
      <c r="E40" s="3439" t="s">
        <v>14</v>
      </c>
      <c r="F40" s="3439" t="s">
        <v>14</v>
      </c>
      <c r="G40" s="3439" t="s">
        <v>14</v>
      </c>
      <c r="H40" s="3439" t="s">
        <v>14</v>
      </c>
      <c r="I40" s="3439" t="s">
        <v>14</v>
      </c>
      <c r="J40" s="3439" t="s">
        <v>14</v>
      </c>
      <c r="K40" s="3439" t="s">
        <v>14</v>
      </c>
      <c r="L40" s="3439" t="s">
        <v>14</v>
      </c>
      <c r="M40" s="3439" t="s">
        <v>14</v>
      </c>
      <c r="N40" s="3439" t="s">
        <v>14</v>
      </c>
    </row>
  </sheetData>
  <mergeCells count="12">
    <mergeCell ref="A40:N40"/>
    <mergeCell ref="A2:N2"/>
    <mergeCell ref="B3:D3"/>
    <mergeCell ref="E3:H3"/>
    <mergeCell ref="I3:J3"/>
    <mergeCell ref="K3:L3"/>
    <mergeCell ref="M3:N3"/>
    <mergeCell ref="A35:N35"/>
    <mergeCell ref="A36:N36"/>
    <mergeCell ref="A37:N37"/>
    <mergeCell ref="A38:N38"/>
    <mergeCell ref="A39:N39"/>
  </mergeCells>
  <hyperlinks>
    <hyperlink ref="A1" location="ToC!A2" display="Back to Table of Contents" xr:uid="{BA3130F9-CC2A-4F37-8AB7-C72C438F111F}"/>
  </hyperlinks>
  <pageMargins left="0.5" right="0.5" top="0.5" bottom="0.5" header="0.25" footer="0.25"/>
  <pageSetup scale="77" orientation="landscape" r:id="rId1"/>
  <headerFooter>
    <oddFooter>&amp;L&amp;G&amp;C&amp;"Scotia,Regular"&amp;9Supplementary Financial Information (SFI)&amp;R11&amp;"Scotia,Regular"&amp;7</oddFooter>
  </headerFooter>
  <ignoredErrors>
    <ignoredError sqref="B3" numberStoredAsText="1"/>
  </ignoredError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F7DC-7599-4B03-957C-41DC07C5AA56}">
  <sheetPr>
    <pageSetUpPr fitToPage="1"/>
  </sheetPr>
  <dimension ref="A1:N58"/>
  <sheetViews>
    <sheetView showGridLines="0" zoomScaleNormal="100" workbookViewId="0"/>
  </sheetViews>
  <sheetFormatPr defaultColWidth="8.77734375" defaultRowHeight="13.2" x14ac:dyDescent="0.25"/>
  <cols>
    <col min="1" max="1" width="58" style="22" customWidth="1"/>
    <col min="2" max="14" width="10.44140625" style="22" customWidth="1"/>
    <col min="15" max="16384" width="8.77734375" style="22"/>
  </cols>
  <sheetData>
    <row r="1" spans="1:14" ht="19.95" customHeight="1" x14ac:dyDescent="0.25">
      <c r="A1" s="21" t="s">
        <v>12</v>
      </c>
    </row>
    <row r="2" spans="1:14" ht="25.5" customHeight="1" x14ac:dyDescent="0.25">
      <c r="A2" s="3563" t="s">
        <v>515</v>
      </c>
      <c r="B2" s="3563" t="s">
        <v>14</v>
      </c>
      <c r="C2" s="3563" t="s">
        <v>14</v>
      </c>
      <c r="D2" s="3563" t="s">
        <v>14</v>
      </c>
      <c r="E2" s="3563" t="s">
        <v>14</v>
      </c>
      <c r="F2" s="3563" t="s">
        <v>14</v>
      </c>
      <c r="G2" s="3563" t="s">
        <v>14</v>
      </c>
      <c r="H2" s="3563" t="s">
        <v>14</v>
      </c>
      <c r="I2" s="3563" t="s">
        <v>14</v>
      </c>
      <c r="J2" s="3563" t="s">
        <v>14</v>
      </c>
      <c r="K2" s="3563" t="s">
        <v>14</v>
      </c>
      <c r="L2" s="3563" t="s">
        <v>14</v>
      </c>
      <c r="M2" s="3563" t="s">
        <v>14</v>
      </c>
      <c r="N2" s="3563" t="s">
        <v>14</v>
      </c>
    </row>
    <row r="3" spans="1:14" ht="14.1" customHeight="1" x14ac:dyDescent="0.25">
      <c r="A3" s="1724"/>
      <c r="B3" s="3564" t="s">
        <v>172</v>
      </c>
      <c r="C3" s="3564" t="s">
        <v>14</v>
      </c>
      <c r="D3" s="3565" t="s">
        <v>14</v>
      </c>
      <c r="E3" s="3566" t="s">
        <v>343</v>
      </c>
      <c r="F3" s="3567" t="s">
        <v>14</v>
      </c>
      <c r="G3" s="3567" t="s">
        <v>14</v>
      </c>
      <c r="H3" s="3568" t="s">
        <v>14</v>
      </c>
      <c r="I3" s="3566" t="s">
        <v>344</v>
      </c>
      <c r="J3" s="3567" t="s">
        <v>14</v>
      </c>
      <c r="K3" s="3569" t="s">
        <v>173</v>
      </c>
      <c r="L3" s="3568" t="s">
        <v>14</v>
      </c>
      <c r="M3" s="3567" t="s">
        <v>174</v>
      </c>
      <c r="N3" s="3567" t="s">
        <v>14</v>
      </c>
    </row>
    <row r="4" spans="1:14" ht="14.1" customHeight="1" x14ac:dyDescent="0.25">
      <c r="A4" s="1725" t="s">
        <v>270</v>
      </c>
      <c r="B4" s="1726" t="s">
        <v>176</v>
      </c>
      <c r="C4" s="1727" t="s">
        <v>177</v>
      </c>
      <c r="D4" s="1617" t="s">
        <v>178</v>
      </c>
      <c r="E4" s="1728" t="s">
        <v>179</v>
      </c>
      <c r="F4" s="1727" t="s">
        <v>180</v>
      </c>
      <c r="G4" s="1727" t="s">
        <v>177</v>
      </c>
      <c r="H4" s="1617" t="s">
        <v>178</v>
      </c>
      <c r="I4" s="1729" t="s">
        <v>179</v>
      </c>
      <c r="J4" s="1727" t="s">
        <v>180</v>
      </c>
      <c r="K4" s="1730">
        <v>2025</v>
      </c>
      <c r="L4" s="1731">
        <v>2024</v>
      </c>
      <c r="M4" s="1732">
        <v>2024</v>
      </c>
      <c r="N4" s="1732">
        <v>2023</v>
      </c>
    </row>
    <row r="5" spans="1:14" ht="14.1" customHeight="1" x14ac:dyDescent="0.25">
      <c r="A5" s="1733" t="s">
        <v>516</v>
      </c>
      <c r="B5" s="1734"/>
      <c r="C5" s="1735"/>
      <c r="D5" s="1736"/>
      <c r="E5" s="1737"/>
      <c r="F5" s="1735"/>
      <c r="G5" s="1735"/>
      <c r="H5" s="1736"/>
      <c r="I5" s="1738"/>
      <c r="J5" s="1735"/>
      <c r="K5" s="1738"/>
      <c r="L5" s="1739"/>
      <c r="M5" s="1735"/>
      <c r="N5" s="1735"/>
    </row>
    <row r="6" spans="1:14" ht="14.1" customHeight="1" x14ac:dyDescent="0.25">
      <c r="A6" s="1740" t="s">
        <v>517</v>
      </c>
      <c r="B6" s="1741">
        <v>1512</v>
      </c>
      <c r="C6" s="1742">
        <v>1483</v>
      </c>
      <c r="D6" s="1499">
        <v>1465</v>
      </c>
      <c r="E6" s="1743">
        <v>1467</v>
      </c>
      <c r="F6" s="1744">
        <v>1447</v>
      </c>
      <c r="G6" s="1744">
        <v>1378</v>
      </c>
      <c r="H6" s="1502">
        <v>1371</v>
      </c>
      <c r="I6" s="1745">
        <v>1461</v>
      </c>
      <c r="J6" s="1744">
        <v>1400</v>
      </c>
      <c r="K6" s="1746">
        <v>4460</v>
      </c>
      <c r="L6" s="1747">
        <v>4196</v>
      </c>
      <c r="M6" s="1744">
        <v>5663</v>
      </c>
      <c r="N6" s="1744">
        <v>5603</v>
      </c>
    </row>
    <row r="7" spans="1:14" ht="14.1" customHeight="1" x14ac:dyDescent="0.25">
      <c r="A7" s="1740" t="s">
        <v>518</v>
      </c>
      <c r="B7" s="1741">
        <v>655</v>
      </c>
      <c r="C7" s="1742">
        <v>598</v>
      </c>
      <c r="D7" s="1499">
        <v>612</v>
      </c>
      <c r="E7" s="1743">
        <v>582</v>
      </c>
      <c r="F7" s="1744">
        <v>500</v>
      </c>
      <c r="G7" s="1744">
        <v>577</v>
      </c>
      <c r="H7" s="1502">
        <v>511</v>
      </c>
      <c r="I7" s="1745">
        <v>534</v>
      </c>
      <c r="J7" s="1744">
        <v>511</v>
      </c>
      <c r="K7" s="1746">
        <v>1865</v>
      </c>
      <c r="L7" s="1747">
        <v>1588</v>
      </c>
      <c r="M7" s="1744">
        <v>2170</v>
      </c>
      <c r="N7" s="1744">
        <v>2083</v>
      </c>
    </row>
    <row r="8" spans="1:14" ht="14.1" customHeight="1" x14ac:dyDescent="0.25">
      <c r="A8" s="1740" t="s">
        <v>519</v>
      </c>
      <c r="B8" s="1741">
        <v>85</v>
      </c>
      <c r="C8" s="1742">
        <v>85</v>
      </c>
      <c r="D8" s="1499">
        <v>160</v>
      </c>
      <c r="E8" s="1743">
        <v>67</v>
      </c>
      <c r="F8" s="1744">
        <v>79</v>
      </c>
      <c r="G8" s="1744">
        <v>65</v>
      </c>
      <c r="H8" s="1502">
        <v>160</v>
      </c>
      <c r="I8" s="1745">
        <v>76</v>
      </c>
      <c r="J8" s="1744">
        <v>66</v>
      </c>
      <c r="K8" s="1746">
        <v>330</v>
      </c>
      <c r="L8" s="1747">
        <v>304</v>
      </c>
      <c r="M8" s="1744">
        <v>371</v>
      </c>
      <c r="N8" s="1744">
        <v>331</v>
      </c>
    </row>
    <row r="9" spans="1:14" ht="14.1" customHeight="1" x14ac:dyDescent="0.25">
      <c r="A9" s="1740" t="s">
        <v>520</v>
      </c>
      <c r="B9" s="1741">
        <v>410</v>
      </c>
      <c r="C9" s="1742">
        <v>475</v>
      </c>
      <c r="D9" s="1499">
        <v>472</v>
      </c>
      <c r="E9" s="1743">
        <v>383</v>
      </c>
      <c r="F9" s="1744">
        <v>429</v>
      </c>
      <c r="G9" s="1744">
        <v>435</v>
      </c>
      <c r="H9" s="1502">
        <v>404</v>
      </c>
      <c r="I9" s="1745">
        <v>380</v>
      </c>
      <c r="J9" s="1744">
        <v>400</v>
      </c>
      <c r="K9" s="1746">
        <v>1357</v>
      </c>
      <c r="L9" s="1747">
        <v>1268</v>
      </c>
      <c r="M9" s="1744">
        <v>1651</v>
      </c>
      <c r="N9" s="1744">
        <v>1573</v>
      </c>
    </row>
    <row r="10" spans="1:14" ht="14.1" customHeight="1" x14ac:dyDescent="0.25">
      <c r="A10" s="1748" t="s">
        <v>521</v>
      </c>
      <c r="B10" s="1741">
        <v>2662</v>
      </c>
      <c r="C10" s="1742">
        <v>2641</v>
      </c>
      <c r="D10" s="1499">
        <v>2709</v>
      </c>
      <c r="E10" s="1743">
        <v>2499</v>
      </c>
      <c r="F10" s="1744">
        <v>2455</v>
      </c>
      <c r="G10" s="1744">
        <v>2455</v>
      </c>
      <c r="H10" s="1502">
        <v>2446</v>
      </c>
      <c r="I10" s="1745">
        <v>2451</v>
      </c>
      <c r="J10" s="1744">
        <v>2377</v>
      </c>
      <c r="K10" s="1746">
        <v>8012</v>
      </c>
      <c r="L10" s="1747">
        <v>7356</v>
      </c>
      <c r="M10" s="1744">
        <v>9855</v>
      </c>
      <c r="N10" s="1744">
        <v>9590</v>
      </c>
    </row>
    <row r="11" spans="1:14" ht="14.1" customHeight="1" x14ac:dyDescent="0.25">
      <c r="A11" s="1749"/>
      <c r="B11" s="1750"/>
      <c r="C11" s="1751"/>
      <c r="D11" s="1752"/>
      <c r="E11" s="1753"/>
      <c r="F11" s="1754"/>
      <c r="G11" s="1754"/>
      <c r="H11" s="1649"/>
      <c r="I11" s="1755"/>
      <c r="J11" s="1754"/>
      <c r="K11" s="1756"/>
      <c r="L11" s="1757"/>
      <c r="M11" s="1754"/>
      <c r="N11" s="1754"/>
    </row>
    <row r="12" spans="1:14" ht="14.1" customHeight="1" x14ac:dyDescent="0.25">
      <c r="A12" s="1749" t="s">
        <v>522</v>
      </c>
      <c r="B12" s="1750"/>
      <c r="C12" s="1751"/>
      <c r="D12" s="1752"/>
      <c r="E12" s="1753"/>
      <c r="F12" s="1754"/>
      <c r="G12" s="1754"/>
      <c r="H12" s="1649"/>
      <c r="I12" s="1755"/>
      <c r="J12" s="1754"/>
      <c r="K12" s="1756"/>
      <c r="L12" s="1757"/>
      <c r="M12" s="1754"/>
      <c r="N12" s="1754"/>
    </row>
    <row r="13" spans="1:14" ht="14.1" customHeight="1" x14ac:dyDescent="0.25">
      <c r="A13" s="1740" t="s">
        <v>523</v>
      </c>
      <c r="B13" s="1741">
        <v>0</v>
      </c>
      <c r="C13" s="1742">
        <v>2</v>
      </c>
      <c r="D13" s="1499">
        <v>6</v>
      </c>
      <c r="E13" s="1743">
        <v>3</v>
      </c>
      <c r="F13" s="1744">
        <v>2</v>
      </c>
      <c r="G13" s="1744">
        <v>2</v>
      </c>
      <c r="H13" s="1502">
        <v>2</v>
      </c>
      <c r="I13" s="1745">
        <v>2</v>
      </c>
      <c r="J13" s="1744">
        <v>1</v>
      </c>
      <c r="K13" s="1746">
        <v>8</v>
      </c>
      <c r="L13" s="1747">
        <v>6</v>
      </c>
      <c r="M13" s="1744">
        <v>9</v>
      </c>
      <c r="N13" s="1744">
        <v>4</v>
      </c>
    </row>
    <row r="14" spans="1:14" ht="14.1" customHeight="1" x14ac:dyDescent="0.25">
      <c r="A14" s="1740" t="s">
        <v>524</v>
      </c>
      <c r="B14" s="1741">
        <v>26</v>
      </c>
      <c r="C14" s="1742">
        <v>26</v>
      </c>
      <c r="D14" s="1499">
        <v>21</v>
      </c>
      <c r="E14" s="1743">
        <v>23</v>
      </c>
      <c r="F14" s="1744">
        <v>27</v>
      </c>
      <c r="G14" s="1744">
        <v>25</v>
      </c>
      <c r="H14" s="1502">
        <v>22</v>
      </c>
      <c r="I14" s="1745">
        <v>24</v>
      </c>
      <c r="J14" s="1744">
        <v>27</v>
      </c>
      <c r="K14" s="1746">
        <v>73</v>
      </c>
      <c r="L14" s="1747">
        <v>74</v>
      </c>
      <c r="M14" s="1744">
        <v>97</v>
      </c>
      <c r="N14" s="1744">
        <v>98</v>
      </c>
    </row>
    <row r="15" spans="1:14" ht="14.1" customHeight="1" x14ac:dyDescent="0.25">
      <c r="A15" s="1740" t="s">
        <v>525</v>
      </c>
      <c r="B15" s="1741">
        <v>110</v>
      </c>
      <c r="C15" s="1742">
        <v>116</v>
      </c>
      <c r="D15" s="1499">
        <v>111</v>
      </c>
      <c r="E15" s="1743">
        <v>116</v>
      </c>
      <c r="F15" s="1744">
        <v>119</v>
      </c>
      <c r="G15" s="1744">
        <v>116</v>
      </c>
      <c r="H15" s="1502">
        <v>114</v>
      </c>
      <c r="I15" s="1745">
        <v>111</v>
      </c>
      <c r="J15" s="1744">
        <v>109</v>
      </c>
      <c r="K15" s="1746">
        <v>337</v>
      </c>
      <c r="L15" s="1747">
        <v>349</v>
      </c>
      <c r="M15" s="1744">
        <v>465</v>
      </c>
      <c r="N15" s="1744">
        <v>442</v>
      </c>
    </row>
    <row r="16" spans="1:14" ht="14.1" customHeight="1" x14ac:dyDescent="0.25">
      <c r="A16" s="1748" t="s">
        <v>526</v>
      </c>
      <c r="B16" s="1741">
        <v>136</v>
      </c>
      <c r="C16" s="1742">
        <v>144</v>
      </c>
      <c r="D16" s="1499">
        <v>138</v>
      </c>
      <c r="E16" s="1743">
        <v>142</v>
      </c>
      <c r="F16" s="1744">
        <v>148</v>
      </c>
      <c r="G16" s="1744">
        <v>143</v>
      </c>
      <c r="H16" s="1502">
        <v>138</v>
      </c>
      <c r="I16" s="1745">
        <v>137</v>
      </c>
      <c r="J16" s="1744">
        <v>137</v>
      </c>
      <c r="K16" s="1746">
        <v>418</v>
      </c>
      <c r="L16" s="1747">
        <v>429</v>
      </c>
      <c r="M16" s="1744">
        <v>571</v>
      </c>
      <c r="N16" s="1744">
        <v>544</v>
      </c>
    </row>
    <row r="17" spans="1:14" ht="14.1" customHeight="1" x14ac:dyDescent="0.25">
      <c r="A17" s="1749"/>
      <c r="B17" s="1750"/>
      <c r="C17" s="1751"/>
      <c r="D17" s="1752"/>
      <c r="E17" s="1753"/>
      <c r="F17" s="1754"/>
      <c r="G17" s="1754"/>
      <c r="H17" s="1649"/>
      <c r="I17" s="1755"/>
      <c r="J17" s="1754"/>
      <c r="K17" s="1756"/>
      <c r="L17" s="1757"/>
      <c r="M17" s="1754"/>
      <c r="N17" s="1754"/>
    </row>
    <row r="18" spans="1:14" ht="14.1" customHeight="1" x14ac:dyDescent="0.25">
      <c r="A18" s="1749" t="s">
        <v>527</v>
      </c>
      <c r="B18" s="1741">
        <v>671</v>
      </c>
      <c r="C18" s="1742">
        <v>670</v>
      </c>
      <c r="D18" s="1499">
        <v>662</v>
      </c>
      <c r="E18" s="1743">
        <v>610</v>
      </c>
      <c r="F18" s="1744">
        <v>589</v>
      </c>
      <c r="G18" s="1744">
        <v>556</v>
      </c>
      <c r="H18" s="1502">
        <v>570</v>
      </c>
      <c r="I18" s="1745">
        <v>563</v>
      </c>
      <c r="J18" s="1744">
        <v>523</v>
      </c>
      <c r="K18" s="1746">
        <v>2003</v>
      </c>
      <c r="L18" s="1747">
        <v>1715</v>
      </c>
      <c r="M18" s="1744">
        <v>2325</v>
      </c>
      <c r="N18" s="1744">
        <v>2113</v>
      </c>
    </row>
    <row r="19" spans="1:14" ht="14.1" customHeight="1" x14ac:dyDescent="0.25">
      <c r="A19" s="1749"/>
      <c r="B19" s="1750"/>
      <c r="C19" s="1751"/>
      <c r="D19" s="1752"/>
      <c r="E19" s="1753"/>
      <c r="F19" s="1754"/>
      <c r="G19" s="1754"/>
      <c r="H19" s="1649"/>
      <c r="I19" s="1755"/>
      <c r="J19" s="1754"/>
      <c r="K19" s="1756"/>
      <c r="L19" s="1757"/>
      <c r="M19" s="1754"/>
      <c r="N19" s="1754"/>
    </row>
    <row r="20" spans="1:14" ht="14.1" customHeight="1" x14ac:dyDescent="0.25">
      <c r="A20" s="1749" t="s">
        <v>528</v>
      </c>
      <c r="B20" s="1741">
        <v>170</v>
      </c>
      <c r="C20" s="1742">
        <v>168</v>
      </c>
      <c r="D20" s="1499">
        <v>178</v>
      </c>
      <c r="E20" s="1743">
        <v>184</v>
      </c>
      <c r="F20" s="1744">
        <v>180</v>
      </c>
      <c r="G20" s="1744">
        <v>176</v>
      </c>
      <c r="H20" s="1502">
        <v>190</v>
      </c>
      <c r="I20" s="1745">
        <v>218</v>
      </c>
      <c r="J20" s="1744">
        <v>197</v>
      </c>
      <c r="K20" s="1746">
        <v>516</v>
      </c>
      <c r="L20" s="1747">
        <v>546</v>
      </c>
      <c r="M20" s="1744">
        <v>730</v>
      </c>
      <c r="N20" s="1744">
        <v>801</v>
      </c>
    </row>
    <row r="21" spans="1:14" ht="14.1" customHeight="1" x14ac:dyDescent="0.25">
      <c r="A21" s="1749"/>
      <c r="B21" s="1750"/>
      <c r="C21" s="1751"/>
      <c r="D21" s="1752"/>
      <c r="E21" s="1753"/>
      <c r="F21" s="1754"/>
      <c r="G21" s="1754"/>
      <c r="H21" s="1649"/>
      <c r="I21" s="1755"/>
      <c r="J21" s="1754"/>
      <c r="K21" s="1756"/>
      <c r="L21" s="1757"/>
      <c r="M21" s="1754"/>
      <c r="N21" s="1754"/>
    </row>
    <row r="22" spans="1:14" ht="14.1" customHeight="1" x14ac:dyDescent="0.25">
      <c r="A22" s="1749" t="s">
        <v>529</v>
      </c>
      <c r="B22" s="1750"/>
      <c r="C22" s="1751"/>
      <c r="D22" s="1752"/>
      <c r="E22" s="1753"/>
      <c r="F22" s="1754"/>
      <c r="G22" s="1754"/>
      <c r="H22" s="1649"/>
      <c r="I22" s="1755"/>
      <c r="J22" s="1754"/>
      <c r="K22" s="1756"/>
      <c r="L22" s="1757"/>
      <c r="M22" s="1754"/>
      <c r="N22" s="1754"/>
    </row>
    <row r="23" spans="1:14" ht="14.1" customHeight="1" x14ac:dyDescent="0.25">
      <c r="A23" s="1740" t="s">
        <v>530</v>
      </c>
      <c r="B23" s="1741">
        <v>218</v>
      </c>
      <c r="C23" s="1742">
        <v>208</v>
      </c>
      <c r="D23" s="1499">
        <v>207</v>
      </c>
      <c r="E23" s="1743">
        <v>299</v>
      </c>
      <c r="F23" s="1744">
        <v>229</v>
      </c>
      <c r="G23" s="1744">
        <v>217</v>
      </c>
      <c r="H23" s="1502">
        <v>213</v>
      </c>
      <c r="I23" s="1745">
        <v>277</v>
      </c>
      <c r="J23" s="1744">
        <v>195</v>
      </c>
      <c r="K23" s="1746">
        <v>633</v>
      </c>
      <c r="L23" s="1747">
        <v>659</v>
      </c>
      <c r="M23" s="1744">
        <v>958</v>
      </c>
      <c r="N23" s="1744">
        <v>862</v>
      </c>
    </row>
    <row r="24" spans="1:14" ht="14.1" customHeight="1" x14ac:dyDescent="0.25">
      <c r="A24" s="1740" t="s">
        <v>531</v>
      </c>
      <c r="B24" s="1741">
        <v>17</v>
      </c>
      <c r="C24" s="1742">
        <v>17</v>
      </c>
      <c r="D24" s="1499">
        <v>18</v>
      </c>
      <c r="E24" s="1743">
        <v>18</v>
      </c>
      <c r="F24" s="1744">
        <v>19</v>
      </c>
      <c r="G24" s="1744">
        <v>17</v>
      </c>
      <c r="H24" s="1502">
        <v>18</v>
      </c>
      <c r="I24" s="1745">
        <v>95</v>
      </c>
      <c r="J24" s="1744">
        <v>20</v>
      </c>
      <c r="K24" s="1746">
        <v>52</v>
      </c>
      <c r="L24" s="1747">
        <v>54</v>
      </c>
      <c r="M24" s="1744">
        <v>72</v>
      </c>
      <c r="N24" s="1744">
        <v>157</v>
      </c>
    </row>
    <row r="25" spans="1:14" ht="14.1" customHeight="1" x14ac:dyDescent="0.25">
      <c r="A25" s="1748" t="s">
        <v>532</v>
      </c>
      <c r="B25" s="1741">
        <v>235</v>
      </c>
      <c r="C25" s="1742">
        <v>225</v>
      </c>
      <c r="D25" s="1499">
        <v>225</v>
      </c>
      <c r="E25" s="1743">
        <v>317</v>
      </c>
      <c r="F25" s="1744">
        <v>248</v>
      </c>
      <c r="G25" s="1744">
        <v>234</v>
      </c>
      <c r="H25" s="1502">
        <v>231</v>
      </c>
      <c r="I25" s="1745">
        <v>372</v>
      </c>
      <c r="J25" s="1744">
        <v>215</v>
      </c>
      <c r="K25" s="1746">
        <v>685</v>
      </c>
      <c r="L25" s="1747">
        <v>713</v>
      </c>
      <c r="M25" s="1744">
        <v>1030</v>
      </c>
      <c r="N25" s="1744">
        <v>1019</v>
      </c>
    </row>
    <row r="26" spans="1:14" ht="14.1" customHeight="1" x14ac:dyDescent="0.25">
      <c r="A26" s="1749"/>
      <c r="B26" s="1750"/>
      <c r="C26" s="1751"/>
      <c r="D26" s="1752"/>
      <c r="E26" s="1753"/>
      <c r="F26" s="1754"/>
      <c r="G26" s="1754"/>
      <c r="H26" s="1649"/>
      <c r="I26" s="1755"/>
      <c r="J26" s="1754"/>
      <c r="K26" s="1756"/>
      <c r="L26" s="1757"/>
      <c r="M26" s="1754"/>
      <c r="N26" s="1754"/>
    </row>
    <row r="27" spans="1:14" ht="14.1" customHeight="1" x14ac:dyDescent="0.25">
      <c r="A27" s="1749" t="s">
        <v>533</v>
      </c>
      <c r="B27" s="1741">
        <v>89</v>
      </c>
      <c r="C27" s="1742">
        <v>103</v>
      </c>
      <c r="D27" s="1499">
        <v>97</v>
      </c>
      <c r="E27" s="1743">
        <v>87</v>
      </c>
      <c r="F27" s="1744">
        <v>89</v>
      </c>
      <c r="G27" s="1744">
        <v>99</v>
      </c>
      <c r="H27" s="1502">
        <v>106</v>
      </c>
      <c r="I27" s="1745">
        <v>99</v>
      </c>
      <c r="J27" s="1744">
        <v>101</v>
      </c>
      <c r="K27" s="1746">
        <v>289</v>
      </c>
      <c r="L27" s="1747">
        <v>294</v>
      </c>
      <c r="M27" s="1744">
        <v>381</v>
      </c>
      <c r="N27" s="1744">
        <v>395</v>
      </c>
    </row>
    <row r="28" spans="1:14" ht="14.1" customHeight="1" x14ac:dyDescent="0.25">
      <c r="A28" s="1749"/>
      <c r="B28" s="1750"/>
      <c r="C28" s="1751"/>
      <c r="D28" s="1752"/>
      <c r="E28" s="1753"/>
      <c r="F28" s="1754"/>
      <c r="G28" s="1754"/>
      <c r="H28" s="1649"/>
      <c r="I28" s="1755"/>
      <c r="J28" s="1754"/>
      <c r="K28" s="1756"/>
      <c r="L28" s="1757"/>
      <c r="M28" s="1754"/>
      <c r="N28" s="1754"/>
    </row>
    <row r="29" spans="1:14" ht="14.1" customHeight="1" x14ac:dyDescent="0.25">
      <c r="A29" s="1749" t="s">
        <v>534</v>
      </c>
      <c r="B29" s="1741">
        <v>169</v>
      </c>
      <c r="C29" s="1742">
        <v>159</v>
      </c>
      <c r="D29" s="1499">
        <v>156</v>
      </c>
      <c r="E29" s="1743">
        <v>168</v>
      </c>
      <c r="F29" s="1744">
        <v>146</v>
      </c>
      <c r="G29" s="1744">
        <v>148</v>
      </c>
      <c r="H29" s="1502">
        <v>152</v>
      </c>
      <c r="I29" s="1745">
        <v>159</v>
      </c>
      <c r="J29" s="1744">
        <v>142</v>
      </c>
      <c r="K29" s="1746">
        <v>484</v>
      </c>
      <c r="L29" s="1747">
        <v>446</v>
      </c>
      <c r="M29" s="1744">
        <v>614</v>
      </c>
      <c r="N29" s="1744">
        <v>576</v>
      </c>
    </row>
    <row r="30" spans="1:14" ht="14.1" customHeight="1" x14ac:dyDescent="0.25">
      <c r="A30" s="1749"/>
      <c r="B30" s="1750"/>
      <c r="C30" s="1751"/>
      <c r="D30" s="1752"/>
      <c r="E30" s="1753"/>
      <c r="F30" s="1754"/>
      <c r="G30" s="1754"/>
      <c r="H30" s="1649"/>
      <c r="I30" s="1755"/>
      <c r="J30" s="1754"/>
      <c r="K30" s="1756"/>
      <c r="L30" s="1757"/>
      <c r="M30" s="1754"/>
      <c r="N30" s="1754"/>
    </row>
    <row r="31" spans="1:14" ht="14.1" customHeight="1" x14ac:dyDescent="0.25">
      <c r="A31" s="1749" t="s">
        <v>535</v>
      </c>
      <c r="B31" s="1741">
        <v>212</v>
      </c>
      <c r="C31" s="1742">
        <v>229</v>
      </c>
      <c r="D31" s="1499">
        <v>205</v>
      </c>
      <c r="E31" s="1743">
        <v>225</v>
      </c>
      <c r="F31" s="1744">
        <v>215</v>
      </c>
      <c r="G31" s="1744">
        <v>191</v>
      </c>
      <c r="H31" s="1502">
        <v>162</v>
      </c>
      <c r="I31" s="1745">
        <v>219</v>
      </c>
      <c r="J31" s="1744">
        <v>198</v>
      </c>
      <c r="K31" s="1746">
        <v>646</v>
      </c>
      <c r="L31" s="1747">
        <v>568</v>
      </c>
      <c r="M31" s="1744">
        <v>793</v>
      </c>
      <c r="N31" s="1744">
        <v>779</v>
      </c>
    </row>
    <row r="32" spans="1:14" ht="14.1" customHeight="1" x14ac:dyDescent="0.25">
      <c r="A32" s="1749"/>
      <c r="B32" s="1750"/>
      <c r="C32" s="1751"/>
      <c r="D32" s="1752"/>
      <c r="E32" s="1753"/>
      <c r="F32" s="1754"/>
      <c r="G32" s="1754"/>
      <c r="H32" s="1649"/>
      <c r="I32" s="1755"/>
      <c r="J32" s="1754"/>
      <c r="K32" s="1756"/>
      <c r="L32" s="1757"/>
      <c r="M32" s="1754"/>
      <c r="N32" s="1754"/>
    </row>
    <row r="33" spans="1:14" ht="14.1" customHeight="1" x14ac:dyDescent="0.25">
      <c r="A33" s="1749" t="s">
        <v>536</v>
      </c>
      <c r="B33" s="1750"/>
      <c r="C33" s="1751"/>
      <c r="D33" s="1752"/>
      <c r="E33" s="1753"/>
      <c r="F33" s="1754"/>
      <c r="G33" s="1754"/>
      <c r="H33" s="1649"/>
      <c r="I33" s="1755"/>
      <c r="J33" s="1754"/>
      <c r="K33" s="1756"/>
      <c r="L33" s="1757"/>
      <c r="M33" s="1754"/>
      <c r="N33" s="1754"/>
    </row>
    <row r="34" spans="1:14" ht="14.1" customHeight="1" x14ac:dyDescent="0.25">
      <c r="A34" s="1740" t="s">
        <v>537</v>
      </c>
      <c r="B34" s="1741">
        <v>153</v>
      </c>
      <c r="C34" s="1742">
        <v>151</v>
      </c>
      <c r="D34" s="1499">
        <v>165</v>
      </c>
      <c r="E34" s="1743">
        <v>147</v>
      </c>
      <c r="F34" s="1744">
        <v>151</v>
      </c>
      <c r="G34" s="1744">
        <v>154</v>
      </c>
      <c r="H34" s="1502">
        <v>165</v>
      </c>
      <c r="I34" s="1745">
        <v>147</v>
      </c>
      <c r="J34" s="1744">
        <v>142</v>
      </c>
      <c r="K34" s="1746">
        <v>469</v>
      </c>
      <c r="L34" s="1747">
        <v>470</v>
      </c>
      <c r="M34" s="1744">
        <v>617</v>
      </c>
      <c r="N34" s="1744">
        <v>566</v>
      </c>
    </row>
    <row r="35" spans="1:14" ht="14.1" customHeight="1" x14ac:dyDescent="0.25">
      <c r="A35" s="1740" t="s">
        <v>538</v>
      </c>
      <c r="B35" s="1741">
        <v>24</v>
      </c>
      <c r="C35" s="1742">
        <v>20</v>
      </c>
      <c r="D35" s="1499">
        <v>19</v>
      </c>
      <c r="E35" s="1743">
        <v>14</v>
      </c>
      <c r="F35" s="1744">
        <v>16</v>
      </c>
      <c r="G35" s="1744">
        <v>17</v>
      </c>
      <c r="H35" s="1502">
        <v>18</v>
      </c>
      <c r="I35" s="1745">
        <v>15</v>
      </c>
      <c r="J35" s="1744">
        <v>11</v>
      </c>
      <c r="K35" s="1746">
        <v>63</v>
      </c>
      <c r="L35" s="1747">
        <v>51</v>
      </c>
      <c r="M35" s="1744">
        <v>65</v>
      </c>
      <c r="N35" s="1744">
        <v>68</v>
      </c>
    </row>
    <row r="36" spans="1:14" ht="14.1" customHeight="1" x14ac:dyDescent="0.25">
      <c r="A36" s="1748" t="s">
        <v>539</v>
      </c>
      <c r="B36" s="1741">
        <v>177</v>
      </c>
      <c r="C36" s="1742">
        <v>171</v>
      </c>
      <c r="D36" s="1499">
        <v>184</v>
      </c>
      <c r="E36" s="1743">
        <v>161</v>
      </c>
      <c r="F36" s="1744">
        <v>167</v>
      </c>
      <c r="G36" s="1744">
        <v>171</v>
      </c>
      <c r="H36" s="1502">
        <v>183</v>
      </c>
      <c r="I36" s="1745">
        <v>162</v>
      </c>
      <c r="J36" s="1744">
        <v>153</v>
      </c>
      <c r="K36" s="1746">
        <v>532</v>
      </c>
      <c r="L36" s="1747">
        <v>521</v>
      </c>
      <c r="M36" s="1744">
        <v>682</v>
      </c>
      <c r="N36" s="1744">
        <v>634</v>
      </c>
    </row>
    <row r="37" spans="1:14" ht="14.1" customHeight="1" x14ac:dyDescent="0.25">
      <c r="A37" s="1749"/>
      <c r="B37" s="1750"/>
      <c r="C37" s="1751"/>
      <c r="D37" s="1752"/>
      <c r="E37" s="1753"/>
      <c r="F37" s="1754"/>
      <c r="G37" s="1754"/>
      <c r="H37" s="1649"/>
      <c r="I37" s="1755"/>
      <c r="J37" s="1754"/>
      <c r="K37" s="1756"/>
      <c r="L37" s="1757"/>
      <c r="M37" s="1754"/>
      <c r="N37" s="1754"/>
    </row>
    <row r="38" spans="1:14" ht="14.1" customHeight="1" x14ac:dyDescent="0.25">
      <c r="A38" s="1749" t="s">
        <v>540</v>
      </c>
      <c r="B38" s="1741">
        <v>568</v>
      </c>
      <c r="C38" s="1742">
        <v>600</v>
      </c>
      <c r="D38" s="1499">
        <v>1937</v>
      </c>
      <c r="E38" s="1743">
        <v>903</v>
      </c>
      <c r="F38" s="1744">
        <v>712</v>
      </c>
      <c r="G38" s="1744">
        <v>538</v>
      </c>
      <c r="H38" s="1502">
        <v>561</v>
      </c>
      <c r="I38" s="1745">
        <v>1147</v>
      </c>
      <c r="J38" s="1744">
        <v>516</v>
      </c>
      <c r="K38" s="1746">
        <v>3105</v>
      </c>
      <c r="L38" s="1747">
        <v>1811</v>
      </c>
      <c r="M38" s="1744">
        <v>2714</v>
      </c>
      <c r="N38" s="1744">
        <v>2670</v>
      </c>
    </row>
    <row r="39" spans="1:14" ht="14.1" customHeight="1" x14ac:dyDescent="0.25">
      <c r="A39" s="1749"/>
      <c r="B39" s="1750"/>
      <c r="C39" s="1751"/>
      <c r="D39" s="1752"/>
      <c r="E39" s="1753"/>
      <c r="F39" s="1754"/>
      <c r="G39" s="1754"/>
      <c r="H39" s="1649"/>
      <c r="I39" s="1755"/>
      <c r="J39" s="1754"/>
      <c r="K39" s="1756"/>
      <c r="L39" s="1757"/>
      <c r="M39" s="1754"/>
      <c r="N39" s="1754"/>
    </row>
    <row r="40" spans="1:14" ht="14.1" customHeight="1" x14ac:dyDescent="0.25">
      <c r="A40" s="1749" t="s">
        <v>541</v>
      </c>
      <c r="B40" s="1741">
        <v>5089</v>
      </c>
      <c r="C40" s="1742">
        <v>5110</v>
      </c>
      <c r="D40" s="1499">
        <v>6491</v>
      </c>
      <c r="E40" s="1743">
        <v>5296</v>
      </c>
      <c r="F40" s="1744">
        <v>4949</v>
      </c>
      <c r="G40" s="1744">
        <v>4711</v>
      </c>
      <c r="H40" s="1502">
        <v>4739</v>
      </c>
      <c r="I40" s="1745">
        <v>5527</v>
      </c>
      <c r="J40" s="1744">
        <v>4559</v>
      </c>
      <c r="K40" s="1746">
        <v>16690</v>
      </c>
      <c r="L40" s="1747">
        <v>14399</v>
      </c>
      <c r="M40" s="1744">
        <v>19695</v>
      </c>
      <c r="N40" s="1744">
        <v>19121</v>
      </c>
    </row>
    <row r="41" spans="1:14" ht="14.1" customHeight="1" x14ac:dyDescent="0.25">
      <c r="A41" s="1749"/>
      <c r="B41" s="1750"/>
      <c r="C41" s="1751"/>
      <c r="D41" s="1752"/>
      <c r="E41" s="1753"/>
      <c r="F41" s="1754"/>
      <c r="G41" s="1754"/>
      <c r="H41" s="1649"/>
      <c r="I41" s="1755"/>
      <c r="J41" s="1754"/>
      <c r="K41" s="1756"/>
      <c r="L41" s="1757"/>
      <c r="M41" s="1754"/>
      <c r="N41" s="1754"/>
    </row>
    <row r="42" spans="1:14" ht="14.1" customHeight="1" x14ac:dyDescent="0.25">
      <c r="A42" s="1749" t="s">
        <v>542</v>
      </c>
      <c r="B42" s="1750"/>
      <c r="C42" s="1751"/>
      <c r="D42" s="1752"/>
      <c r="E42" s="1753"/>
      <c r="F42" s="1754"/>
      <c r="G42" s="1754"/>
      <c r="H42" s="1649"/>
      <c r="I42" s="1755"/>
      <c r="J42" s="1754"/>
      <c r="K42" s="1756"/>
      <c r="L42" s="1757"/>
      <c r="M42" s="1754"/>
      <c r="N42" s="1754"/>
    </row>
    <row r="43" spans="1:14" ht="14.1" customHeight="1" x14ac:dyDescent="0.25">
      <c r="A43" s="1740" t="s">
        <v>543</v>
      </c>
      <c r="B43" s="1750">
        <v>23</v>
      </c>
      <c r="C43" s="1742">
        <v>-26</v>
      </c>
      <c r="D43" s="1499">
        <v>-1362</v>
      </c>
      <c r="E43" s="1745">
        <v>0</v>
      </c>
      <c r="F43" s="1744">
        <v>7</v>
      </c>
      <c r="G43" s="1744">
        <v>0</v>
      </c>
      <c r="H43" s="1758">
        <v>0</v>
      </c>
      <c r="I43" s="1745">
        <v>0</v>
      </c>
      <c r="J43" s="1744">
        <v>0</v>
      </c>
      <c r="K43" s="1746">
        <v>-1365</v>
      </c>
      <c r="L43" s="1747">
        <v>7</v>
      </c>
      <c r="M43" s="1754">
        <v>7</v>
      </c>
      <c r="N43" s="1754">
        <v>0</v>
      </c>
    </row>
    <row r="44" spans="1:14" ht="14.1" customHeight="1" x14ac:dyDescent="0.25">
      <c r="A44" s="1740" t="s">
        <v>544</v>
      </c>
      <c r="B44" s="1741">
        <v>-17</v>
      </c>
      <c r="C44" s="1742">
        <v>-17</v>
      </c>
      <c r="D44" s="1499">
        <v>-18</v>
      </c>
      <c r="E44" s="1743">
        <v>-19</v>
      </c>
      <c r="F44" s="1744">
        <v>-17</v>
      </c>
      <c r="G44" s="1744">
        <v>-18</v>
      </c>
      <c r="H44" s="1502">
        <v>-18</v>
      </c>
      <c r="I44" s="1743">
        <v>-19</v>
      </c>
      <c r="J44" s="1744">
        <v>-20</v>
      </c>
      <c r="K44" s="1746">
        <v>-52</v>
      </c>
      <c r="L44" s="1747">
        <v>-53</v>
      </c>
      <c r="M44" s="1744">
        <v>-72</v>
      </c>
      <c r="N44" s="1744">
        <v>-81</v>
      </c>
    </row>
    <row r="45" spans="1:14" ht="14.1" customHeight="1" x14ac:dyDescent="0.25">
      <c r="A45" s="1740" t="s">
        <v>545</v>
      </c>
      <c r="B45" s="1741">
        <v>0</v>
      </c>
      <c r="C45" s="1742">
        <v>0</v>
      </c>
      <c r="D45" s="1499">
        <v>0</v>
      </c>
      <c r="E45" s="1743">
        <v>0</v>
      </c>
      <c r="F45" s="1744">
        <v>-176</v>
      </c>
      <c r="G45" s="1744">
        <v>0</v>
      </c>
      <c r="H45" s="1502">
        <v>0</v>
      </c>
      <c r="I45" s="1745">
        <v>0</v>
      </c>
      <c r="J45" s="1744">
        <v>0</v>
      </c>
      <c r="K45" s="1746">
        <v>0</v>
      </c>
      <c r="L45" s="1747">
        <v>-176</v>
      </c>
      <c r="M45" s="1754">
        <v>-176</v>
      </c>
      <c r="N45" s="1754">
        <v>0</v>
      </c>
    </row>
    <row r="46" spans="1:14" ht="14.1" customHeight="1" x14ac:dyDescent="0.25">
      <c r="A46" s="1740" t="s">
        <v>546</v>
      </c>
      <c r="B46" s="1741">
        <v>0</v>
      </c>
      <c r="C46" s="1742">
        <v>0</v>
      </c>
      <c r="D46" s="1499">
        <v>0</v>
      </c>
      <c r="E46" s="1743">
        <v>-53</v>
      </c>
      <c r="F46" s="1744">
        <v>0</v>
      </c>
      <c r="G46" s="1744">
        <v>0</v>
      </c>
      <c r="H46" s="1502">
        <v>0</v>
      </c>
      <c r="I46" s="1745">
        <v>-354</v>
      </c>
      <c r="J46" s="1744">
        <v>0</v>
      </c>
      <c r="K46" s="1746">
        <v>0</v>
      </c>
      <c r="L46" s="1747">
        <v>0</v>
      </c>
      <c r="M46" s="1744">
        <v>-53</v>
      </c>
      <c r="N46" s="1744">
        <v>-354</v>
      </c>
    </row>
    <row r="47" spans="1:14" ht="14.1" customHeight="1" x14ac:dyDescent="0.25">
      <c r="A47" s="1740" t="s">
        <v>547</v>
      </c>
      <c r="B47" s="1741">
        <v>0</v>
      </c>
      <c r="C47" s="1742">
        <v>0</v>
      </c>
      <c r="D47" s="1499">
        <v>0</v>
      </c>
      <c r="E47" s="1743">
        <v>0</v>
      </c>
      <c r="F47" s="1759">
        <v>0</v>
      </c>
      <c r="G47" s="1742">
        <v>0</v>
      </c>
      <c r="H47" s="1499">
        <v>0</v>
      </c>
      <c r="I47" s="1745">
        <v>-87</v>
      </c>
      <c r="J47" s="1744">
        <v>0</v>
      </c>
      <c r="K47" s="1746">
        <v>0</v>
      </c>
      <c r="L47" s="1747">
        <v>0</v>
      </c>
      <c r="M47" s="1744">
        <v>0</v>
      </c>
      <c r="N47" s="1744">
        <v>-87</v>
      </c>
    </row>
    <row r="48" spans="1:14" ht="14.1" customHeight="1" x14ac:dyDescent="0.25">
      <c r="A48" s="1740" t="s">
        <v>548</v>
      </c>
      <c r="B48" s="1741">
        <v>0</v>
      </c>
      <c r="C48" s="1742">
        <v>0</v>
      </c>
      <c r="D48" s="1499">
        <v>0</v>
      </c>
      <c r="E48" s="1743">
        <v>-440</v>
      </c>
      <c r="F48" s="1759">
        <v>0</v>
      </c>
      <c r="G48" s="1742">
        <v>0</v>
      </c>
      <c r="H48" s="1499">
        <v>0</v>
      </c>
      <c r="I48" s="1745">
        <v>-346</v>
      </c>
      <c r="J48" s="1744">
        <v>0</v>
      </c>
      <c r="K48" s="1746">
        <v>0</v>
      </c>
      <c r="L48" s="1747">
        <v>0</v>
      </c>
      <c r="M48" s="1744">
        <v>-440</v>
      </c>
      <c r="N48" s="1744">
        <v>-346</v>
      </c>
    </row>
    <row r="49" spans="1:14" ht="14.1" customHeight="1" x14ac:dyDescent="0.25">
      <c r="A49" s="1748" t="s">
        <v>549</v>
      </c>
      <c r="B49" s="1741">
        <v>6</v>
      </c>
      <c r="C49" s="1742">
        <v>-43</v>
      </c>
      <c r="D49" s="1499">
        <v>-1380</v>
      </c>
      <c r="E49" s="1743">
        <v>-512</v>
      </c>
      <c r="F49" s="1744">
        <v>-186</v>
      </c>
      <c r="G49" s="1744">
        <v>-18</v>
      </c>
      <c r="H49" s="1502">
        <v>-18</v>
      </c>
      <c r="I49" s="1745">
        <v>-806</v>
      </c>
      <c r="J49" s="1744">
        <v>-20</v>
      </c>
      <c r="K49" s="1746">
        <v>-1417</v>
      </c>
      <c r="L49" s="1747">
        <v>-222</v>
      </c>
      <c r="M49" s="1744">
        <v>-734</v>
      </c>
      <c r="N49" s="1744">
        <v>-868</v>
      </c>
    </row>
    <row r="50" spans="1:14" ht="14.1" customHeight="1" x14ac:dyDescent="0.25">
      <c r="A50" s="1748"/>
      <c r="B50" s="1750"/>
      <c r="C50" s="1751"/>
      <c r="D50" s="1752"/>
      <c r="E50" s="1753"/>
      <c r="F50" s="1754"/>
      <c r="G50" s="1754"/>
      <c r="H50" s="1649"/>
      <c r="I50" s="1755"/>
      <c r="J50" s="1754"/>
      <c r="K50" s="1756"/>
      <c r="L50" s="1757"/>
      <c r="M50" s="1754"/>
      <c r="N50" s="1754"/>
    </row>
    <row r="51" spans="1:14" ht="14.1" customHeight="1" x14ac:dyDescent="0.25">
      <c r="A51" s="1760" t="s">
        <v>550</v>
      </c>
      <c r="B51" s="1761">
        <v>5095</v>
      </c>
      <c r="C51" s="1762">
        <v>5067</v>
      </c>
      <c r="D51" s="1556">
        <v>5111</v>
      </c>
      <c r="E51" s="1763">
        <v>4784</v>
      </c>
      <c r="F51" s="1764">
        <v>4763</v>
      </c>
      <c r="G51" s="1764">
        <v>4693</v>
      </c>
      <c r="H51" s="1607">
        <v>4721</v>
      </c>
      <c r="I51" s="1765">
        <v>4721</v>
      </c>
      <c r="J51" s="1764">
        <v>4539</v>
      </c>
      <c r="K51" s="1766">
        <v>15273</v>
      </c>
      <c r="L51" s="1767">
        <v>14177</v>
      </c>
      <c r="M51" s="1764">
        <v>18961</v>
      </c>
      <c r="N51" s="1764">
        <v>18253</v>
      </c>
    </row>
    <row r="52" spans="1:14" ht="14.1" customHeight="1" x14ac:dyDescent="0.25">
      <c r="A52" s="1721"/>
      <c r="B52" s="1768"/>
      <c r="C52" s="1769"/>
      <c r="D52" s="1769"/>
      <c r="E52" s="1768"/>
      <c r="F52" s="1768"/>
      <c r="G52" s="1768"/>
      <c r="H52" s="1768"/>
      <c r="I52" s="1768"/>
      <c r="J52" s="1768"/>
      <c r="K52" s="1768"/>
      <c r="L52" s="1768"/>
      <c r="M52" s="1768"/>
      <c r="N52" s="1768"/>
    </row>
    <row r="53" spans="1:14" ht="12" customHeight="1" x14ac:dyDescent="0.25">
      <c r="A53" s="1770" t="s">
        <v>551</v>
      </c>
      <c r="B53" s="1770"/>
      <c r="C53" s="1770"/>
      <c r="D53" s="1770"/>
      <c r="E53" s="1770"/>
      <c r="F53" s="1770"/>
      <c r="G53" s="1770"/>
      <c r="H53" s="1770"/>
      <c r="I53" s="1770"/>
      <c r="J53" s="1770"/>
      <c r="K53" s="1770"/>
      <c r="L53" s="1770"/>
      <c r="M53" s="1770"/>
      <c r="N53" s="1770"/>
    </row>
    <row r="54" spans="1:14" ht="12" customHeight="1" x14ac:dyDescent="0.25">
      <c r="A54" s="1770" t="s">
        <v>552</v>
      </c>
      <c r="B54" s="1770"/>
      <c r="C54" s="1770"/>
      <c r="D54" s="1770"/>
      <c r="E54" s="1770"/>
      <c r="F54" s="1770"/>
      <c r="G54" s="1770"/>
      <c r="H54" s="1770"/>
      <c r="I54" s="1770"/>
      <c r="J54" s="1770"/>
      <c r="K54" s="1770"/>
      <c r="L54" s="1770"/>
      <c r="M54" s="1770"/>
      <c r="N54" s="1770"/>
    </row>
    <row r="55" spans="1:14" ht="12" customHeight="1" x14ac:dyDescent="0.25">
      <c r="A55" s="1770" t="s">
        <v>553</v>
      </c>
      <c r="B55" s="1770"/>
      <c r="C55" s="1770"/>
      <c r="D55" s="1770"/>
      <c r="E55" s="1770"/>
      <c r="F55" s="1770"/>
      <c r="G55" s="1770"/>
      <c r="H55" s="1770"/>
      <c r="I55" s="1770"/>
      <c r="J55" s="1770"/>
      <c r="K55" s="1770"/>
      <c r="L55" s="1770"/>
      <c r="M55" s="1770"/>
      <c r="N55" s="1770"/>
    </row>
    <row r="56" spans="1:14" ht="12" customHeight="1" x14ac:dyDescent="0.25">
      <c r="A56" s="3562" t="s">
        <v>554</v>
      </c>
      <c r="B56" s="3562" t="s">
        <v>14</v>
      </c>
      <c r="C56" s="3562" t="s">
        <v>14</v>
      </c>
      <c r="D56" s="3562" t="s">
        <v>14</v>
      </c>
      <c r="E56" s="3562" t="s">
        <v>14</v>
      </c>
      <c r="F56" s="3562" t="s">
        <v>14</v>
      </c>
      <c r="G56" s="3562" t="s">
        <v>14</v>
      </c>
      <c r="H56" s="3562" t="s">
        <v>14</v>
      </c>
      <c r="I56" s="3562" t="s">
        <v>14</v>
      </c>
      <c r="J56" s="3562" t="s">
        <v>14</v>
      </c>
      <c r="K56" s="3562" t="s">
        <v>14</v>
      </c>
      <c r="L56" s="3562" t="s">
        <v>14</v>
      </c>
      <c r="M56" s="1770"/>
      <c r="N56" s="1770"/>
    </row>
    <row r="57" spans="1:14" ht="12" customHeight="1" x14ac:dyDescent="0.25">
      <c r="A57" s="3562" t="s">
        <v>555</v>
      </c>
      <c r="B57" s="3562" t="s">
        <v>14</v>
      </c>
      <c r="C57" s="3562" t="s">
        <v>14</v>
      </c>
      <c r="D57" s="3562" t="s">
        <v>14</v>
      </c>
      <c r="E57" s="3562" t="s">
        <v>14</v>
      </c>
      <c r="F57" s="3562" t="s">
        <v>14</v>
      </c>
      <c r="G57" s="3562" t="s">
        <v>14</v>
      </c>
      <c r="H57" s="3562" t="s">
        <v>14</v>
      </c>
      <c r="I57" s="3562" t="s">
        <v>14</v>
      </c>
      <c r="J57" s="3562" t="s">
        <v>14</v>
      </c>
      <c r="K57" s="3562" t="s">
        <v>14</v>
      </c>
      <c r="L57" s="3562" t="s">
        <v>14</v>
      </c>
      <c r="M57" s="3562" t="s">
        <v>14</v>
      </c>
      <c r="N57" s="3562" t="s">
        <v>14</v>
      </c>
    </row>
    <row r="58" spans="1:14" ht="12" customHeight="1" x14ac:dyDescent="0.25">
      <c r="A58" s="3562" t="s">
        <v>556</v>
      </c>
      <c r="B58" s="3562" t="s">
        <v>14</v>
      </c>
      <c r="C58" s="3562" t="s">
        <v>14</v>
      </c>
      <c r="D58" s="3562" t="s">
        <v>14</v>
      </c>
      <c r="E58" s="3562" t="s">
        <v>14</v>
      </c>
      <c r="F58" s="3562" t="s">
        <v>14</v>
      </c>
      <c r="G58" s="3562" t="s">
        <v>14</v>
      </c>
      <c r="H58" s="3562" t="s">
        <v>14</v>
      </c>
      <c r="I58" s="3562" t="s">
        <v>14</v>
      </c>
      <c r="J58" s="3562" t="s">
        <v>14</v>
      </c>
      <c r="K58" s="3562" t="s">
        <v>14</v>
      </c>
      <c r="L58" s="3562" t="s">
        <v>14</v>
      </c>
      <c r="M58" s="3562" t="s">
        <v>14</v>
      </c>
      <c r="N58" s="3562" t="s">
        <v>14</v>
      </c>
    </row>
  </sheetData>
  <mergeCells count="9">
    <mergeCell ref="A56:L56"/>
    <mergeCell ref="A57:N57"/>
    <mergeCell ref="A58:N58"/>
    <mergeCell ref="A2:N2"/>
    <mergeCell ref="B3:D3"/>
    <mergeCell ref="E3:H3"/>
    <mergeCell ref="I3:J3"/>
    <mergeCell ref="K3:L3"/>
    <mergeCell ref="M3:N3"/>
  </mergeCells>
  <hyperlinks>
    <hyperlink ref="A1" location="ToC!A2" display="Back to Table of Contents" xr:uid="{8596EF20-F82D-4D23-8532-B09396DBF602}"/>
  </hyperlinks>
  <pageMargins left="0.5" right="0.5" top="0.5" bottom="0.5" header="0.25" footer="0.25"/>
  <pageSetup scale="65" orientation="landscape" r:id="rId1"/>
  <headerFooter>
    <oddFooter>&amp;L&amp;G&amp;C&amp;"Scotia,Regular"&amp;9Supplementary Financial Information (SFI)&amp;R12&amp;"Scotia,Regular"&amp;7</oddFooter>
  </headerFooter>
  <ignoredErrors>
    <ignoredError sqref="B3:J5" numberStoredAsText="1"/>
  </ignoredErrors>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9E3B-EA4D-4AEA-AA5F-89E9D2EB796E}">
  <sheetPr>
    <pageSetUpPr fitToPage="1"/>
  </sheetPr>
  <dimension ref="A1:J41"/>
  <sheetViews>
    <sheetView showGridLines="0" zoomScaleNormal="100" workbookViewId="0"/>
  </sheetViews>
  <sheetFormatPr defaultColWidth="8.77734375" defaultRowHeight="13.2" x14ac:dyDescent="0.25"/>
  <cols>
    <col min="1" max="1" width="73.77734375" style="22" customWidth="1"/>
    <col min="2" max="2" width="12" style="22" customWidth="1"/>
    <col min="3" max="10" width="11.77734375" style="22" customWidth="1"/>
    <col min="11" max="16384" width="8.77734375" style="22"/>
  </cols>
  <sheetData>
    <row r="1" spans="1:10" ht="19.95" customHeight="1" x14ac:dyDescent="0.25">
      <c r="A1" s="21" t="s">
        <v>12</v>
      </c>
    </row>
    <row r="2" spans="1:10" ht="24" customHeight="1" x14ac:dyDescent="0.25">
      <c r="A2" s="3554" t="s">
        <v>557</v>
      </c>
      <c r="B2" s="3554" t="s">
        <v>14</v>
      </c>
      <c r="C2" s="3554" t="s">
        <v>14</v>
      </c>
      <c r="D2" s="3554" t="s">
        <v>14</v>
      </c>
      <c r="E2" s="3554" t="s">
        <v>14</v>
      </c>
      <c r="F2" s="3554" t="s">
        <v>14</v>
      </c>
      <c r="G2" s="3554" t="s">
        <v>14</v>
      </c>
      <c r="H2" s="3554" t="s">
        <v>14</v>
      </c>
      <c r="I2" s="3554" t="s">
        <v>14</v>
      </c>
      <c r="J2" s="3554" t="s">
        <v>14</v>
      </c>
    </row>
    <row r="3" spans="1:10" ht="15" customHeight="1" x14ac:dyDescent="0.25">
      <c r="A3" s="1771"/>
      <c r="B3" s="3570" t="s">
        <v>172</v>
      </c>
      <c r="C3" s="3570" t="s">
        <v>14</v>
      </c>
      <c r="D3" s="3571" t="s">
        <v>14</v>
      </c>
      <c r="E3" s="3572">
        <v>2024</v>
      </c>
      <c r="F3" s="3573" t="s">
        <v>14</v>
      </c>
      <c r="G3" s="3573" t="s">
        <v>14</v>
      </c>
      <c r="H3" s="3574" t="s">
        <v>14</v>
      </c>
      <c r="I3" s="3575">
        <v>2023</v>
      </c>
      <c r="J3" s="3573" t="s">
        <v>14</v>
      </c>
    </row>
    <row r="4" spans="1:10" ht="15" customHeight="1" x14ac:dyDescent="0.25">
      <c r="A4" s="1772" t="s">
        <v>558</v>
      </c>
      <c r="B4" s="1773" t="s">
        <v>176</v>
      </c>
      <c r="C4" s="1774" t="s">
        <v>177</v>
      </c>
      <c r="D4" s="1775" t="s">
        <v>178</v>
      </c>
      <c r="E4" s="1776" t="s">
        <v>179</v>
      </c>
      <c r="F4" s="1774" t="s">
        <v>180</v>
      </c>
      <c r="G4" s="1774" t="s">
        <v>177</v>
      </c>
      <c r="H4" s="1777" t="s">
        <v>178</v>
      </c>
      <c r="I4" s="1778" t="s">
        <v>179</v>
      </c>
      <c r="J4" s="1774" t="s">
        <v>180</v>
      </c>
    </row>
    <row r="5" spans="1:10" ht="15" customHeight="1" x14ac:dyDescent="0.25">
      <c r="A5" s="1779" t="s">
        <v>559</v>
      </c>
      <c r="B5" s="1774"/>
      <c r="C5" s="1774"/>
      <c r="D5" s="1775"/>
      <c r="E5" s="1776"/>
      <c r="F5" s="1774"/>
      <c r="G5" s="1774"/>
      <c r="H5" s="1777"/>
      <c r="I5" s="1780"/>
      <c r="J5" s="1773"/>
    </row>
    <row r="6" spans="1:10" ht="15" customHeight="1" x14ac:dyDescent="0.25">
      <c r="A6" s="1781" t="s">
        <v>560</v>
      </c>
      <c r="B6" s="1782">
        <v>69701</v>
      </c>
      <c r="C6" s="1783">
        <v>63577</v>
      </c>
      <c r="D6" s="1784">
        <v>70198</v>
      </c>
      <c r="E6" s="1785">
        <v>63860</v>
      </c>
      <c r="F6" s="1783">
        <v>58329</v>
      </c>
      <c r="G6" s="1786">
        <v>58631</v>
      </c>
      <c r="H6" s="1787">
        <v>67249</v>
      </c>
      <c r="I6" s="1788">
        <v>90312</v>
      </c>
      <c r="J6" s="1783">
        <v>90325</v>
      </c>
    </row>
    <row r="7" spans="1:10" ht="15" customHeight="1" x14ac:dyDescent="0.25">
      <c r="A7" s="1789" t="s">
        <v>561</v>
      </c>
      <c r="B7" s="1790">
        <v>5832</v>
      </c>
      <c r="C7" s="1791">
        <v>5971</v>
      </c>
      <c r="D7" s="1792">
        <v>3687</v>
      </c>
      <c r="E7" s="1793">
        <v>2540</v>
      </c>
      <c r="F7" s="1791">
        <v>2419</v>
      </c>
      <c r="G7" s="1791">
        <v>1253</v>
      </c>
      <c r="H7" s="1794">
        <v>807</v>
      </c>
      <c r="I7" s="1795">
        <v>937</v>
      </c>
      <c r="J7" s="1791">
        <v>1009</v>
      </c>
    </row>
    <row r="8" spans="1:10" ht="15" customHeight="1" x14ac:dyDescent="0.25">
      <c r="A8" s="1789"/>
      <c r="B8" s="1796"/>
      <c r="C8" s="1797"/>
      <c r="D8" s="1798"/>
      <c r="E8" s="1799"/>
      <c r="F8" s="1797"/>
      <c r="G8" s="1797"/>
      <c r="H8" s="1800"/>
      <c r="I8" s="1801"/>
      <c r="J8" s="1797"/>
    </row>
    <row r="9" spans="1:10" ht="15" customHeight="1" x14ac:dyDescent="0.25">
      <c r="A9" s="1789" t="s">
        <v>562</v>
      </c>
      <c r="B9" s="1796"/>
      <c r="C9" s="1797"/>
      <c r="D9" s="1798"/>
      <c r="E9" s="1799"/>
      <c r="F9" s="1797"/>
      <c r="G9" s="1797"/>
      <c r="H9" s="1800"/>
      <c r="I9" s="1801"/>
      <c r="J9" s="1797"/>
    </row>
    <row r="10" spans="1:10" ht="15" customHeight="1" x14ac:dyDescent="0.25">
      <c r="A10" s="1802" t="s">
        <v>430</v>
      </c>
      <c r="B10" s="1790">
        <v>125442</v>
      </c>
      <c r="C10" s="1791">
        <v>118302</v>
      </c>
      <c r="D10" s="1792">
        <v>126019</v>
      </c>
      <c r="E10" s="1793">
        <v>119912</v>
      </c>
      <c r="F10" s="1791">
        <v>124117</v>
      </c>
      <c r="G10" s="1791">
        <v>123091</v>
      </c>
      <c r="H10" s="1794">
        <v>116864</v>
      </c>
      <c r="I10" s="1795">
        <v>107612</v>
      </c>
      <c r="J10" s="1791">
        <v>108310</v>
      </c>
    </row>
    <row r="11" spans="1:10" ht="15" customHeight="1" x14ac:dyDescent="0.25">
      <c r="A11" s="1802" t="s">
        <v>431</v>
      </c>
      <c r="B11" s="1790">
        <v>8097</v>
      </c>
      <c r="C11" s="1791">
        <v>7841</v>
      </c>
      <c r="D11" s="1792">
        <v>8048</v>
      </c>
      <c r="E11" s="1793">
        <v>7649</v>
      </c>
      <c r="F11" s="1791">
        <v>7642</v>
      </c>
      <c r="G11" s="1791">
        <v>7141</v>
      </c>
      <c r="H11" s="1794">
        <v>7640</v>
      </c>
      <c r="I11" s="1795">
        <v>7544</v>
      </c>
      <c r="J11" s="1791">
        <v>8420</v>
      </c>
    </row>
    <row r="12" spans="1:10" ht="15" customHeight="1" x14ac:dyDescent="0.25">
      <c r="A12" s="1802" t="s">
        <v>483</v>
      </c>
      <c r="B12" s="1790">
        <v>2946</v>
      </c>
      <c r="C12" s="1791">
        <v>2844</v>
      </c>
      <c r="D12" s="1792">
        <v>2641</v>
      </c>
      <c r="E12" s="1793">
        <v>2166</v>
      </c>
      <c r="F12" s="1791">
        <v>2240</v>
      </c>
      <c r="G12" s="1791">
        <v>2048</v>
      </c>
      <c r="H12" s="1794">
        <v>1883</v>
      </c>
      <c r="I12" s="1795">
        <v>2712</v>
      </c>
      <c r="J12" s="1791">
        <v>2571</v>
      </c>
    </row>
    <row r="13" spans="1:10" ht="15" customHeight="1" x14ac:dyDescent="0.25">
      <c r="A13" s="1802" t="s">
        <v>563</v>
      </c>
      <c r="B13" s="1790">
        <v>136485</v>
      </c>
      <c r="C13" s="1791">
        <v>128987</v>
      </c>
      <c r="D13" s="1792">
        <v>136708</v>
      </c>
      <c r="E13" s="1793">
        <v>129727</v>
      </c>
      <c r="F13" s="1791">
        <v>133999</v>
      </c>
      <c r="G13" s="1791">
        <v>132280</v>
      </c>
      <c r="H13" s="1794">
        <v>126387</v>
      </c>
      <c r="I13" s="1795">
        <v>117868</v>
      </c>
      <c r="J13" s="1791">
        <v>119301</v>
      </c>
    </row>
    <row r="14" spans="1:10" ht="15" customHeight="1" x14ac:dyDescent="0.25">
      <c r="A14" s="1803"/>
      <c r="B14" s="1796"/>
      <c r="C14" s="1797"/>
      <c r="D14" s="1798"/>
      <c r="E14" s="1799"/>
      <c r="F14" s="1797"/>
      <c r="G14" s="1797"/>
      <c r="H14" s="1800"/>
      <c r="I14" s="1801"/>
      <c r="J14" s="1797"/>
    </row>
    <row r="15" spans="1:10" ht="15" customHeight="1" x14ac:dyDescent="0.25">
      <c r="A15" s="1789" t="s">
        <v>564</v>
      </c>
      <c r="B15" s="1790">
        <v>185360</v>
      </c>
      <c r="C15" s="1791">
        <v>192632</v>
      </c>
      <c r="D15" s="1792">
        <v>195258</v>
      </c>
      <c r="E15" s="1793">
        <v>200543</v>
      </c>
      <c r="F15" s="1791">
        <v>193796</v>
      </c>
      <c r="G15" s="1791">
        <v>192858</v>
      </c>
      <c r="H15" s="1794">
        <v>199061</v>
      </c>
      <c r="I15" s="1795">
        <v>199325</v>
      </c>
      <c r="J15" s="1791">
        <v>198358</v>
      </c>
    </row>
    <row r="16" spans="1:10" ht="15" customHeight="1" x14ac:dyDescent="0.25">
      <c r="A16" s="1789" t="s">
        <v>565</v>
      </c>
      <c r="B16" s="1790">
        <v>43801</v>
      </c>
      <c r="C16" s="1791">
        <v>47937</v>
      </c>
      <c r="D16" s="1792">
        <v>48035</v>
      </c>
      <c r="E16" s="1793">
        <v>44379</v>
      </c>
      <c r="F16" s="1791">
        <v>39987</v>
      </c>
      <c r="G16" s="1791">
        <v>44856</v>
      </c>
      <c r="H16" s="1794">
        <v>39611</v>
      </c>
      <c r="I16" s="1795">
        <v>51340</v>
      </c>
      <c r="J16" s="1791">
        <v>44655</v>
      </c>
    </row>
    <row r="17" spans="1:10" ht="15" customHeight="1" x14ac:dyDescent="0.25">
      <c r="A17" s="1789" t="s">
        <v>566</v>
      </c>
      <c r="B17" s="1790">
        <v>149151</v>
      </c>
      <c r="C17" s="1791">
        <v>154291</v>
      </c>
      <c r="D17" s="1792">
        <v>153019</v>
      </c>
      <c r="E17" s="1793">
        <v>152832</v>
      </c>
      <c r="F17" s="1791">
        <v>151776</v>
      </c>
      <c r="G17" s="1791">
        <v>144784</v>
      </c>
      <c r="H17" s="1794">
        <v>140259</v>
      </c>
      <c r="I17" s="1795">
        <v>118237</v>
      </c>
      <c r="J17" s="1791">
        <v>110195</v>
      </c>
    </row>
    <row r="18" spans="1:10" ht="15" customHeight="1" x14ac:dyDescent="0.25">
      <c r="A18" s="1802"/>
      <c r="B18" s="1796"/>
      <c r="C18" s="1797"/>
      <c r="D18" s="1798"/>
      <c r="E18" s="1799"/>
      <c r="F18" s="1797"/>
      <c r="G18" s="1797"/>
      <c r="H18" s="1800"/>
      <c r="I18" s="1801"/>
      <c r="J18" s="1797"/>
    </row>
    <row r="19" spans="1:10" ht="15" customHeight="1" x14ac:dyDescent="0.25">
      <c r="A19" s="1789" t="s">
        <v>567</v>
      </c>
      <c r="B19" s="1796"/>
      <c r="C19" s="1804"/>
      <c r="D19" s="1798"/>
      <c r="E19" s="1799"/>
      <c r="F19" s="1797"/>
      <c r="G19" s="1797"/>
      <c r="H19" s="1800"/>
      <c r="I19" s="1801"/>
      <c r="J19" s="1797"/>
    </row>
    <row r="20" spans="1:10" ht="15" customHeight="1" x14ac:dyDescent="0.25">
      <c r="A20" s="1802" t="s">
        <v>321</v>
      </c>
      <c r="B20" s="1790">
        <v>360937</v>
      </c>
      <c r="C20" s="1797">
        <v>359792</v>
      </c>
      <c r="D20" s="1792">
        <v>358791</v>
      </c>
      <c r="E20" s="1793">
        <v>350941</v>
      </c>
      <c r="F20" s="1791">
        <v>348631</v>
      </c>
      <c r="G20" s="1791">
        <v>344168</v>
      </c>
      <c r="H20" s="1794">
        <v>341042</v>
      </c>
      <c r="I20" s="1795">
        <v>344182</v>
      </c>
      <c r="J20" s="1791">
        <v>347707</v>
      </c>
    </row>
    <row r="21" spans="1:10" ht="15" customHeight="1" x14ac:dyDescent="0.25">
      <c r="A21" s="1802" t="s">
        <v>353</v>
      </c>
      <c r="B21" s="1790">
        <v>107890</v>
      </c>
      <c r="C21" s="1791">
        <v>105953</v>
      </c>
      <c r="D21" s="1792">
        <v>106635</v>
      </c>
      <c r="E21" s="1793">
        <v>106379</v>
      </c>
      <c r="F21" s="1791">
        <v>106543</v>
      </c>
      <c r="G21" s="1791">
        <v>105528</v>
      </c>
      <c r="H21" s="1794">
        <v>104124</v>
      </c>
      <c r="I21" s="1795">
        <v>104170</v>
      </c>
      <c r="J21" s="1791">
        <v>103733</v>
      </c>
    </row>
    <row r="22" spans="1:10" ht="15" customHeight="1" x14ac:dyDescent="0.25">
      <c r="A22" s="1802" t="s">
        <v>354</v>
      </c>
      <c r="B22" s="1790">
        <v>17472</v>
      </c>
      <c r="C22" s="1791">
        <v>17224</v>
      </c>
      <c r="D22" s="1792">
        <v>17548</v>
      </c>
      <c r="E22" s="1793">
        <v>17374</v>
      </c>
      <c r="F22" s="1791">
        <v>17646</v>
      </c>
      <c r="G22" s="1791">
        <v>17579</v>
      </c>
      <c r="H22" s="1794">
        <v>17166</v>
      </c>
      <c r="I22" s="1795">
        <v>17109</v>
      </c>
      <c r="J22" s="1791">
        <v>16607</v>
      </c>
    </row>
    <row r="23" spans="1:10" ht="15" customHeight="1" x14ac:dyDescent="0.25">
      <c r="A23" s="1802" t="s">
        <v>568</v>
      </c>
      <c r="B23" s="1790">
        <v>282458</v>
      </c>
      <c r="C23" s="1791">
        <v>280487</v>
      </c>
      <c r="D23" s="1792">
        <v>290188</v>
      </c>
      <c r="E23" s="1793">
        <v>292671</v>
      </c>
      <c r="F23" s="1791">
        <v>292973</v>
      </c>
      <c r="G23" s="1791">
        <v>292758</v>
      </c>
      <c r="H23" s="1794">
        <v>287888</v>
      </c>
      <c r="I23" s="1795">
        <v>291822</v>
      </c>
      <c r="J23" s="1791">
        <v>290051</v>
      </c>
    </row>
    <row r="24" spans="1:10" ht="15" customHeight="1" x14ac:dyDescent="0.25">
      <c r="A24" s="1802" t="s">
        <v>569</v>
      </c>
      <c r="B24" s="1790">
        <v>768757</v>
      </c>
      <c r="C24" s="1791">
        <v>763456</v>
      </c>
      <c r="D24" s="1792">
        <v>773162</v>
      </c>
      <c r="E24" s="1793">
        <v>767365</v>
      </c>
      <c r="F24" s="1791">
        <v>765793</v>
      </c>
      <c r="G24" s="1791">
        <v>760033</v>
      </c>
      <c r="H24" s="1794">
        <v>750220</v>
      </c>
      <c r="I24" s="1795">
        <v>757283</v>
      </c>
      <c r="J24" s="1791">
        <v>758098</v>
      </c>
    </row>
    <row r="25" spans="1:10" ht="15" customHeight="1" x14ac:dyDescent="0.25">
      <c r="A25" s="1802" t="s">
        <v>570</v>
      </c>
      <c r="B25" s="1790">
        <v>7197</v>
      </c>
      <c r="C25" s="1791">
        <v>7084</v>
      </c>
      <c r="D25" s="1792">
        <v>6857</v>
      </c>
      <c r="E25" s="1793">
        <v>6536</v>
      </c>
      <c r="F25" s="1791">
        <v>6582</v>
      </c>
      <c r="G25" s="1791">
        <v>6507</v>
      </c>
      <c r="H25" s="1794">
        <v>6328</v>
      </c>
      <c r="I25" s="1795">
        <v>6372</v>
      </c>
      <c r="J25" s="1791">
        <v>5893</v>
      </c>
    </row>
    <row r="26" spans="1:10" ht="15" customHeight="1" x14ac:dyDescent="0.25">
      <c r="A26" s="1802" t="s">
        <v>571</v>
      </c>
      <c r="B26" s="1790">
        <v>761560</v>
      </c>
      <c r="C26" s="1791">
        <v>756372</v>
      </c>
      <c r="D26" s="1792">
        <v>766305</v>
      </c>
      <c r="E26" s="1793">
        <v>760829</v>
      </c>
      <c r="F26" s="1791">
        <v>759211</v>
      </c>
      <c r="G26" s="1791">
        <v>753526</v>
      </c>
      <c r="H26" s="1794">
        <v>743892</v>
      </c>
      <c r="I26" s="1795">
        <v>750911</v>
      </c>
      <c r="J26" s="1791">
        <v>752205</v>
      </c>
    </row>
    <row r="27" spans="1:10" ht="15" customHeight="1" x14ac:dyDescent="0.25">
      <c r="A27" s="1803"/>
      <c r="B27" s="1796"/>
      <c r="C27" s="1797"/>
      <c r="D27" s="1798"/>
      <c r="E27" s="1799"/>
      <c r="F27" s="1797"/>
      <c r="G27" s="1797"/>
      <c r="H27" s="1800"/>
      <c r="I27" s="1801"/>
      <c r="J27" s="1797"/>
    </row>
    <row r="28" spans="1:10" ht="15" customHeight="1" x14ac:dyDescent="0.25">
      <c r="A28" s="1789" t="s">
        <v>572</v>
      </c>
      <c r="B28" s="1796"/>
      <c r="C28" s="1797"/>
      <c r="D28" s="1798"/>
      <c r="E28" s="1799"/>
      <c r="F28" s="1797"/>
      <c r="G28" s="1797"/>
      <c r="H28" s="1800"/>
      <c r="I28" s="1801"/>
      <c r="J28" s="1797"/>
    </row>
    <row r="29" spans="1:10" ht="15" customHeight="1" x14ac:dyDescent="0.25">
      <c r="A29" s="1802" t="s">
        <v>573</v>
      </c>
      <c r="B29" s="1790">
        <v>133</v>
      </c>
      <c r="C29" s="1791">
        <v>189</v>
      </c>
      <c r="D29" s="1792">
        <v>207</v>
      </c>
      <c r="E29" s="1793">
        <v>148</v>
      </c>
      <c r="F29" s="1791">
        <v>3282</v>
      </c>
      <c r="G29" s="1791">
        <v>9117</v>
      </c>
      <c r="H29" s="1794">
        <v>15998</v>
      </c>
      <c r="I29" s="1795">
        <v>18628</v>
      </c>
      <c r="J29" s="1791">
        <v>20425</v>
      </c>
    </row>
    <row r="30" spans="1:10" ht="15" customHeight="1" x14ac:dyDescent="0.25">
      <c r="A30" s="1802" t="s">
        <v>574</v>
      </c>
      <c r="B30" s="1790">
        <v>2533</v>
      </c>
      <c r="C30" s="1791">
        <v>2418</v>
      </c>
      <c r="D30" s="1792">
        <v>2469</v>
      </c>
      <c r="E30" s="1793">
        <v>2374</v>
      </c>
      <c r="F30" s="1791">
        <v>2350</v>
      </c>
      <c r="G30" s="1791">
        <v>2326</v>
      </c>
      <c r="H30" s="1794">
        <v>2234</v>
      </c>
      <c r="I30" s="1795">
        <v>2743</v>
      </c>
      <c r="J30" s="1791">
        <v>2437</v>
      </c>
    </row>
    <row r="31" spans="1:10" ht="15" customHeight="1" x14ac:dyDescent="0.25">
      <c r="A31" s="1802" t="s">
        <v>575</v>
      </c>
      <c r="B31" s="1790">
        <v>38</v>
      </c>
      <c r="C31" s="1791">
        <v>36</v>
      </c>
      <c r="D31" s="1792">
        <v>36</v>
      </c>
      <c r="E31" s="1793">
        <v>36</v>
      </c>
      <c r="F31" s="1791">
        <v>36</v>
      </c>
      <c r="G31" s="1791">
        <v>36</v>
      </c>
      <c r="H31" s="1794">
        <v>36</v>
      </c>
      <c r="I31" s="1795">
        <v>38</v>
      </c>
      <c r="J31" s="1791">
        <v>38</v>
      </c>
    </row>
    <row r="32" spans="1:10" ht="15" customHeight="1" x14ac:dyDescent="0.25">
      <c r="A32" s="1802" t="s">
        <v>576</v>
      </c>
      <c r="B32" s="1790">
        <v>4755</v>
      </c>
      <c r="C32" s="1791">
        <v>4773</v>
      </c>
      <c r="D32" s="1792">
        <v>4866</v>
      </c>
      <c r="E32" s="1793">
        <v>5216</v>
      </c>
      <c r="F32" s="1791">
        <v>5348</v>
      </c>
      <c r="G32" s="1791">
        <v>5457</v>
      </c>
      <c r="H32" s="1794">
        <v>5483</v>
      </c>
      <c r="I32" s="1795">
        <v>5604</v>
      </c>
      <c r="J32" s="1791">
        <v>5647</v>
      </c>
    </row>
    <row r="33" spans="1:10" ht="15" customHeight="1" x14ac:dyDescent="0.25">
      <c r="A33" s="1802" t="s">
        <v>577</v>
      </c>
      <c r="B33" s="1790">
        <v>6029</v>
      </c>
      <c r="C33" s="1791">
        <v>5868</v>
      </c>
      <c r="D33" s="1792">
        <v>5940</v>
      </c>
      <c r="E33" s="1793">
        <v>1821</v>
      </c>
      <c r="F33" s="1791">
        <v>2107</v>
      </c>
      <c r="G33" s="1791">
        <v>2067</v>
      </c>
      <c r="H33" s="1794">
        <v>1957</v>
      </c>
      <c r="I33" s="1795">
        <v>1925</v>
      </c>
      <c r="J33" s="1791">
        <v>2607</v>
      </c>
    </row>
    <row r="34" spans="1:10" ht="15" customHeight="1" x14ac:dyDescent="0.25">
      <c r="A34" s="1802" t="s">
        <v>578</v>
      </c>
      <c r="B34" s="1790">
        <v>16067</v>
      </c>
      <c r="C34" s="1791">
        <v>16089</v>
      </c>
      <c r="D34" s="1792">
        <v>16218</v>
      </c>
      <c r="E34" s="1793">
        <v>16853</v>
      </c>
      <c r="F34" s="1791">
        <v>16969</v>
      </c>
      <c r="G34" s="1791">
        <v>17054</v>
      </c>
      <c r="H34" s="1794">
        <v>16981</v>
      </c>
      <c r="I34" s="1795">
        <v>17193</v>
      </c>
      <c r="J34" s="1791">
        <v>17262</v>
      </c>
    </row>
    <row r="35" spans="1:10" ht="15" customHeight="1" x14ac:dyDescent="0.25">
      <c r="A35" s="1802" t="s">
        <v>579</v>
      </c>
      <c r="B35" s="1790">
        <v>3045</v>
      </c>
      <c r="C35" s="1791">
        <v>2950</v>
      </c>
      <c r="D35" s="1792">
        <v>2892</v>
      </c>
      <c r="E35" s="1793">
        <v>2942</v>
      </c>
      <c r="F35" s="1791">
        <v>3177</v>
      </c>
      <c r="G35" s="1791">
        <v>3455</v>
      </c>
      <c r="H35" s="1794">
        <v>3186</v>
      </c>
      <c r="I35" s="1795">
        <v>3541</v>
      </c>
      <c r="J35" s="1791">
        <v>3169</v>
      </c>
    </row>
    <row r="36" spans="1:10" ht="15" customHeight="1" x14ac:dyDescent="0.25">
      <c r="A36" s="1802" t="s">
        <v>326</v>
      </c>
      <c r="B36" s="1790">
        <v>30196</v>
      </c>
      <c r="C36" s="1791">
        <v>33375</v>
      </c>
      <c r="D36" s="1792">
        <v>33313</v>
      </c>
      <c r="E36" s="1793">
        <v>27927</v>
      </c>
      <c r="F36" s="1791">
        <v>29580</v>
      </c>
      <c r="G36" s="1791">
        <v>31730</v>
      </c>
      <c r="H36" s="1794">
        <v>29745</v>
      </c>
      <c r="I36" s="1795">
        <v>32441</v>
      </c>
      <c r="J36" s="1791">
        <v>28733</v>
      </c>
    </row>
    <row r="37" spans="1:10" ht="15" customHeight="1" x14ac:dyDescent="0.25">
      <c r="A37" s="1802" t="s">
        <v>580</v>
      </c>
      <c r="B37" s="1790">
        <v>62796</v>
      </c>
      <c r="C37" s="1791">
        <v>65698</v>
      </c>
      <c r="D37" s="1792">
        <v>65941</v>
      </c>
      <c r="E37" s="1793">
        <v>57317</v>
      </c>
      <c r="F37" s="1791">
        <v>62849</v>
      </c>
      <c r="G37" s="1791">
        <v>71242</v>
      </c>
      <c r="H37" s="1794">
        <v>75620</v>
      </c>
      <c r="I37" s="1795">
        <v>82113</v>
      </c>
      <c r="J37" s="1791">
        <v>80318</v>
      </c>
    </row>
    <row r="38" spans="1:10" ht="15" customHeight="1" x14ac:dyDescent="0.25">
      <c r="A38" s="1805"/>
      <c r="B38" s="1790"/>
      <c r="C38" s="1791"/>
      <c r="D38" s="1792"/>
      <c r="E38" s="1793"/>
      <c r="F38" s="1791"/>
      <c r="G38" s="1791"/>
      <c r="H38" s="1794"/>
      <c r="I38" s="1795"/>
      <c r="J38" s="1791"/>
    </row>
    <row r="39" spans="1:10" ht="15" customHeight="1" x14ac:dyDescent="0.25">
      <c r="A39" s="1806" t="s">
        <v>581</v>
      </c>
      <c r="B39" s="1807">
        <v>1414686</v>
      </c>
      <c r="C39" s="1808">
        <v>1415465</v>
      </c>
      <c r="D39" s="1809">
        <v>1439151</v>
      </c>
      <c r="E39" s="1810">
        <v>1412027</v>
      </c>
      <c r="F39" s="1808">
        <v>1402366</v>
      </c>
      <c r="G39" s="1808">
        <v>1399430</v>
      </c>
      <c r="H39" s="1811">
        <v>1392886</v>
      </c>
      <c r="I39" s="1812">
        <v>1411043</v>
      </c>
      <c r="J39" s="1808">
        <v>1396366</v>
      </c>
    </row>
    <row r="40" spans="1:10" ht="15" customHeight="1" x14ac:dyDescent="0.25">
      <c r="A40" s="1813"/>
      <c r="B40" s="1814"/>
      <c r="C40" s="1814"/>
      <c r="D40" s="1815"/>
      <c r="E40" s="1814"/>
      <c r="F40" s="1814"/>
      <c r="G40" s="1814"/>
      <c r="H40" s="1814"/>
      <c r="I40" s="1814"/>
      <c r="J40" s="1814"/>
    </row>
    <row r="41" spans="1:10" ht="15" customHeight="1" x14ac:dyDescent="0.25">
      <c r="A41" s="3576"/>
      <c r="B41" s="3576" t="s">
        <v>14</v>
      </c>
      <c r="C41" s="3576" t="s">
        <v>14</v>
      </c>
      <c r="D41" s="3576" t="s">
        <v>14</v>
      </c>
      <c r="E41" s="3576" t="s">
        <v>14</v>
      </c>
      <c r="F41" s="3576" t="s">
        <v>14</v>
      </c>
      <c r="G41" s="3576" t="s">
        <v>14</v>
      </c>
      <c r="H41" s="3576" t="s">
        <v>14</v>
      </c>
      <c r="I41" s="3576" t="s">
        <v>14</v>
      </c>
      <c r="J41" s="3576" t="s">
        <v>14</v>
      </c>
    </row>
  </sheetData>
  <mergeCells count="5">
    <mergeCell ref="A2:J2"/>
    <mergeCell ref="B3:D3"/>
    <mergeCell ref="E3:H3"/>
    <mergeCell ref="I3:J3"/>
    <mergeCell ref="A41:J41"/>
  </mergeCells>
  <hyperlinks>
    <hyperlink ref="A1" location="ToC!A2" display="Back to Table of Contents" xr:uid="{407BEA2E-87A6-47E4-BB43-978C58155583}"/>
  </hyperlinks>
  <pageMargins left="0.5" right="0.5" top="0.5" bottom="0.5" header="0.25" footer="0.25"/>
  <pageSetup scale="71" orientation="landscape" r:id="rId1"/>
  <headerFooter>
    <oddFooter>&amp;L&amp;G&amp;C&amp;"Scotia,Regular"&amp;9Supplementary Financial Information (SFI)&amp;R13&amp;"Scotia,Regular"&amp;7</oddFooter>
  </headerFooter>
  <ignoredErrors>
    <ignoredError sqref="B3" numberStoredAsText="1"/>
  </ignoredError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861DF-4C10-4734-83F3-8F07E1312260}">
  <sheetPr>
    <pageSetUpPr fitToPage="1"/>
  </sheetPr>
  <dimension ref="A1:J43"/>
  <sheetViews>
    <sheetView showGridLines="0" zoomScaleNormal="100" workbookViewId="0"/>
  </sheetViews>
  <sheetFormatPr defaultColWidth="8.77734375" defaultRowHeight="13.2" x14ac:dyDescent="0.25"/>
  <cols>
    <col min="1" max="1" width="84.21875" style="22" customWidth="1"/>
    <col min="2" max="2" width="12" style="22" customWidth="1"/>
    <col min="3" max="10" width="11.77734375" style="22" customWidth="1"/>
    <col min="11" max="16384" width="8.77734375" style="22"/>
  </cols>
  <sheetData>
    <row r="1" spans="1:10" ht="19.95" customHeight="1" x14ac:dyDescent="0.25">
      <c r="A1" s="21" t="s">
        <v>12</v>
      </c>
    </row>
    <row r="2" spans="1:10" ht="24" customHeight="1" x14ac:dyDescent="0.25">
      <c r="A2" s="3554" t="s">
        <v>582</v>
      </c>
      <c r="B2" s="3554" t="s">
        <v>14</v>
      </c>
      <c r="C2" s="3554" t="s">
        <v>14</v>
      </c>
      <c r="D2" s="3554" t="s">
        <v>14</v>
      </c>
      <c r="E2" s="3554" t="s">
        <v>14</v>
      </c>
      <c r="F2" s="3554" t="s">
        <v>14</v>
      </c>
      <c r="G2" s="3554" t="s">
        <v>14</v>
      </c>
      <c r="H2" s="3554" t="s">
        <v>14</v>
      </c>
      <c r="I2" s="3554" t="s">
        <v>14</v>
      </c>
      <c r="J2" s="3554" t="s">
        <v>14</v>
      </c>
    </row>
    <row r="3" spans="1:10" ht="15" customHeight="1" x14ac:dyDescent="0.25">
      <c r="A3" s="1771"/>
      <c r="B3" s="3570" t="s">
        <v>172</v>
      </c>
      <c r="C3" s="3570" t="s">
        <v>14</v>
      </c>
      <c r="D3" s="3577" t="s">
        <v>14</v>
      </c>
      <c r="E3" s="3578">
        <v>2024</v>
      </c>
      <c r="F3" s="3573" t="s">
        <v>14</v>
      </c>
      <c r="G3" s="3573" t="s">
        <v>14</v>
      </c>
      <c r="H3" s="3579" t="s">
        <v>14</v>
      </c>
      <c r="I3" s="3580">
        <v>2023</v>
      </c>
      <c r="J3" s="3573" t="s">
        <v>14</v>
      </c>
    </row>
    <row r="4" spans="1:10" ht="15" customHeight="1" x14ac:dyDescent="0.25">
      <c r="A4" s="1772" t="s">
        <v>558</v>
      </c>
      <c r="B4" s="1773" t="s">
        <v>176</v>
      </c>
      <c r="C4" s="1774" t="s">
        <v>177</v>
      </c>
      <c r="D4" s="1816" t="s">
        <v>178</v>
      </c>
      <c r="E4" s="1817" t="s">
        <v>179</v>
      </c>
      <c r="F4" s="1774" t="s">
        <v>180</v>
      </c>
      <c r="G4" s="1774" t="s">
        <v>177</v>
      </c>
      <c r="H4" s="1818" t="s">
        <v>178</v>
      </c>
      <c r="I4" s="1778" t="s">
        <v>179</v>
      </c>
      <c r="J4" s="1774" t="s">
        <v>180</v>
      </c>
    </row>
    <row r="5" spans="1:10" ht="15" customHeight="1" x14ac:dyDescent="0.25">
      <c r="A5" s="1779" t="s">
        <v>583</v>
      </c>
      <c r="B5" s="1773"/>
      <c r="C5" s="1774"/>
      <c r="D5" s="1816"/>
      <c r="E5" s="1817"/>
      <c r="F5" s="1774"/>
      <c r="G5" s="1774"/>
      <c r="H5" s="1818"/>
      <c r="I5" s="1778"/>
      <c r="J5" s="1774"/>
    </row>
    <row r="6" spans="1:10" ht="15" customHeight="1" x14ac:dyDescent="0.25">
      <c r="A6" s="1819" t="s">
        <v>200</v>
      </c>
      <c r="B6" s="1820"/>
      <c r="C6" s="1821"/>
      <c r="D6" s="1822"/>
      <c r="E6" s="1823"/>
      <c r="F6" s="1821"/>
      <c r="G6" s="1821"/>
      <c r="H6" s="1824"/>
      <c r="I6" s="1825"/>
      <c r="J6" s="1821"/>
    </row>
    <row r="7" spans="1:10" ht="15" customHeight="1" x14ac:dyDescent="0.25">
      <c r="A7" s="1802" t="s">
        <v>505</v>
      </c>
      <c r="B7" s="1790">
        <v>301464</v>
      </c>
      <c r="C7" s="1791">
        <v>301069</v>
      </c>
      <c r="D7" s="1826">
        <v>303798</v>
      </c>
      <c r="E7" s="1827">
        <v>298821</v>
      </c>
      <c r="F7" s="1791">
        <v>296750</v>
      </c>
      <c r="G7" s="1791">
        <v>292117</v>
      </c>
      <c r="H7" s="1828">
        <v>292576</v>
      </c>
      <c r="I7" s="1795">
        <v>288617</v>
      </c>
      <c r="J7" s="1791">
        <v>284738</v>
      </c>
    </row>
    <row r="8" spans="1:10" ht="15" customHeight="1" x14ac:dyDescent="0.25">
      <c r="A8" s="1802" t="s">
        <v>568</v>
      </c>
      <c r="B8" s="1790">
        <v>605934</v>
      </c>
      <c r="C8" s="1791">
        <v>604307</v>
      </c>
      <c r="D8" s="1826">
        <v>617874</v>
      </c>
      <c r="E8" s="1827">
        <v>600114</v>
      </c>
      <c r="F8" s="1791">
        <v>606964</v>
      </c>
      <c r="G8" s="1791">
        <v>605457</v>
      </c>
      <c r="H8" s="1828">
        <v>597114</v>
      </c>
      <c r="I8" s="1795">
        <v>612267</v>
      </c>
      <c r="J8" s="1791">
        <v>615431</v>
      </c>
    </row>
    <row r="9" spans="1:10" ht="15" customHeight="1" x14ac:dyDescent="0.25">
      <c r="A9" s="1802" t="s">
        <v>584</v>
      </c>
      <c r="B9" s="1790">
        <v>39444</v>
      </c>
      <c r="C9" s="1791">
        <v>40467</v>
      </c>
      <c r="D9" s="1826">
        <v>44377</v>
      </c>
      <c r="E9" s="1827">
        <v>44914</v>
      </c>
      <c r="F9" s="1791">
        <v>45487</v>
      </c>
      <c r="G9" s="1791">
        <v>44454</v>
      </c>
      <c r="H9" s="1828">
        <v>50083</v>
      </c>
      <c r="I9" s="1795">
        <v>51449</v>
      </c>
      <c r="J9" s="1791">
        <v>57056</v>
      </c>
    </row>
    <row r="10" spans="1:10" ht="15" customHeight="1" x14ac:dyDescent="0.25">
      <c r="A10" s="1803" t="s">
        <v>585</v>
      </c>
      <c r="B10" s="1790">
        <v>946842</v>
      </c>
      <c r="C10" s="1791">
        <v>945843</v>
      </c>
      <c r="D10" s="1826">
        <v>966049</v>
      </c>
      <c r="E10" s="1827">
        <v>943849</v>
      </c>
      <c r="F10" s="1791">
        <v>949201</v>
      </c>
      <c r="G10" s="1791">
        <v>942028</v>
      </c>
      <c r="H10" s="1828">
        <v>939773</v>
      </c>
      <c r="I10" s="1795">
        <v>952333</v>
      </c>
      <c r="J10" s="1791">
        <v>957225</v>
      </c>
    </row>
    <row r="11" spans="1:10" ht="15" customHeight="1" x14ac:dyDescent="0.25">
      <c r="A11" s="1803"/>
      <c r="B11" s="1796"/>
      <c r="C11" s="1797"/>
      <c r="D11" s="1829"/>
      <c r="E11" s="1830"/>
      <c r="F11" s="1797"/>
      <c r="G11" s="1797"/>
      <c r="H11" s="1831"/>
      <c r="I11" s="1801"/>
      <c r="J11" s="1797"/>
    </row>
    <row r="12" spans="1:10" ht="15" customHeight="1" x14ac:dyDescent="0.25">
      <c r="A12" s="1803" t="s">
        <v>586</v>
      </c>
      <c r="B12" s="1790">
        <v>43536</v>
      </c>
      <c r="C12" s="1791">
        <v>39127</v>
      </c>
      <c r="D12" s="1826">
        <v>39594</v>
      </c>
      <c r="E12" s="1827">
        <v>36341</v>
      </c>
      <c r="F12" s="1791">
        <v>37754</v>
      </c>
      <c r="G12" s="1791">
        <v>32987</v>
      </c>
      <c r="H12" s="1828">
        <v>32074</v>
      </c>
      <c r="I12" s="1795">
        <v>26779</v>
      </c>
      <c r="J12" s="1791">
        <v>28893</v>
      </c>
    </row>
    <row r="13" spans="1:10" ht="15" customHeight="1" x14ac:dyDescent="0.3">
      <c r="A13" s="1803"/>
      <c r="B13" s="1796"/>
      <c r="C13" s="1832"/>
      <c r="D13" s="1833"/>
      <c r="E13" s="1830"/>
      <c r="F13" s="1832"/>
      <c r="G13" s="1832"/>
      <c r="H13" s="1834"/>
      <c r="I13" s="1801"/>
      <c r="J13" s="1797"/>
    </row>
    <row r="14" spans="1:10" ht="15" customHeight="1" x14ac:dyDescent="0.3">
      <c r="A14" s="1803" t="s">
        <v>483</v>
      </c>
      <c r="B14" s="1796"/>
      <c r="C14" s="1832"/>
      <c r="D14" s="1833"/>
      <c r="E14" s="1830"/>
      <c r="F14" s="1832"/>
      <c r="G14" s="1832"/>
      <c r="H14" s="1834"/>
      <c r="I14" s="1801"/>
      <c r="J14" s="1797"/>
    </row>
    <row r="15" spans="1:10" ht="15" customHeight="1" x14ac:dyDescent="0.25">
      <c r="A15" s="1802" t="s">
        <v>587</v>
      </c>
      <c r="B15" s="1790">
        <v>134</v>
      </c>
      <c r="C15" s="1791">
        <v>190</v>
      </c>
      <c r="D15" s="1826">
        <v>210</v>
      </c>
      <c r="E15" s="1827">
        <v>149</v>
      </c>
      <c r="F15" s="1791">
        <v>3330</v>
      </c>
      <c r="G15" s="1791">
        <v>9205</v>
      </c>
      <c r="H15" s="1828">
        <v>16094</v>
      </c>
      <c r="I15" s="1795">
        <v>18718</v>
      </c>
      <c r="J15" s="1791">
        <v>20478</v>
      </c>
    </row>
    <row r="16" spans="1:10" ht="15" customHeight="1" x14ac:dyDescent="0.25">
      <c r="A16" s="1802" t="s">
        <v>588</v>
      </c>
      <c r="B16" s="1790">
        <v>34675</v>
      </c>
      <c r="C16" s="1791">
        <v>36543</v>
      </c>
      <c r="D16" s="1826">
        <v>34855</v>
      </c>
      <c r="E16" s="1827">
        <v>35042</v>
      </c>
      <c r="F16" s="1791">
        <v>32672</v>
      </c>
      <c r="G16" s="1791">
        <v>37780</v>
      </c>
      <c r="H16" s="1828">
        <v>43621</v>
      </c>
      <c r="I16" s="1795">
        <v>36403</v>
      </c>
      <c r="J16" s="1791">
        <v>37522</v>
      </c>
    </row>
    <row r="17" spans="1:10" ht="15" customHeight="1" x14ac:dyDescent="0.25">
      <c r="A17" s="1802" t="s">
        <v>589</v>
      </c>
      <c r="B17" s="1790">
        <v>52916</v>
      </c>
      <c r="C17" s="1791">
        <v>61933</v>
      </c>
      <c r="D17" s="1826">
        <v>59847</v>
      </c>
      <c r="E17" s="1827">
        <v>51260</v>
      </c>
      <c r="F17" s="1791">
        <v>47364</v>
      </c>
      <c r="G17" s="1791">
        <v>52861</v>
      </c>
      <c r="H17" s="1828">
        <v>47134</v>
      </c>
      <c r="I17" s="1795">
        <v>58660</v>
      </c>
      <c r="J17" s="1791">
        <v>50848</v>
      </c>
    </row>
    <row r="18" spans="1:10" ht="15" customHeight="1" x14ac:dyDescent="0.25">
      <c r="A18" s="1802" t="s">
        <v>590</v>
      </c>
      <c r="B18" s="1790">
        <v>182223</v>
      </c>
      <c r="C18" s="1791">
        <v>177987</v>
      </c>
      <c r="D18" s="1826">
        <v>182259</v>
      </c>
      <c r="E18" s="1827">
        <v>190449</v>
      </c>
      <c r="F18" s="1791">
        <v>178595</v>
      </c>
      <c r="G18" s="1791">
        <v>173602</v>
      </c>
      <c r="H18" s="1828">
        <v>162115</v>
      </c>
      <c r="I18" s="1795">
        <v>160007</v>
      </c>
      <c r="J18" s="1791">
        <v>147432</v>
      </c>
    </row>
    <row r="19" spans="1:10" ht="15" customHeight="1" x14ac:dyDescent="0.25">
      <c r="A19" s="1802" t="s">
        <v>591</v>
      </c>
      <c r="B19" s="1790">
        <v>774</v>
      </c>
      <c r="C19" s="1791">
        <v>777</v>
      </c>
      <c r="D19" s="1826">
        <v>455</v>
      </c>
      <c r="E19" s="1827">
        <v>1070</v>
      </c>
      <c r="F19" s="1791">
        <v>1038</v>
      </c>
      <c r="G19" s="1791">
        <v>566</v>
      </c>
      <c r="H19" s="1828">
        <v>1000</v>
      </c>
      <c r="I19" s="1795">
        <v>728</v>
      </c>
      <c r="J19" s="1791">
        <v>530</v>
      </c>
    </row>
    <row r="20" spans="1:10" ht="15" customHeight="1" x14ac:dyDescent="0.25">
      <c r="A20" s="1802" t="s">
        <v>592</v>
      </c>
      <c r="B20" s="1790">
        <v>7604</v>
      </c>
      <c r="C20" s="1791">
        <v>7891</v>
      </c>
      <c r="D20" s="1826">
        <v>8042</v>
      </c>
      <c r="E20" s="1827">
        <v>7833</v>
      </c>
      <c r="F20" s="1791">
        <v>7716</v>
      </c>
      <c r="G20" s="1791">
        <v>8129</v>
      </c>
      <c r="H20" s="1828">
        <v>7984</v>
      </c>
      <c r="I20" s="1795">
        <v>9693</v>
      </c>
      <c r="J20" s="1791">
        <v>9566</v>
      </c>
    </row>
    <row r="21" spans="1:10" ht="15" customHeight="1" x14ac:dyDescent="0.25">
      <c r="A21" s="1802" t="s">
        <v>593</v>
      </c>
      <c r="B21" s="1790">
        <v>369</v>
      </c>
      <c r="C21" s="1791">
        <v>365</v>
      </c>
      <c r="D21" s="1826">
        <v>401</v>
      </c>
      <c r="E21" s="1827">
        <v>440</v>
      </c>
      <c r="F21" s="1791">
        <v>537</v>
      </c>
      <c r="G21" s="1791">
        <v>459</v>
      </c>
      <c r="H21" s="1828">
        <v>572</v>
      </c>
      <c r="I21" s="1795">
        <v>631</v>
      </c>
      <c r="J21" s="1791">
        <v>260</v>
      </c>
    </row>
    <row r="22" spans="1:10" ht="15" customHeight="1" x14ac:dyDescent="0.25">
      <c r="A22" s="1802" t="s">
        <v>594</v>
      </c>
      <c r="B22" s="1790">
        <v>1419</v>
      </c>
      <c r="C22" s="1791">
        <v>1504</v>
      </c>
      <c r="D22" s="1826">
        <v>1433</v>
      </c>
      <c r="E22" s="1827">
        <v>1397</v>
      </c>
      <c r="F22" s="1791">
        <v>1416</v>
      </c>
      <c r="G22" s="1791">
        <v>1451</v>
      </c>
      <c r="H22" s="1828">
        <v>1445</v>
      </c>
      <c r="I22" s="1795">
        <v>1446</v>
      </c>
      <c r="J22" s="1791">
        <v>1408</v>
      </c>
    </row>
    <row r="23" spans="1:10" ht="15" customHeight="1" x14ac:dyDescent="0.25">
      <c r="A23" s="1802" t="s">
        <v>483</v>
      </c>
      <c r="B23" s="1790">
        <v>58711</v>
      </c>
      <c r="C23" s="1791">
        <v>56799</v>
      </c>
      <c r="D23" s="1826">
        <v>59585</v>
      </c>
      <c r="E23" s="1827">
        <v>60121</v>
      </c>
      <c r="F23" s="1791">
        <v>59524</v>
      </c>
      <c r="G23" s="1791">
        <v>59287</v>
      </c>
      <c r="H23" s="1828">
        <v>60622</v>
      </c>
      <c r="I23" s="1795">
        <v>67074</v>
      </c>
      <c r="J23" s="1791">
        <v>64537</v>
      </c>
    </row>
    <row r="24" spans="1:10" ht="15" customHeight="1" x14ac:dyDescent="0.25">
      <c r="A24" s="1802" t="s">
        <v>595</v>
      </c>
      <c r="B24" s="1790">
        <v>338825</v>
      </c>
      <c r="C24" s="1791">
        <v>343989</v>
      </c>
      <c r="D24" s="1826">
        <v>347087</v>
      </c>
      <c r="E24" s="1827">
        <v>347761</v>
      </c>
      <c r="F24" s="1791">
        <v>332192</v>
      </c>
      <c r="G24" s="1791">
        <v>343340</v>
      </c>
      <c r="H24" s="1828">
        <v>340587</v>
      </c>
      <c r="I24" s="1795">
        <v>353360</v>
      </c>
      <c r="J24" s="1791">
        <v>332581</v>
      </c>
    </row>
    <row r="25" spans="1:10" ht="15" customHeight="1" x14ac:dyDescent="0.25">
      <c r="A25" s="1789" t="s">
        <v>596</v>
      </c>
      <c r="B25" s="1790">
        <v>1329203</v>
      </c>
      <c r="C25" s="1791">
        <v>1328959</v>
      </c>
      <c r="D25" s="1826">
        <v>1352730</v>
      </c>
      <c r="E25" s="1827">
        <v>1327951</v>
      </c>
      <c r="F25" s="1791">
        <v>1319147</v>
      </c>
      <c r="G25" s="1791">
        <v>1318355</v>
      </c>
      <c r="H25" s="1828">
        <v>1312434</v>
      </c>
      <c r="I25" s="1795">
        <v>1332472</v>
      </c>
      <c r="J25" s="1791">
        <v>1318699</v>
      </c>
    </row>
    <row r="26" spans="1:10" ht="15" customHeight="1" x14ac:dyDescent="0.25">
      <c r="A26" s="1835"/>
      <c r="B26" s="1836"/>
      <c r="C26" s="1837"/>
      <c r="D26" s="1838"/>
      <c r="E26" s="1839"/>
      <c r="F26" s="1837"/>
      <c r="G26" s="1837"/>
      <c r="H26" s="1840"/>
      <c r="I26" s="1841"/>
      <c r="J26" s="1837"/>
    </row>
    <row r="27" spans="1:10" ht="15" customHeight="1" x14ac:dyDescent="0.25">
      <c r="A27" s="1779" t="s">
        <v>597</v>
      </c>
      <c r="B27" s="1773"/>
      <c r="C27" s="1774"/>
      <c r="D27" s="1816"/>
      <c r="E27" s="1817"/>
      <c r="F27" s="1774"/>
      <c r="G27" s="1774"/>
      <c r="H27" s="1818"/>
      <c r="I27" s="1842"/>
      <c r="J27" s="1843"/>
    </row>
    <row r="28" spans="1:10" ht="15" customHeight="1" x14ac:dyDescent="0.25">
      <c r="A28" s="1781" t="s">
        <v>598</v>
      </c>
      <c r="B28" s="1820"/>
      <c r="C28" s="1821"/>
      <c r="D28" s="1822"/>
      <c r="E28" s="1823"/>
      <c r="F28" s="1821"/>
      <c r="G28" s="1821"/>
      <c r="H28" s="1824"/>
      <c r="I28" s="1844"/>
      <c r="J28" s="1845"/>
    </row>
    <row r="29" spans="1:10" ht="15" customHeight="1" x14ac:dyDescent="0.25">
      <c r="A29" s="1802" t="s">
        <v>599</v>
      </c>
      <c r="B29" s="1790">
        <v>22089</v>
      </c>
      <c r="C29" s="1791">
        <v>22138</v>
      </c>
      <c r="D29" s="1826">
        <v>22136</v>
      </c>
      <c r="E29" s="1827">
        <v>22054</v>
      </c>
      <c r="F29" s="1791">
        <v>21549</v>
      </c>
      <c r="G29" s="1791">
        <v>21066</v>
      </c>
      <c r="H29" s="1828">
        <v>20599</v>
      </c>
      <c r="I29" s="1795">
        <v>20109</v>
      </c>
      <c r="J29" s="1791">
        <v>19627</v>
      </c>
    </row>
    <row r="30" spans="1:10" ht="15" customHeight="1" x14ac:dyDescent="0.25">
      <c r="A30" s="1802" t="s">
        <v>600</v>
      </c>
      <c r="B30" s="1790">
        <v>58703</v>
      </c>
      <c r="C30" s="1791">
        <v>57965</v>
      </c>
      <c r="D30" s="1826">
        <v>57445</v>
      </c>
      <c r="E30" s="1827">
        <v>57751</v>
      </c>
      <c r="F30" s="1791">
        <v>57541</v>
      </c>
      <c r="G30" s="1791">
        <v>57081</v>
      </c>
      <c r="H30" s="1828">
        <v>56443</v>
      </c>
      <c r="I30" s="1795">
        <v>55673</v>
      </c>
      <c r="J30" s="1791">
        <v>55741</v>
      </c>
    </row>
    <row r="31" spans="1:10" ht="15" customHeight="1" x14ac:dyDescent="0.25">
      <c r="A31" s="1802" t="s">
        <v>601</v>
      </c>
      <c r="B31" s="1790">
        <v>-5310</v>
      </c>
      <c r="C31" s="1791">
        <v>-5191</v>
      </c>
      <c r="D31" s="1826">
        <v>-4789</v>
      </c>
      <c r="E31" s="1827">
        <v>-6147</v>
      </c>
      <c r="F31" s="1791">
        <v>-6298</v>
      </c>
      <c r="G31" s="1791">
        <v>-7502</v>
      </c>
      <c r="H31" s="1828">
        <v>-6998</v>
      </c>
      <c r="I31" s="1795">
        <v>-6931</v>
      </c>
      <c r="J31" s="1791">
        <v>-7343</v>
      </c>
    </row>
    <row r="32" spans="1:10" ht="15" customHeight="1" x14ac:dyDescent="0.25">
      <c r="A32" s="1802" t="s">
        <v>602</v>
      </c>
      <c r="B32" s="1790">
        <v>-224</v>
      </c>
      <c r="C32" s="1791">
        <v>-226</v>
      </c>
      <c r="D32" s="1826">
        <v>-229</v>
      </c>
      <c r="E32" s="1827">
        <v>-68</v>
      </c>
      <c r="F32" s="1791">
        <v>-67</v>
      </c>
      <c r="G32" s="1791">
        <v>-68</v>
      </c>
      <c r="H32" s="1828">
        <v>-67</v>
      </c>
      <c r="I32" s="1795">
        <v>-84</v>
      </c>
      <c r="J32" s="1791">
        <v>-88</v>
      </c>
    </row>
    <row r="33" spans="1:10" ht="15" customHeight="1" x14ac:dyDescent="0.25">
      <c r="A33" s="1802" t="s">
        <v>603</v>
      </c>
      <c r="B33" s="1790">
        <v>75258</v>
      </c>
      <c r="C33" s="1791">
        <v>74686</v>
      </c>
      <c r="D33" s="1826">
        <v>74563</v>
      </c>
      <c r="E33" s="1846">
        <v>73590</v>
      </c>
      <c r="F33" s="1847">
        <v>72725</v>
      </c>
      <c r="G33" s="1847">
        <v>70577</v>
      </c>
      <c r="H33" s="1848">
        <v>69977</v>
      </c>
      <c r="I33" s="1849">
        <v>68767</v>
      </c>
      <c r="J33" s="1847">
        <v>67937</v>
      </c>
    </row>
    <row r="34" spans="1:10" ht="15" customHeight="1" x14ac:dyDescent="0.25">
      <c r="A34" s="1803"/>
      <c r="B34" s="1796"/>
      <c r="C34" s="1797"/>
      <c r="D34" s="1829"/>
      <c r="E34" s="1830"/>
      <c r="F34" s="1797"/>
      <c r="G34" s="1797"/>
      <c r="H34" s="1831"/>
      <c r="I34" s="1801"/>
      <c r="J34" s="1797"/>
    </row>
    <row r="35" spans="1:10" ht="15" customHeight="1" x14ac:dyDescent="0.25">
      <c r="A35" s="1803" t="s">
        <v>604</v>
      </c>
      <c r="B35" s="1790">
        <v>8544</v>
      </c>
      <c r="C35" s="1791">
        <v>10232</v>
      </c>
      <c r="D35" s="1826">
        <v>10232</v>
      </c>
      <c r="E35" s="1827">
        <v>8779</v>
      </c>
      <c r="F35" s="1791">
        <v>8779</v>
      </c>
      <c r="G35" s="1791">
        <v>8779</v>
      </c>
      <c r="H35" s="1828">
        <v>8779</v>
      </c>
      <c r="I35" s="1795">
        <v>8075</v>
      </c>
      <c r="J35" s="1791">
        <v>8075</v>
      </c>
    </row>
    <row r="36" spans="1:10" ht="15" customHeight="1" x14ac:dyDescent="0.25">
      <c r="A36" s="1803" t="s">
        <v>605</v>
      </c>
      <c r="B36" s="1790">
        <v>83802</v>
      </c>
      <c r="C36" s="1791">
        <v>84918</v>
      </c>
      <c r="D36" s="1826">
        <v>84795</v>
      </c>
      <c r="E36" s="1827">
        <v>82369</v>
      </c>
      <c r="F36" s="1791">
        <v>81504</v>
      </c>
      <c r="G36" s="1791">
        <v>79356</v>
      </c>
      <c r="H36" s="1828">
        <v>78756</v>
      </c>
      <c r="I36" s="1795">
        <v>76842</v>
      </c>
      <c r="J36" s="1791">
        <v>76012</v>
      </c>
    </row>
    <row r="37" spans="1:10" ht="15" customHeight="1" x14ac:dyDescent="0.25">
      <c r="A37" s="1803"/>
      <c r="B37" s="1796"/>
      <c r="C37" s="1797"/>
      <c r="D37" s="1829"/>
      <c r="E37" s="1830"/>
      <c r="F37" s="1797"/>
      <c r="G37" s="1797"/>
      <c r="H37" s="1831"/>
      <c r="I37" s="1801"/>
      <c r="J37" s="1797"/>
    </row>
    <row r="38" spans="1:10" ht="15" customHeight="1" x14ac:dyDescent="0.25">
      <c r="A38" s="1803" t="s">
        <v>606</v>
      </c>
      <c r="B38" s="1790">
        <v>1681</v>
      </c>
      <c r="C38" s="1791">
        <v>1588</v>
      </c>
      <c r="D38" s="1826">
        <v>1626</v>
      </c>
      <c r="E38" s="1827">
        <v>1707</v>
      </c>
      <c r="F38" s="1791">
        <v>1715</v>
      </c>
      <c r="G38" s="1791">
        <v>1719</v>
      </c>
      <c r="H38" s="1828">
        <v>1696</v>
      </c>
      <c r="I38" s="1795">
        <v>1729</v>
      </c>
      <c r="J38" s="1791">
        <v>1655</v>
      </c>
    </row>
    <row r="39" spans="1:10" ht="15" customHeight="1" x14ac:dyDescent="0.25">
      <c r="A39" s="1789" t="s">
        <v>607</v>
      </c>
      <c r="B39" s="1790">
        <v>85483</v>
      </c>
      <c r="C39" s="1791">
        <v>86506</v>
      </c>
      <c r="D39" s="1826">
        <v>86421</v>
      </c>
      <c r="E39" s="1827">
        <v>84076</v>
      </c>
      <c r="F39" s="1791">
        <v>83219</v>
      </c>
      <c r="G39" s="1791">
        <v>81075</v>
      </c>
      <c r="H39" s="1828">
        <v>80452</v>
      </c>
      <c r="I39" s="1795">
        <v>78571</v>
      </c>
      <c r="J39" s="1791">
        <v>77667</v>
      </c>
    </row>
    <row r="40" spans="1:10" ht="15" customHeight="1" x14ac:dyDescent="0.25">
      <c r="A40" s="1805"/>
      <c r="B40" s="1850"/>
      <c r="C40" s="1851"/>
      <c r="D40" s="1852"/>
      <c r="E40" s="1853"/>
      <c r="F40" s="1851"/>
      <c r="G40" s="1851"/>
      <c r="H40" s="1854"/>
      <c r="I40" s="1855"/>
      <c r="J40" s="1856"/>
    </row>
    <row r="41" spans="1:10" ht="15" customHeight="1" x14ac:dyDescent="0.25">
      <c r="A41" s="1806" t="s">
        <v>608</v>
      </c>
      <c r="B41" s="1807">
        <v>1414686</v>
      </c>
      <c r="C41" s="1808">
        <v>1415465</v>
      </c>
      <c r="D41" s="1857">
        <v>1439151</v>
      </c>
      <c r="E41" s="1810">
        <v>1412027</v>
      </c>
      <c r="F41" s="1808">
        <v>1402366</v>
      </c>
      <c r="G41" s="1808">
        <v>1399430</v>
      </c>
      <c r="H41" s="1811">
        <v>1392886</v>
      </c>
      <c r="I41" s="1812">
        <v>1411043</v>
      </c>
      <c r="J41" s="1808">
        <v>1396366</v>
      </c>
    </row>
    <row r="42" spans="1:10" ht="6" customHeight="1" x14ac:dyDescent="0.25">
      <c r="A42" s="1858"/>
      <c r="B42" s="1859"/>
      <c r="C42" s="1860"/>
      <c r="D42" s="1861"/>
      <c r="E42" s="1861"/>
      <c r="F42" s="1861"/>
      <c r="G42" s="1861"/>
      <c r="H42" s="1861"/>
      <c r="I42" s="1861"/>
      <c r="J42" s="1861"/>
    </row>
    <row r="43" spans="1:10" ht="6" customHeight="1" x14ac:dyDescent="0.25">
      <c r="A43" s="3576"/>
      <c r="B43" s="3576" t="s">
        <v>14</v>
      </c>
      <c r="C43" s="3576" t="s">
        <v>14</v>
      </c>
      <c r="D43" s="3576" t="s">
        <v>14</v>
      </c>
      <c r="E43" s="3576" t="s">
        <v>14</v>
      </c>
      <c r="F43" s="3576" t="s">
        <v>14</v>
      </c>
      <c r="G43" s="3576" t="s">
        <v>14</v>
      </c>
      <c r="H43" s="3576" t="s">
        <v>14</v>
      </c>
      <c r="I43" s="3576" t="s">
        <v>14</v>
      </c>
      <c r="J43" s="3576" t="s">
        <v>14</v>
      </c>
    </row>
  </sheetData>
  <mergeCells count="5">
    <mergeCell ref="A2:J2"/>
    <mergeCell ref="B3:D3"/>
    <mergeCell ref="E3:H3"/>
    <mergeCell ref="I3:J3"/>
    <mergeCell ref="A43:J43"/>
  </mergeCells>
  <hyperlinks>
    <hyperlink ref="A1" location="ToC!A2" display="Back to Table of Contents" xr:uid="{95D7D378-8BC6-4AE2-8AA0-11F1C160D676}"/>
  </hyperlinks>
  <pageMargins left="0.5" right="0.5" top="0.5" bottom="0.5" header="0.25" footer="0.25"/>
  <pageSetup scale="67" orientation="landscape" r:id="rId1"/>
  <headerFooter>
    <oddFooter>&amp;L&amp;G&amp;C&amp;"Scotia,Regular"&amp;9Supplementary Financial Information (SFI)&amp;R14&amp;"Scotia,Regular"&amp;7</oddFooter>
  </headerFooter>
  <ignoredErrors>
    <ignoredError sqref="B3" numberStoredAsText="1"/>
  </ignoredErrors>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7A7B-62D7-4814-A094-44F73A0648E8}">
  <sheetPr>
    <pageSetUpPr fitToPage="1"/>
  </sheetPr>
  <dimension ref="A1:N59"/>
  <sheetViews>
    <sheetView showGridLines="0" zoomScaleNormal="100" workbookViewId="0"/>
  </sheetViews>
  <sheetFormatPr defaultColWidth="8.77734375" defaultRowHeight="13.2" x14ac:dyDescent="0.25"/>
  <cols>
    <col min="1" max="1" width="82.77734375" style="22" customWidth="1"/>
    <col min="2" max="4" width="12.21875" style="22" customWidth="1"/>
    <col min="5" max="10" width="11.77734375" style="22" customWidth="1"/>
    <col min="11" max="11" width="12.21875" style="22" bestFit="1" customWidth="1"/>
    <col min="12" max="12" width="12.44140625" style="22" customWidth="1"/>
    <col min="13" max="14" width="11.77734375" style="22" customWidth="1"/>
    <col min="15" max="16384" width="8.77734375" style="22"/>
  </cols>
  <sheetData>
    <row r="1" spans="1:14" ht="19.95" customHeight="1" x14ac:dyDescent="0.25">
      <c r="A1" s="21" t="s">
        <v>12</v>
      </c>
    </row>
    <row r="2" spans="1:14" ht="25.05" customHeight="1" x14ac:dyDescent="0.25">
      <c r="A2" s="3583" t="s">
        <v>609</v>
      </c>
      <c r="B2" s="3583" t="s">
        <v>14</v>
      </c>
      <c r="C2" s="3583" t="s">
        <v>14</v>
      </c>
      <c r="D2" s="3583" t="s">
        <v>14</v>
      </c>
      <c r="E2" s="3583" t="s">
        <v>14</v>
      </c>
      <c r="F2" s="3583" t="s">
        <v>14</v>
      </c>
      <c r="G2" s="3583" t="s">
        <v>14</v>
      </c>
      <c r="H2" s="3583" t="s">
        <v>14</v>
      </c>
      <c r="I2" s="3583" t="s">
        <v>14</v>
      </c>
      <c r="J2" s="3583" t="s">
        <v>14</v>
      </c>
      <c r="K2" s="3583" t="s">
        <v>14</v>
      </c>
      <c r="L2" s="3583" t="s">
        <v>14</v>
      </c>
      <c r="M2" s="3583" t="s">
        <v>14</v>
      </c>
      <c r="N2" s="3583" t="s">
        <v>14</v>
      </c>
    </row>
    <row r="3" spans="1:14" ht="15" customHeight="1" x14ac:dyDescent="0.25">
      <c r="A3" s="1862"/>
      <c r="B3" s="3584" t="s">
        <v>172</v>
      </c>
      <c r="C3" s="3584" t="s">
        <v>14</v>
      </c>
      <c r="D3" s="3585" t="s">
        <v>14</v>
      </c>
      <c r="E3" s="3586">
        <v>2024</v>
      </c>
      <c r="F3" s="3587" t="s">
        <v>14</v>
      </c>
      <c r="G3" s="3587" t="s">
        <v>14</v>
      </c>
      <c r="H3" s="3588" t="s">
        <v>14</v>
      </c>
      <c r="I3" s="3586">
        <v>2023</v>
      </c>
      <c r="J3" s="3587" t="s">
        <v>14</v>
      </c>
      <c r="K3" s="3589" t="s">
        <v>173</v>
      </c>
      <c r="L3" s="3590" t="s">
        <v>14</v>
      </c>
      <c r="M3" s="3591" t="s">
        <v>174</v>
      </c>
      <c r="N3" s="3591" t="s">
        <v>14</v>
      </c>
    </row>
    <row r="4" spans="1:14" ht="15" customHeight="1" x14ac:dyDescent="0.25">
      <c r="A4" s="1863" t="s">
        <v>558</v>
      </c>
      <c r="B4" s="1864" t="s">
        <v>176</v>
      </c>
      <c r="C4" s="1865" t="s">
        <v>177</v>
      </c>
      <c r="D4" s="1866" t="s">
        <v>178</v>
      </c>
      <c r="E4" s="1867" t="s">
        <v>179</v>
      </c>
      <c r="F4" s="1865" t="s">
        <v>180</v>
      </c>
      <c r="G4" s="1865" t="s">
        <v>177</v>
      </c>
      <c r="H4" s="1868" t="s">
        <v>178</v>
      </c>
      <c r="I4" s="1869" t="s">
        <v>179</v>
      </c>
      <c r="J4" s="1865" t="s">
        <v>180</v>
      </c>
      <c r="K4" s="1870" t="s">
        <v>181</v>
      </c>
      <c r="L4" s="1871">
        <v>2024</v>
      </c>
      <c r="M4" s="1865">
        <v>2024</v>
      </c>
      <c r="N4" s="1865">
        <v>2023</v>
      </c>
    </row>
    <row r="5" spans="1:14" ht="15" customHeight="1" x14ac:dyDescent="0.25">
      <c r="A5" s="1872" t="s">
        <v>610</v>
      </c>
      <c r="B5" s="1873">
        <v>67554</v>
      </c>
      <c r="C5" s="1874">
        <v>74489</v>
      </c>
      <c r="D5" s="1875">
        <v>65371</v>
      </c>
      <c r="E5" s="1876">
        <v>60003</v>
      </c>
      <c r="F5" s="1877">
        <v>62858</v>
      </c>
      <c r="G5" s="1877">
        <v>62725</v>
      </c>
      <c r="H5" s="1878">
        <v>72182</v>
      </c>
      <c r="I5" s="1879">
        <v>81228</v>
      </c>
      <c r="J5" s="1877">
        <v>79729</v>
      </c>
      <c r="K5" s="1880">
        <v>69079</v>
      </c>
      <c r="L5" s="1881">
        <v>65945</v>
      </c>
      <c r="M5" s="1882">
        <v>64451</v>
      </c>
      <c r="N5" s="1882">
        <v>77625</v>
      </c>
    </row>
    <row r="6" spans="1:14" ht="15" customHeight="1" x14ac:dyDescent="0.25">
      <c r="A6" s="1883"/>
      <c r="B6" s="1884"/>
      <c r="C6" s="1885"/>
      <c r="D6" s="1886"/>
      <c r="E6" s="1887"/>
      <c r="F6" s="1888"/>
      <c r="G6" s="1888"/>
      <c r="H6" s="1889"/>
      <c r="I6" s="1890"/>
      <c r="J6" s="1888"/>
      <c r="K6" s="1891"/>
      <c r="L6" s="1892"/>
      <c r="M6" s="1893"/>
      <c r="N6" s="1893"/>
    </row>
    <row r="7" spans="1:14" ht="15" customHeight="1" x14ac:dyDescent="0.3">
      <c r="A7" s="1883" t="s">
        <v>611</v>
      </c>
      <c r="B7" s="1884"/>
      <c r="C7" s="1885"/>
      <c r="D7" s="1894"/>
      <c r="E7" s="1887"/>
      <c r="F7" s="1888"/>
      <c r="G7" s="1888"/>
      <c r="H7" s="1889"/>
      <c r="I7" s="1890"/>
      <c r="J7" s="1888"/>
      <c r="K7" s="1891"/>
      <c r="L7" s="1892"/>
      <c r="M7" s="1893"/>
      <c r="N7" s="1893"/>
    </row>
    <row r="8" spans="1:14" ht="15" customHeight="1" x14ac:dyDescent="0.25">
      <c r="A8" s="1895" t="s">
        <v>612</v>
      </c>
      <c r="B8" s="1896">
        <v>140691</v>
      </c>
      <c r="C8" s="1897">
        <v>143146</v>
      </c>
      <c r="D8" s="1898">
        <v>148672</v>
      </c>
      <c r="E8" s="1899">
        <v>137321</v>
      </c>
      <c r="F8" s="1900">
        <v>145722</v>
      </c>
      <c r="G8" s="1900">
        <v>137187</v>
      </c>
      <c r="H8" s="1901">
        <v>134547</v>
      </c>
      <c r="I8" s="1902">
        <v>117678</v>
      </c>
      <c r="J8" s="1900">
        <v>117052</v>
      </c>
      <c r="K8" s="1903">
        <v>144181</v>
      </c>
      <c r="L8" s="1904">
        <v>139166</v>
      </c>
      <c r="M8" s="1905">
        <v>138702</v>
      </c>
      <c r="N8" s="1905">
        <v>113727</v>
      </c>
    </row>
    <row r="9" spans="1:14" ht="15" customHeight="1" x14ac:dyDescent="0.25">
      <c r="A9" s="1895" t="s">
        <v>613</v>
      </c>
      <c r="B9" s="1896">
        <v>7876</v>
      </c>
      <c r="C9" s="1897">
        <v>7851</v>
      </c>
      <c r="D9" s="1898">
        <v>7868</v>
      </c>
      <c r="E9" s="1899">
        <v>7874</v>
      </c>
      <c r="F9" s="1900">
        <v>7526</v>
      </c>
      <c r="G9" s="1900">
        <v>7550</v>
      </c>
      <c r="H9" s="1901">
        <v>7467</v>
      </c>
      <c r="I9" s="1902">
        <v>8539</v>
      </c>
      <c r="J9" s="1900">
        <v>7887</v>
      </c>
      <c r="K9" s="1903">
        <v>7865</v>
      </c>
      <c r="L9" s="1904">
        <v>7514</v>
      </c>
      <c r="M9" s="1905">
        <v>7605</v>
      </c>
      <c r="N9" s="1905">
        <v>8008</v>
      </c>
    </row>
    <row r="10" spans="1:14" ht="15" customHeight="1" x14ac:dyDescent="0.25">
      <c r="A10" s="1906" t="s">
        <v>563</v>
      </c>
      <c r="B10" s="1896">
        <v>148567</v>
      </c>
      <c r="C10" s="1897">
        <v>150997</v>
      </c>
      <c r="D10" s="1898">
        <v>156540</v>
      </c>
      <c r="E10" s="1899">
        <v>145195</v>
      </c>
      <c r="F10" s="1900">
        <v>153248</v>
      </c>
      <c r="G10" s="1900">
        <v>144737</v>
      </c>
      <c r="H10" s="1901">
        <v>142014</v>
      </c>
      <c r="I10" s="1902">
        <v>126217</v>
      </c>
      <c r="J10" s="1900">
        <v>124939</v>
      </c>
      <c r="K10" s="1903">
        <v>152046</v>
      </c>
      <c r="L10" s="1904">
        <v>146680</v>
      </c>
      <c r="M10" s="1905">
        <v>146307</v>
      </c>
      <c r="N10" s="1905">
        <v>121735</v>
      </c>
    </row>
    <row r="11" spans="1:14" ht="15" customHeight="1" x14ac:dyDescent="0.25">
      <c r="A11" s="1883"/>
      <c r="B11" s="1884"/>
      <c r="C11" s="1885"/>
      <c r="D11" s="1886"/>
      <c r="E11" s="1887"/>
      <c r="F11" s="1888"/>
      <c r="G11" s="1888"/>
      <c r="H11" s="1889"/>
      <c r="I11" s="1890"/>
      <c r="J11" s="1888"/>
      <c r="K11" s="1891"/>
      <c r="L11" s="1892"/>
      <c r="M11" s="1893"/>
      <c r="N11" s="1893"/>
    </row>
    <row r="12" spans="1:14" ht="15" customHeight="1" x14ac:dyDescent="0.25">
      <c r="A12" s="1883" t="s">
        <v>614</v>
      </c>
      <c r="B12" s="1896">
        <v>200737</v>
      </c>
      <c r="C12" s="1897">
        <v>206266</v>
      </c>
      <c r="D12" s="1898">
        <v>200930</v>
      </c>
      <c r="E12" s="1899">
        <v>196305</v>
      </c>
      <c r="F12" s="1900">
        <v>189557</v>
      </c>
      <c r="G12" s="1900">
        <v>191661</v>
      </c>
      <c r="H12" s="1901">
        <v>194807</v>
      </c>
      <c r="I12" s="1902">
        <v>196039</v>
      </c>
      <c r="J12" s="1900">
        <v>191030</v>
      </c>
      <c r="K12" s="1903">
        <v>202604</v>
      </c>
      <c r="L12" s="1904">
        <v>192011</v>
      </c>
      <c r="M12" s="1905">
        <v>193090</v>
      </c>
      <c r="N12" s="1905">
        <v>187927</v>
      </c>
    </row>
    <row r="13" spans="1:14" ht="15" customHeight="1" x14ac:dyDescent="0.25">
      <c r="A13" s="1883"/>
      <c r="B13" s="1884"/>
      <c r="C13" s="1885"/>
      <c r="D13" s="1886"/>
      <c r="E13" s="1887"/>
      <c r="F13" s="1888"/>
      <c r="G13" s="1888"/>
      <c r="H13" s="1889"/>
      <c r="I13" s="1890"/>
      <c r="J13" s="1888"/>
      <c r="K13" s="1891"/>
      <c r="L13" s="1892"/>
      <c r="M13" s="1893"/>
      <c r="N13" s="1893"/>
    </row>
    <row r="14" spans="1:14" ht="15" customHeight="1" x14ac:dyDescent="0.25">
      <c r="A14" s="1883" t="s">
        <v>615</v>
      </c>
      <c r="B14" s="1896">
        <v>157488</v>
      </c>
      <c r="C14" s="1897">
        <v>157659</v>
      </c>
      <c r="D14" s="1898">
        <v>157023</v>
      </c>
      <c r="E14" s="1899">
        <v>154243</v>
      </c>
      <c r="F14" s="1900">
        <v>150774</v>
      </c>
      <c r="G14" s="1900">
        <v>146404</v>
      </c>
      <c r="H14" s="1901">
        <v>138972</v>
      </c>
      <c r="I14" s="1902">
        <v>120556</v>
      </c>
      <c r="J14" s="1900">
        <v>116816</v>
      </c>
      <c r="K14" s="1903">
        <v>157387</v>
      </c>
      <c r="L14" s="1904">
        <v>145376</v>
      </c>
      <c r="M14" s="1905">
        <v>147605</v>
      </c>
      <c r="N14" s="1905">
        <v>117453</v>
      </c>
    </row>
    <row r="15" spans="1:14" ht="15" customHeight="1" x14ac:dyDescent="0.25">
      <c r="A15" s="1883"/>
      <c r="B15" s="1884"/>
      <c r="C15" s="1885"/>
      <c r="D15" s="1886"/>
      <c r="E15" s="1887"/>
      <c r="F15" s="1888"/>
      <c r="G15" s="1888"/>
      <c r="H15" s="1889"/>
      <c r="I15" s="1890"/>
      <c r="J15" s="1888"/>
      <c r="K15" s="1891"/>
      <c r="L15" s="1892"/>
      <c r="M15" s="1893"/>
      <c r="N15" s="1893"/>
    </row>
    <row r="16" spans="1:14" ht="15" customHeight="1" x14ac:dyDescent="0.25">
      <c r="A16" s="1883" t="s">
        <v>616</v>
      </c>
      <c r="B16" s="1884"/>
      <c r="C16" s="1885"/>
      <c r="D16" s="1886"/>
      <c r="E16" s="1887"/>
      <c r="F16" s="1888"/>
      <c r="G16" s="1888"/>
      <c r="H16" s="1889"/>
      <c r="I16" s="1890"/>
      <c r="J16" s="1888"/>
      <c r="K16" s="1891"/>
      <c r="L16" s="1892"/>
      <c r="M16" s="1893"/>
      <c r="N16" s="1893"/>
    </row>
    <row r="17" spans="1:14" ht="15" customHeight="1" x14ac:dyDescent="0.25">
      <c r="A17" s="1895" t="s">
        <v>617</v>
      </c>
      <c r="B17" s="1896">
        <v>359286</v>
      </c>
      <c r="C17" s="1897">
        <v>358721</v>
      </c>
      <c r="D17" s="1898">
        <v>353825</v>
      </c>
      <c r="E17" s="1899">
        <v>347915</v>
      </c>
      <c r="F17" s="1900">
        <v>345526</v>
      </c>
      <c r="G17" s="1900">
        <v>341092</v>
      </c>
      <c r="H17" s="1901">
        <v>341492</v>
      </c>
      <c r="I17" s="1902">
        <v>343696</v>
      </c>
      <c r="J17" s="1900">
        <v>350534</v>
      </c>
      <c r="K17" s="1903">
        <v>357262</v>
      </c>
      <c r="L17" s="1904">
        <v>342870</v>
      </c>
      <c r="M17" s="1905">
        <v>344138</v>
      </c>
      <c r="N17" s="1905">
        <v>349629</v>
      </c>
    </row>
    <row r="18" spans="1:14" ht="15" customHeight="1" x14ac:dyDescent="0.25">
      <c r="A18" s="1895" t="s">
        <v>618</v>
      </c>
      <c r="B18" s="1896">
        <v>107179</v>
      </c>
      <c r="C18" s="1897">
        <v>106188</v>
      </c>
      <c r="D18" s="1898">
        <v>106919</v>
      </c>
      <c r="E18" s="1899">
        <v>106256</v>
      </c>
      <c r="F18" s="1900">
        <v>106082</v>
      </c>
      <c r="G18" s="1900">
        <v>105050</v>
      </c>
      <c r="H18" s="1901">
        <v>104444</v>
      </c>
      <c r="I18" s="1902">
        <v>104104</v>
      </c>
      <c r="J18" s="1900">
        <v>104020</v>
      </c>
      <c r="K18" s="1903">
        <v>106768</v>
      </c>
      <c r="L18" s="1904">
        <v>105194</v>
      </c>
      <c r="M18" s="1905">
        <v>105461</v>
      </c>
      <c r="N18" s="1905">
        <v>102894</v>
      </c>
    </row>
    <row r="19" spans="1:14" ht="15" customHeight="1" x14ac:dyDescent="0.25">
      <c r="A19" s="1895" t="s">
        <v>619</v>
      </c>
      <c r="B19" s="1896">
        <v>17330</v>
      </c>
      <c r="C19" s="1897">
        <v>17301</v>
      </c>
      <c r="D19" s="1898">
        <v>17504</v>
      </c>
      <c r="E19" s="1899">
        <v>17388</v>
      </c>
      <c r="F19" s="1900">
        <v>17622</v>
      </c>
      <c r="G19" s="1900">
        <v>17148</v>
      </c>
      <c r="H19" s="1901">
        <v>17096</v>
      </c>
      <c r="I19" s="1902">
        <v>16656</v>
      </c>
      <c r="J19" s="1900">
        <v>16348</v>
      </c>
      <c r="K19" s="1903">
        <v>17379</v>
      </c>
      <c r="L19" s="1904">
        <v>17290</v>
      </c>
      <c r="M19" s="1905">
        <v>17314</v>
      </c>
      <c r="N19" s="1905">
        <v>15987</v>
      </c>
    </row>
    <row r="20" spans="1:14" ht="15" customHeight="1" x14ac:dyDescent="0.25">
      <c r="A20" s="1895" t="s">
        <v>620</v>
      </c>
      <c r="B20" s="1896">
        <v>280550</v>
      </c>
      <c r="C20" s="1897">
        <v>285059</v>
      </c>
      <c r="D20" s="1898">
        <v>293899</v>
      </c>
      <c r="E20" s="1899">
        <v>290422</v>
      </c>
      <c r="F20" s="1900">
        <v>290805</v>
      </c>
      <c r="G20" s="1900">
        <v>286874</v>
      </c>
      <c r="H20" s="1901">
        <v>289899</v>
      </c>
      <c r="I20" s="1902">
        <v>290547</v>
      </c>
      <c r="J20" s="1900">
        <v>292850</v>
      </c>
      <c r="K20" s="1903">
        <v>286519</v>
      </c>
      <c r="L20" s="1904">
        <v>289040</v>
      </c>
      <c r="M20" s="1905">
        <v>289387</v>
      </c>
      <c r="N20" s="1905">
        <v>293345</v>
      </c>
    </row>
    <row r="21" spans="1:14" ht="15" customHeight="1" x14ac:dyDescent="0.25">
      <c r="A21" s="1895" t="s">
        <v>621</v>
      </c>
      <c r="B21" s="1896">
        <v>764345</v>
      </c>
      <c r="C21" s="1897">
        <v>767269</v>
      </c>
      <c r="D21" s="1898">
        <v>772147</v>
      </c>
      <c r="E21" s="1899">
        <v>761981</v>
      </c>
      <c r="F21" s="1900">
        <v>760035</v>
      </c>
      <c r="G21" s="1900">
        <v>750164</v>
      </c>
      <c r="H21" s="1901">
        <v>752931</v>
      </c>
      <c r="I21" s="1902">
        <v>755003</v>
      </c>
      <c r="J21" s="1900">
        <v>763752</v>
      </c>
      <c r="K21" s="1903">
        <v>767928</v>
      </c>
      <c r="L21" s="1904">
        <v>754394</v>
      </c>
      <c r="M21" s="1905">
        <v>756300</v>
      </c>
      <c r="N21" s="1905">
        <v>761855</v>
      </c>
    </row>
    <row r="22" spans="1:14" ht="15" customHeight="1" x14ac:dyDescent="0.25">
      <c r="A22" s="1895" t="s">
        <v>622</v>
      </c>
      <c r="B22" s="1896">
        <v>7251</v>
      </c>
      <c r="C22" s="1897">
        <v>6979</v>
      </c>
      <c r="D22" s="1898">
        <v>6722</v>
      </c>
      <c r="E22" s="1899">
        <v>6683</v>
      </c>
      <c r="F22" s="1900">
        <v>6613</v>
      </c>
      <c r="G22" s="1900">
        <v>6490</v>
      </c>
      <c r="H22" s="1901">
        <v>6507</v>
      </c>
      <c r="I22" s="1902">
        <v>6090</v>
      </c>
      <c r="J22" s="1900">
        <v>5889</v>
      </c>
      <c r="K22" s="1903">
        <v>6984</v>
      </c>
      <c r="L22" s="1904">
        <v>6537</v>
      </c>
      <c r="M22" s="1905">
        <v>6573</v>
      </c>
      <c r="N22" s="1905">
        <v>5786</v>
      </c>
    </row>
    <row r="23" spans="1:14" ht="15" customHeight="1" x14ac:dyDescent="0.25">
      <c r="A23" s="1883" t="s">
        <v>623</v>
      </c>
      <c r="B23" s="1896">
        <v>757094</v>
      </c>
      <c r="C23" s="1897">
        <v>760290</v>
      </c>
      <c r="D23" s="1898">
        <v>765425</v>
      </c>
      <c r="E23" s="1899">
        <v>755298</v>
      </c>
      <c r="F23" s="1900">
        <v>753422</v>
      </c>
      <c r="G23" s="1900">
        <v>743674</v>
      </c>
      <c r="H23" s="1901">
        <v>746424</v>
      </c>
      <c r="I23" s="1902">
        <v>748913</v>
      </c>
      <c r="J23" s="1900">
        <v>757863</v>
      </c>
      <c r="K23" s="1903">
        <v>760944</v>
      </c>
      <c r="L23" s="1904">
        <v>747857</v>
      </c>
      <c r="M23" s="1905">
        <v>749727</v>
      </c>
      <c r="N23" s="1905">
        <v>756069</v>
      </c>
    </row>
    <row r="24" spans="1:14" ht="15" customHeight="1" x14ac:dyDescent="0.25">
      <c r="A24" s="1906"/>
      <c r="B24" s="1884"/>
      <c r="C24" s="1885"/>
      <c r="D24" s="1886"/>
      <c r="E24" s="1887"/>
      <c r="F24" s="1888"/>
      <c r="G24" s="1888"/>
      <c r="H24" s="1889"/>
      <c r="I24" s="1890"/>
      <c r="J24" s="1888"/>
      <c r="K24" s="1891"/>
      <c r="L24" s="1892"/>
      <c r="M24" s="1893"/>
      <c r="N24" s="1893"/>
    </row>
    <row r="25" spans="1:14" ht="15" customHeight="1" x14ac:dyDescent="0.25">
      <c r="A25" s="1883" t="s">
        <v>624</v>
      </c>
      <c r="B25" s="1896">
        <v>155</v>
      </c>
      <c r="C25" s="1897">
        <v>206</v>
      </c>
      <c r="D25" s="1898">
        <v>171</v>
      </c>
      <c r="E25" s="1899">
        <v>1130</v>
      </c>
      <c r="F25" s="1900">
        <v>7342</v>
      </c>
      <c r="G25" s="1900">
        <v>13575</v>
      </c>
      <c r="H25" s="1901">
        <v>18006</v>
      </c>
      <c r="I25" s="1902">
        <v>20718</v>
      </c>
      <c r="J25" s="1900">
        <v>21995</v>
      </c>
      <c r="K25" s="1903">
        <v>178</v>
      </c>
      <c r="L25" s="1904">
        <v>12970</v>
      </c>
      <c r="M25" s="1905">
        <v>9994</v>
      </c>
      <c r="N25" s="1905">
        <v>20908</v>
      </c>
    </row>
    <row r="26" spans="1:14" ht="15" customHeight="1" x14ac:dyDescent="0.25">
      <c r="A26" s="1907"/>
      <c r="B26" s="1884"/>
      <c r="C26" s="1885"/>
      <c r="D26" s="1886"/>
      <c r="E26" s="1887"/>
      <c r="F26" s="1888"/>
      <c r="G26" s="1888"/>
      <c r="H26" s="1889"/>
      <c r="I26" s="1890"/>
      <c r="J26" s="1888"/>
      <c r="K26" s="1891"/>
      <c r="L26" s="1892"/>
      <c r="M26" s="1893"/>
      <c r="N26" s="1893"/>
    </row>
    <row r="27" spans="1:14" ht="15" customHeight="1" x14ac:dyDescent="0.25">
      <c r="A27" s="1883" t="s">
        <v>625</v>
      </c>
      <c r="B27" s="1896">
        <v>1331595</v>
      </c>
      <c r="C27" s="1897">
        <v>1349907</v>
      </c>
      <c r="D27" s="1898">
        <v>1345460</v>
      </c>
      <c r="E27" s="1899">
        <v>1312174</v>
      </c>
      <c r="F27" s="1900">
        <v>1317201</v>
      </c>
      <c r="G27" s="1900">
        <v>1302776</v>
      </c>
      <c r="H27" s="1901">
        <v>1312405</v>
      </c>
      <c r="I27" s="1902">
        <v>1293671</v>
      </c>
      <c r="J27" s="1900">
        <v>1292372</v>
      </c>
      <c r="K27" s="1903">
        <v>1342238</v>
      </c>
      <c r="L27" s="1904">
        <v>1310839</v>
      </c>
      <c r="M27" s="1905">
        <v>1311174</v>
      </c>
      <c r="N27" s="1905">
        <v>1281717</v>
      </c>
    </row>
    <row r="28" spans="1:14" ht="15" customHeight="1" x14ac:dyDescent="0.25">
      <c r="A28" s="1883"/>
      <c r="B28" s="1884"/>
      <c r="C28" s="1885"/>
      <c r="D28" s="1886"/>
      <c r="E28" s="1887"/>
      <c r="F28" s="1888"/>
      <c r="G28" s="1888"/>
      <c r="H28" s="1889"/>
      <c r="I28" s="1890"/>
      <c r="J28" s="1888"/>
      <c r="K28" s="1891"/>
      <c r="L28" s="1892"/>
      <c r="M28" s="1893"/>
      <c r="N28" s="1893"/>
    </row>
    <row r="29" spans="1:14" ht="15" customHeight="1" x14ac:dyDescent="0.25">
      <c r="A29" s="1883" t="s">
        <v>589</v>
      </c>
      <c r="B29" s="1896">
        <v>43904</v>
      </c>
      <c r="C29" s="1897">
        <v>46394</v>
      </c>
      <c r="D29" s="1898">
        <v>48550</v>
      </c>
      <c r="E29" s="1899">
        <v>40825</v>
      </c>
      <c r="F29" s="1900">
        <v>39249</v>
      </c>
      <c r="G29" s="1900">
        <v>41918</v>
      </c>
      <c r="H29" s="1901">
        <v>44012</v>
      </c>
      <c r="I29" s="1902">
        <v>48906</v>
      </c>
      <c r="J29" s="1900">
        <v>44774</v>
      </c>
      <c r="K29" s="1903">
        <v>46510</v>
      </c>
      <c r="L29" s="1904">
        <v>41955</v>
      </c>
      <c r="M29" s="1905">
        <v>41694</v>
      </c>
      <c r="N29" s="1905">
        <v>47693</v>
      </c>
    </row>
    <row r="30" spans="1:14" ht="15" customHeight="1" x14ac:dyDescent="0.25">
      <c r="A30" s="1883" t="s">
        <v>326</v>
      </c>
      <c r="B30" s="1896">
        <v>70359</v>
      </c>
      <c r="C30" s="1897">
        <v>72009</v>
      </c>
      <c r="D30" s="1898">
        <v>66605</v>
      </c>
      <c r="E30" s="1899">
        <v>65796</v>
      </c>
      <c r="F30" s="1900">
        <v>66290</v>
      </c>
      <c r="G30" s="1900">
        <v>66487</v>
      </c>
      <c r="H30" s="1901">
        <v>66920</v>
      </c>
      <c r="I30" s="1902">
        <v>67547</v>
      </c>
      <c r="J30" s="1900">
        <v>64637</v>
      </c>
      <c r="K30" s="1903">
        <v>69351</v>
      </c>
      <c r="L30" s="1904">
        <v>66601</v>
      </c>
      <c r="M30" s="1905">
        <v>66416</v>
      </c>
      <c r="N30" s="1905">
        <v>66682</v>
      </c>
    </row>
    <row r="31" spans="1:14" ht="15" customHeight="1" x14ac:dyDescent="0.25">
      <c r="A31" s="1908"/>
      <c r="B31" s="1909"/>
      <c r="C31" s="1910"/>
      <c r="D31" s="1911"/>
      <c r="E31" s="1912"/>
      <c r="F31" s="1913"/>
      <c r="G31" s="1913"/>
      <c r="H31" s="1914"/>
      <c r="I31" s="1915"/>
      <c r="J31" s="1913"/>
      <c r="K31" s="1916"/>
      <c r="L31" s="1917"/>
      <c r="M31" s="1918"/>
      <c r="N31" s="1918"/>
    </row>
    <row r="32" spans="1:14" ht="15" customHeight="1" x14ac:dyDescent="0.25">
      <c r="A32" s="1919" t="s">
        <v>327</v>
      </c>
      <c r="B32" s="1920">
        <v>1445858</v>
      </c>
      <c r="C32" s="1921">
        <v>1468310</v>
      </c>
      <c r="D32" s="1922">
        <v>1460615</v>
      </c>
      <c r="E32" s="1923">
        <v>1418795</v>
      </c>
      <c r="F32" s="1924">
        <v>1422740</v>
      </c>
      <c r="G32" s="1924">
        <v>1411181</v>
      </c>
      <c r="H32" s="1925">
        <v>1423337</v>
      </c>
      <c r="I32" s="1926">
        <v>1410124</v>
      </c>
      <c r="J32" s="1924">
        <v>1401783</v>
      </c>
      <c r="K32" s="1927">
        <v>1458099</v>
      </c>
      <c r="L32" s="1928">
        <v>1419395</v>
      </c>
      <c r="M32" s="1929">
        <v>1419284</v>
      </c>
      <c r="N32" s="1929">
        <v>1396092</v>
      </c>
    </row>
    <row r="33" spans="1:14" ht="15" customHeight="1" x14ac:dyDescent="0.25">
      <c r="A33" s="1930"/>
      <c r="B33" s="1931"/>
      <c r="C33" s="1932"/>
      <c r="D33" s="1933"/>
      <c r="E33" s="1934"/>
      <c r="F33" s="1935"/>
      <c r="G33" s="1935"/>
      <c r="H33" s="1936"/>
      <c r="I33" s="1937"/>
      <c r="J33" s="1935"/>
      <c r="K33" s="1938"/>
      <c r="L33" s="1939"/>
      <c r="M33" s="1935"/>
      <c r="N33" s="1935"/>
    </row>
    <row r="34" spans="1:14" ht="15" customHeight="1" x14ac:dyDescent="0.25">
      <c r="A34" s="1883" t="s">
        <v>626</v>
      </c>
      <c r="B34" s="1896">
        <v>906416</v>
      </c>
      <c r="C34" s="1897">
        <v>924427</v>
      </c>
      <c r="D34" s="1898">
        <v>920225</v>
      </c>
      <c r="E34" s="1899">
        <v>899312</v>
      </c>
      <c r="F34" s="1900">
        <v>906831</v>
      </c>
      <c r="G34" s="1900">
        <v>901875</v>
      </c>
      <c r="H34" s="1901">
        <v>902281</v>
      </c>
      <c r="I34" s="1902">
        <v>902526</v>
      </c>
      <c r="J34" s="1900">
        <v>904175</v>
      </c>
      <c r="K34" s="1903">
        <v>916941</v>
      </c>
      <c r="L34" s="1904">
        <v>903688</v>
      </c>
      <c r="M34" s="1905">
        <v>902588</v>
      </c>
      <c r="N34" s="1905">
        <v>900518</v>
      </c>
    </row>
    <row r="35" spans="1:14" ht="15" customHeight="1" x14ac:dyDescent="0.25">
      <c r="A35" s="1883" t="s">
        <v>627</v>
      </c>
      <c r="B35" s="1896">
        <v>42368</v>
      </c>
      <c r="C35" s="1897">
        <v>43346</v>
      </c>
      <c r="D35" s="1898">
        <v>46586</v>
      </c>
      <c r="E35" s="1899">
        <v>46160</v>
      </c>
      <c r="F35" s="1900">
        <v>49272</v>
      </c>
      <c r="G35" s="1900">
        <v>49105</v>
      </c>
      <c r="H35" s="1901">
        <v>51997</v>
      </c>
      <c r="I35" s="1902">
        <v>53384</v>
      </c>
      <c r="J35" s="1900">
        <v>56735</v>
      </c>
      <c r="K35" s="1903">
        <v>44108</v>
      </c>
      <c r="L35" s="1904">
        <v>50134</v>
      </c>
      <c r="M35" s="1905">
        <v>49135</v>
      </c>
      <c r="N35" s="1905">
        <v>55281</v>
      </c>
    </row>
    <row r="36" spans="1:14" ht="15" customHeight="1" x14ac:dyDescent="0.25">
      <c r="A36" s="1883" t="s">
        <v>586</v>
      </c>
      <c r="B36" s="1896">
        <v>40347</v>
      </c>
      <c r="C36" s="1897">
        <v>39256</v>
      </c>
      <c r="D36" s="1898">
        <v>38033</v>
      </c>
      <c r="E36" s="1899">
        <v>36098</v>
      </c>
      <c r="F36" s="1900">
        <v>35434</v>
      </c>
      <c r="G36" s="1900">
        <v>32713</v>
      </c>
      <c r="H36" s="1901">
        <v>29818</v>
      </c>
      <c r="I36" s="1902">
        <v>27950</v>
      </c>
      <c r="J36" s="1900">
        <v>27132</v>
      </c>
      <c r="K36" s="1903">
        <v>39211</v>
      </c>
      <c r="L36" s="1904">
        <v>32655</v>
      </c>
      <c r="M36" s="1905">
        <v>33520</v>
      </c>
      <c r="N36" s="1905">
        <v>25703</v>
      </c>
    </row>
    <row r="37" spans="1:14" ht="15" customHeight="1" x14ac:dyDescent="0.25">
      <c r="A37" s="1883"/>
      <c r="B37" s="1896">
        <v>989131</v>
      </c>
      <c r="C37" s="1897">
        <v>1007029</v>
      </c>
      <c r="D37" s="1898">
        <v>1004844</v>
      </c>
      <c r="E37" s="1899">
        <v>981570</v>
      </c>
      <c r="F37" s="1900">
        <v>991537</v>
      </c>
      <c r="G37" s="1900">
        <v>983693</v>
      </c>
      <c r="H37" s="1901">
        <v>984096</v>
      </c>
      <c r="I37" s="1902">
        <v>983860</v>
      </c>
      <c r="J37" s="1900">
        <v>988042</v>
      </c>
      <c r="K37" s="1903">
        <v>1000260</v>
      </c>
      <c r="L37" s="1904">
        <v>986477</v>
      </c>
      <c r="M37" s="1905">
        <v>985243</v>
      </c>
      <c r="N37" s="1905">
        <v>981502</v>
      </c>
    </row>
    <row r="38" spans="1:14" ht="15" customHeight="1" x14ac:dyDescent="0.25">
      <c r="A38" s="1883"/>
      <c r="B38" s="1884"/>
      <c r="C38" s="1885"/>
      <c r="D38" s="1886"/>
      <c r="E38" s="1887"/>
      <c r="F38" s="1888"/>
      <c r="G38" s="1888"/>
      <c r="H38" s="1889"/>
      <c r="I38" s="1890"/>
      <c r="J38" s="1888"/>
      <c r="K38" s="1891"/>
      <c r="L38" s="1892"/>
      <c r="M38" s="1893"/>
      <c r="N38" s="1893"/>
    </row>
    <row r="39" spans="1:14" ht="15" customHeight="1" x14ac:dyDescent="0.25">
      <c r="A39" s="1883" t="s">
        <v>628</v>
      </c>
      <c r="B39" s="1896">
        <v>40205</v>
      </c>
      <c r="C39" s="1897">
        <v>40087</v>
      </c>
      <c r="D39" s="1898">
        <v>38150</v>
      </c>
      <c r="E39" s="1899">
        <v>40796</v>
      </c>
      <c r="F39" s="1900">
        <v>39331</v>
      </c>
      <c r="G39" s="1900">
        <v>41865</v>
      </c>
      <c r="H39" s="1901">
        <v>42848</v>
      </c>
      <c r="I39" s="1902">
        <v>40904</v>
      </c>
      <c r="J39" s="1900">
        <v>42637</v>
      </c>
      <c r="K39" s="1903">
        <v>39474</v>
      </c>
      <c r="L39" s="1904">
        <v>41344</v>
      </c>
      <c r="M39" s="1905">
        <v>41207</v>
      </c>
      <c r="N39" s="1905">
        <v>43072</v>
      </c>
    </row>
    <row r="40" spans="1:14" ht="15" customHeight="1" x14ac:dyDescent="0.25">
      <c r="A40" s="1883"/>
      <c r="B40" s="1884"/>
      <c r="C40" s="1885"/>
      <c r="D40" s="1886"/>
      <c r="E40" s="1887"/>
      <c r="F40" s="1888"/>
      <c r="G40" s="1888"/>
      <c r="H40" s="1889"/>
      <c r="I40" s="1890"/>
      <c r="J40" s="1888"/>
      <c r="K40" s="1891"/>
      <c r="L40" s="1892"/>
      <c r="M40" s="1893"/>
      <c r="N40" s="1893"/>
    </row>
    <row r="41" spans="1:14" ht="15" customHeight="1" x14ac:dyDescent="0.25">
      <c r="A41" s="1883" t="s">
        <v>629</v>
      </c>
      <c r="B41" s="1884"/>
      <c r="C41" s="1885"/>
      <c r="D41" s="1886"/>
      <c r="E41" s="1887"/>
      <c r="F41" s="1888"/>
      <c r="G41" s="1888"/>
      <c r="H41" s="1889"/>
      <c r="I41" s="1890"/>
      <c r="J41" s="1888"/>
      <c r="K41" s="1891"/>
      <c r="L41" s="1892"/>
      <c r="M41" s="1893"/>
      <c r="N41" s="1893"/>
    </row>
    <row r="42" spans="1:14" ht="15" customHeight="1" x14ac:dyDescent="0.25">
      <c r="A42" s="1906" t="s">
        <v>630</v>
      </c>
      <c r="B42" s="1896">
        <v>207507</v>
      </c>
      <c r="C42" s="1897">
        <v>202955</v>
      </c>
      <c r="D42" s="1898">
        <v>200169</v>
      </c>
      <c r="E42" s="1899">
        <v>186202</v>
      </c>
      <c r="F42" s="1900">
        <v>181157</v>
      </c>
      <c r="G42" s="1900">
        <v>168136</v>
      </c>
      <c r="H42" s="1901">
        <v>169126</v>
      </c>
      <c r="I42" s="1902">
        <v>153580</v>
      </c>
      <c r="J42" s="1900">
        <v>142640</v>
      </c>
      <c r="K42" s="1903">
        <v>203550</v>
      </c>
      <c r="L42" s="1904">
        <v>172840</v>
      </c>
      <c r="M42" s="1905">
        <v>176199</v>
      </c>
      <c r="N42" s="1905">
        <v>141480</v>
      </c>
    </row>
    <row r="43" spans="1:14" ht="15" customHeight="1" x14ac:dyDescent="0.25">
      <c r="A43" s="1883"/>
      <c r="B43" s="1884"/>
      <c r="C43" s="1885"/>
      <c r="D43" s="1886"/>
      <c r="E43" s="1887"/>
      <c r="F43" s="1888"/>
      <c r="G43" s="1888"/>
      <c r="H43" s="1889"/>
      <c r="I43" s="1890"/>
      <c r="J43" s="1888"/>
      <c r="K43" s="1891"/>
      <c r="L43" s="1892"/>
      <c r="M43" s="1893"/>
      <c r="N43" s="1893"/>
    </row>
    <row r="44" spans="1:14" ht="15" customHeight="1" x14ac:dyDescent="0.25">
      <c r="A44" s="1883" t="s">
        <v>592</v>
      </c>
      <c r="B44" s="1896">
        <v>7733</v>
      </c>
      <c r="C44" s="1897">
        <v>7970</v>
      </c>
      <c r="D44" s="1898">
        <v>7946</v>
      </c>
      <c r="E44" s="1899">
        <v>7810</v>
      </c>
      <c r="F44" s="1900">
        <v>8287</v>
      </c>
      <c r="G44" s="1900">
        <v>8264</v>
      </c>
      <c r="H44" s="1901">
        <v>9802</v>
      </c>
      <c r="I44" s="1902">
        <v>10016</v>
      </c>
      <c r="J44" s="1900">
        <v>9567</v>
      </c>
      <c r="K44" s="1903">
        <v>7882</v>
      </c>
      <c r="L44" s="1904">
        <v>8788</v>
      </c>
      <c r="M44" s="1905">
        <v>8542</v>
      </c>
      <c r="N44" s="1905">
        <v>9398</v>
      </c>
    </row>
    <row r="45" spans="1:14" ht="15" customHeight="1" x14ac:dyDescent="0.25">
      <c r="A45" s="1883"/>
      <c r="B45" s="1884"/>
      <c r="C45" s="1885"/>
      <c r="D45" s="1886"/>
      <c r="E45" s="1887"/>
      <c r="F45" s="1888"/>
      <c r="G45" s="1888"/>
      <c r="H45" s="1889"/>
      <c r="I45" s="1890"/>
      <c r="J45" s="1888"/>
      <c r="K45" s="1891"/>
      <c r="L45" s="1892"/>
      <c r="M45" s="1893"/>
      <c r="N45" s="1893"/>
    </row>
    <row r="46" spans="1:14" ht="15" customHeight="1" x14ac:dyDescent="0.25">
      <c r="A46" s="1883" t="s">
        <v>331</v>
      </c>
      <c r="B46" s="1896">
        <v>115498</v>
      </c>
      <c r="C46" s="1897">
        <v>123797</v>
      </c>
      <c r="D46" s="1898">
        <v>124936</v>
      </c>
      <c r="E46" s="1899">
        <v>118791</v>
      </c>
      <c r="F46" s="1900">
        <v>120293</v>
      </c>
      <c r="G46" s="1900">
        <v>128464</v>
      </c>
      <c r="H46" s="1901">
        <v>138196</v>
      </c>
      <c r="I46" s="1902">
        <v>143635</v>
      </c>
      <c r="J46" s="1900">
        <v>140690</v>
      </c>
      <c r="K46" s="1903">
        <v>121521</v>
      </c>
      <c r="L46" s="1904">
        <v>129149</v>
      </c>
      <c r="M46" s="1905">
        <v>126634</v>
      </c>
      <c r="N46" s="1905">
        <v>143544</v>
      </c>
    </row>
    <row r="47" spans="1:14" ht="15" customHeight="1" x14ac:dyDescent="0.25">
      <c r="A47" s="1907"/>
      <c r="B47" s="1940"/>
      <c r="C47" s="1941"/>
      <c r="D47" s="1942"/>
      <c r="E47" s="1943"/>
      <c r="F47" s="1944"/>
      <c r="G47" s="1944"/>
      <c r="H47" s="1945"/>
      <c r="I47" s="1946"/>
      <c r="J47" s="1944"/>
      <c r="K47" s="1891"/>
      <c r="L47" s="1892"/>
      <c r="M47" s="1893"/>
      <c r="N47" s="1893"/>
    </row>
    <row r="48" spans="1:14" ht="15" customHeight="1" x14ac:dyDescent="0.25">
      <c r="A48" s="1947" t="s">
        <v>631</v>
      </c>
      <c r="B48" s="1948"/>
      <c r="C48" s="1949"/>
      <c r="D48" s="1950"/>
      <c r="E48" s="1951"/>
      <c r="F48" s="1952"/>
      <c r="G48" s="1952"/>
      <c r="H48" s="1953"/>
      <c r="I48" s="1954"/>
      <c r="J48" s="1952"/>
      <c r="K48" s="1955"/>
      <c r="L48" s="1956"/>
      <c r="M48" s="1952"/>
      <c r="N48" s="1952"/>
    </row>
    <row r="49" spans="1:14" ht="15" customHeight="1" x14ac:dyDescent="0.25">
      <c r="A49" s="1957" t="s">
        <v>632</v>
      </c>
      <c r="B49" s="1948"/>
      <c r="C49" s="1949"/>
      <c r="D49" s="1950"/>
      <c r="E49" s="1951"/>
      <c r="F49" s="1952"/>
      <c r="G49" s="1952"/>
      <c r="H49" s="1953"/>
      <c r="I49" s="1954"/>
      <c r="J49" s="1952"/>
      <c r="K49" s="1955"/>
      <c r="L49" s="1956"/>
      <c r="M49" s="1952"/>
      <c r="N49" s="1952"/>
    </row>
    <row r="50" spans="1:14" ht="15" customHeight="1" x14ac:dyDescent="0.25">
      <c r="A50" s="1958" t="s">
        <v>633</v>
      </c>
      <c r="B50" s="1896">
        <v>74972</v>
      </c>
      <c r="C50" s="1897">
        <v>74625</v>
      </c>
      <c r="D50" s="1898">
        <v>74077</v>
      </c>
      <c r="E50" s="1899">
        <v>73158</v>
      </c>
      <c r="F50" s="1900">
        <v>71651</v>
      </c>
      <c r="G50" s="1900">
        <v>70277</v>
      </c>
      <c r="H50" s="1901">
        <v>69372</v>
      </c>
      <c r="I50" s="1902">
        <v>68352</v>
      </c>
      <c r="J50" s="1900">
        <v>68494</v>
      </c>
      <c r="K50" s="1903">
        <v>74524</v>
      </c>
      <c r="L50" s="1959">
        <v>70512</v>
      </c>
      <c r="M50" s="1905">
        <v>71127</v>
      </c>
      <c r="N50" s="1905">
        <v>67400</v>
      </c>
    </row>
    <row r="51" spans="1:14" ht="15" customHeight="1" x14ac:dyDescent="0.25">
      <c r="A51" s="1895" t="s">
        <v>634</v>
      </c>
      <c r="B51" s="1896">
        <v>9168</v>
      </c>
      <c r="C51" s="1897">
        <v>10232</v>
      </c>
      <c r="D51" s="1898">
        <v>8794</v>
      </c>
      <c r="E51" s="1899">
        <v>8779</v>
      </c>
      <c r="F51" s="1900">
        <v>8779</v>
      </c>
      <c r="G51" s="1900">
        <v>8779</v>
      </c>
      <c r="H51" s="1901">
        <v>8174</v>
      </c>
      <c r="I51" s="1902">
        <v>8075</v>
      </c>
      <c r="J51" s="1900">
        <v>8075</v>
      </c>
      <c r="K51" s="1903">
        <v>9235</v>
      </c>
      <c r="L51" s="1904">
        <v>8576</v>
      </c>
      <c r="M51" s="1905">
        <v>8627</v>
      </c>
      <c r="N51" s="1905">
        <v>8075</v>
      </c>
    </row>
    <row r="52" spans="1:14" ht="15" customHeight="1" x14ac:dyDescent="0.25">
      <c r="A52" s="1895" t="s">
        <v>635</v>
      </c>
      <c r="B52" s="1896">
        <v>1644</v>
      </c>
      <c r="C52" s="1897">
        <v>1615</v>
      </c>
      <c r="D52" s="1898">
        <v>1699</v>
      </c>
      <c r="E52" s="1899">
        <v>1689</v>
      </c>
      <c r="F52" s="1900">
        <v>1705</v>
      </c>
      <c r="G52" s="1900">
        <v>1703</v>
      </c>
      <c r="H52" s="1901">
        <v>1723</v>
      </c>
      <c r="I52" s="1902">
        <v>1702</v>
      </c>
      <c r="J52" s="1900">
        <v>1638</v>
      </c>
      <c r="K52" s="1903">
        <v>1653</v>
      </c>
      <c r="L52" s="1959">
        <v>1709</v>
      </c>
      <c r="M52" s="1905">
        <v>1705</v>
      </c>
      <c r="N52" s="1905">
        <v>1621</v>
      </c>
    </row>
    <row r="53" spans="1:14" ht="15" customHeight="1" x14ac:dyDescent="0.25">
      <c r="A53" s="1895" t="s">
        <v>636</v>
      </c>
      <c r="B53" s="1896">
        <v>85784</v>
      </c>
      <c r="C53" s="1897">
        <v>86472</v>
      </c>
      <c r="D53" s="1898">
        <v>84570</v>
      </c>
      <c r="E53" s="1899">
        <v>83626</v>
      </c>
      <c r="F53" s="1900">
        <v>82135</v>
      </c>
      <c r="G53" s="1900">
        <v>80759</v>
      </c>
      <c r="H53" s="1901">
        <v>79269</v>
      </c>
      <c r="I53" s="1902">
        <v>78129</v>
      </c>
      <c r="J53" s="1900">
        <v>78207</v>
      </c>
      <c r="K53" s="1903">
        <v>85412</v>
      </c>
      <c r="L53" s="1959">
        <v>80797</v>
      </c>
      <c r="M53" s="1905">
        <v>81459</v>
      </c>
      <c r="N53" s="1905">
        <v>77096</v>
      </c>
    </row>
    <row r="54" spans="1:14" ht="15" customHeight="1" x14ac:dyDescent="0.3">
      <c r="A54" s="1960"/>
      <c r="B54" s="1961"/>
      <c r="C54" s="1962"/>
      <c r="D54" s="1963"/>
      <c r="E54" s="1964"/>
      <c r="F54" s="1965"/>
      <c r="G54" s="1965"/>
      <c r="H54" s="1966"/>
      <c r="I54" s="1967"/>
      <c r="J54" s="1965"/>
      <c r="K54" s="1968"/>
      <c r="L54" s="1969"/>
      <c r="M54" s="1970"/>
      <c r="N54" s="1970"/>
    </row>
    <row r="55" spans="1:14" ht="15" customHeight="1" x14ac:dyDescent="0.25">
      <c r="A55" s="1971" t="s">
        <v>637</v>
      </c>
      <c r="B55" s="1972">
        <v>1445858</v>
      </c>
      <c r="C55" s="1973">
        <v>1468310</v>
      </c>
      <c r="D55" s="1974">
        <v>1460615</v>
      </c>
      <c r="E55" s="1975">
        <v>1418795</v>
      </c>
      <c r="F55" s="1976">
        <v>1422740</v>
      </c>
      <c r="G55" s="1976">
        <v>1411181</v>
      </c>
      <c r="H55" s="1977">
        <v>1423337</v>
      </c>
      <c r="I55" s="1978">
        <v>1410124</v>
      </c>
      <c r="J55" s="1976">
        <v>1401783</v>
      </c>
      <c r="K55" s="1979">
        <v>1458099</v>
      </c>
      <c r="L55" s="1980">
        <v>1419395</v>
      </c>
      <c r="M55" s="1981">
        <v>1419284</v>
      </c>
      <c r="N55" s="1981">
        <v>1396092</v>
      </c>
    </row>
    <row r="56" spans="1:14" ht="15" customHeight="1" x14ac:dyDescent="0.25">
      <c r="A56" s="1982"/>
      <c r="B56" s="1983"/>
      <c r="C56" s="1983"/>
      <c r="D56" s="1984"/>
      <c r="E56" s="1983"/>
      <c r="F56" s="1983"/>
      <c r="G56" s="1983"/>
      <c r="H56" s="1983"/>
      <c r="I56" s="1983"/>
      <c r="J56" s="1983"/>
      <c r="K56" s="1985"/>
      <c r="L56" s="1985"/>
      <c r="M56" s="1985"/>
      <c r="N56" s="1985"/>
    </row>
    <row r="57" spans="1:14" ht="15" customHeight="1" x14ac:dyDescent="0.25">
      <c r="A57" s="3581" t="s">
        <v>638</v>
      </c>
      <c r="B57" s="3581" t="s">
        <v>14</v>
      </c>
      <c r="C57" s="3581" t="s">
        <v>14</v>
      </c>
      <c r="D57" s="3581" t="s">
        <v>14</v>
      </c>
      <c r="E57" s="3581" t="s">
        <v>14</v>
      </c>
      <c r="F57" s="3581" t="s">
        <v>14</v>
      </c>
      <c r="G57" s="3581" t="s">
        <v>14</v>
      </c>
      <c r="H57" s="3581" t="s">
        <v>14</v>
      </c>
      <c r="I57" s="3581" t="s">
        <v>14</v>
      </c>
      <c r="J57" s="3581" t="s">
        <v>14</v>
      </c>
      <c r="K57" s="3581" t="s">
        <v>14</v>
      </c>
      <c r="L57" s="3581" t="s">
        <v>14</v>
      </c>
      <c r="M57" s="3581" t="s">
        <v>14</v>
      </c>
      <c r="N57" s="3581" t="s">
        <v>14</v>
      </c>
    </row>
    <row r="58" spans="1:14" ht="8.1" customHeight="1" x14ac:dyDescent="0.25">
      <c r="A58" s="3582"/>
      <c r="B58" s="3582" t="s">
        <v>14</v>
      </c>
      <c r="C58" s="3582" t="s">
        <v>14</v>
      </c>
      <c r="D58" s="3582" t="s">
        <v>14</v>
      </c>
      <c r="E58" s="3582" t="s">
        <v>14</v>
      </c>
      <c r="F58" s="3582" t="s">
        <v>14</v>
      </c>
      <c r="G58" s="3582" t="s">
        <v>14</v>
      </c>
      <c r="H58" s="3582" t="s">
        <v>14</v>
      </c>
      <c r="I58" s="3582" t="s">
        <v>14</v>
      </c>
      <c r="J58" s="3582" t="s">
        <v>14</v>
      </c>
      <c r="K58" s="3582" t="s">
        <v>14</v>
      </c>
      <c r="L58" s="3582" t="s">
        <v>14</v>
      </c>
      <c r="M58" s="3582" t="s">
        <v>14</v>
      </c>
      <c r="N58" s="3582" t="s">
        <v>14</v>
      </c>
    </row>
    <row r="59" spans="1:14" ht="10.35" customHeight="1" x14ac:dyDescent="0.25">
      <c r="A59" s="1986"/>
      <c r="B59" s="1987"/>
      <c r="C59" s="1987"/>
      <c r="D59" s="1988"/>
      <c r="E59" s="1987"/>
      <c r="F59" s="1987"/>
      <c r="G59" s="1987"/>
      <c r="H59" s="1987"/>
      <c r="I59" s="1987"/>
      <c r="J59" s="1987"/>
      <c r="K59" s="1989"/>
      <c r="L59" s="1989"/>
      <c r="M59" s="1989"/>
      <c r="N59" s="1989"/>
    </row>
  </sheetData>
  <mergeCells count="8">
    <mergeCell ref="A57:N57"/>
    <mergeCell ref="A58:N58"/>
    <mergeCell ref="A2:N2"/>
    <mergeCell ref="B3:D3"/>
    <mergeCell ref="E3:H3"/>
    <mergeCell ref="I3:J3"/>
    <mergeCell ref="K3:L3"/>
    <mergeCell ref="M3:N3"/>
  </mergeCells>
  <hyperlinks>
    <hyperlink ref="A1" location="ToC!A2" display="Back to Table of Contents" xr:uid="{5389B888-19B0-4642-B2F1-6E870BFCDA33}"/>
  </hyperlinks>
  <pageMargins left="0.5" right="0.5" top="0.5" bottom="0.5" header="0.25" footer="0.25"/>
  <pageSetup scale="54" orientation="landscape" r:id="rId1"/>
  <headerFooter>
    <oddFooter>&amp;L&amp;G&amp;C&amp;"Scotia,Regular"&amp;9Supplementary Financial Information (SFI)&amp;R15&amp;"Scotia,Regular"&amp;7</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1922-996E-4D12-AE37-CC88F991023C}">
  <sheetPr>
    <pageSetUpPr fitToPage="1"/>
  </sheetPr>
  <dimension ref="A1:N47"/>
  <sheetViews>
    <sheetView showGridLines="0" zoomScaleNormal="100" workbookViewId="0"/>
  </sheetViews>
  <sheetFormatPr defaultColWidth="8.77734375" defaultRowHeight="13.2" x14ac:dyDescent="0.25"/>
  <cols>
    <col min="1" max="1" width="81" style="22" customWidth="1"/>
    <col min="2" max="14" width="11.77734375" style="22" customWidth="1"/>
    <col min="15" max="16384" width="8.77734375" style="22"/>
  </cols>
  <sheetData>
    <row r="1" spans="1:14" ht="19.95" customHeight="1" x14ac:dyDescent="0.25">
      <c r="A1" s="21" t="s">
        <v>12</v>
      </c>
    </row>
    <row r="2" spans="1:14" ht="25.05" customHeight="1" x14ac:dyDescent="0.25">
      <c r="A2" s="3554" t="s">
        <v>639</v>
      </c>
      <c r="B2" s="3554" t="s">
        <v>14</v>
      </c>
      <c r="C2" s="3554" t="s">
        <v>14</v>
      </c>
      <c r="D2" s="3554" t="s">
        <v>14</v>
      </c>
      <c r="E2" s="3554" t="s">
        <v>14</v>
      </c>
      <c r="F2" s="3554" t="s">
        <v>14</v>
      </c>
      <c r="G2" s="3554" t="s">
        <v>14</v>
      </c>
      <c r="H2" s="3554" t="s">
        <v>14</v>
      </c>
      <c r="I2" s="3554" t="s">
        <v>14</v>
      </c>
      <c r="J2" s="3554" t="s">
        <v>14</v>
      </c>
      <c r="K2" s="3554" t="s">
        <v>14</v>
      </c>
      <c r="L2" s="3554" t="s">
        <v>14</v>
      </c>
      <c r="M2" s="3554" t="s">
        <v>14</v>
      </c>
      <c r="N2" s="3554" t="s">
        <v>14</v>
      </c>
    </row>
    <row r="3" spans="1:14" ht="20.100000000000001" customHeight="1" x14ac:dyDescent="0.25">
      <c r="A3" s="1990"/>
      <c r="B3" s="3592" t="s">
        <v>172</v>
      </c>
      <c r="C3" s="3592" t="s">
        <v>14</v>
      </c>
      <c r="D3" s="3593" t="s">
        <v>14</v>
      </c>
      <c r="E3" s="3594" t="s">
        <v>343</v>
      </c>
      <c r="F3" s="3595" t="s">
        <v>14</v>
      </c>
      <c r="G3" s="3595" t="s">
        <v>14</v>
      </c>
      <c r="H3" s="3596" t="s">
        <v>14</v>
      </c>
      <c r="I3" s="3597" t="s">
        <v>344</v>
      </c>
      <c r="J3" s="3595" t="s">
        <v>14</v>
      </c>
      <c r="K3" s="3598" t="s">
        <v>173</v>
      </c>
      <c r="L3" s="3599" t="s">
        <v>14</v>
      </c>
      <c r="M3" s="3595" t="s">
        <v>415</v>
      </c>
      <c r="N3" s="3595" t="s">
        <v>14</v>
      </c>
    </row>
    <row r="4" spans="1:14" ht="20.100000000000001" customHeight="1" x14ac:dyDescent="0.25">
      <c r="A4" s="1991" t="s">
        <v>558</v>
      </c>
      <c r="B4" s="1992" t="s">
        <v>176</v>
      </c>
      <c r="C4" s="1993" t="s">
        <v>177</v>
      </c>
      <c r="D4" s="1994" t="s">
        <v>178</v>
      </c>
      <c r="E4" s="1995" t="s">
        <v>179</v>
      </c>
      <c r="F4" s="1993" t="s">
        <v>180</v>
      </c>
      <c r="G4" s="1993" t="s">
        <v>177</v>
      </c>
      <c r="H4" s="1996" t="s">
        <v>178</v>
      </c>
      <c r="I4" s="1997" t="s">
        <v>179</v>
      </c>
      <c r="J4" s="1998" t="s">
        <v>180</v>
      </c>
      <c r="K4" s="1999" t="s">
        <v>181</v>
      </c>
      <c r="L4" s="2000" t="s">
        <v>343</v>
      </c>
      <c r="M4" s="1998" t="s">
        <v>343</v>
      </c>
      <c r="N4" s="1993" t="s">
        <v>344</v>
      </c>
    </row>
    <row r="5" spans="1:14" ht="20.100000000000001" customHeight="1" x14ac:dyDescent="0.25">
      <c r="A5" s="2001" t="s">
        <v>640</v>
      </c>
      <c r="B5" s="2002"/>
      <c r="C5" s="2003"/>
      <c r="D5" s="2004"/>
      <c r="E5" s="2005"/>
      <c r="F5" s="2003"/>
      <c r="G5" s="2002"/>
      <c r="H5" s="2006"/>
      <c r="I5" s="2007"/>
      <c r="J5" s="2008"/>
      <c r="K5" s="2007"/>
      <c r="L5" s="2009"/>
      <c r="M5" s="2008"/>
      <c r="N5" s="2008"/>
    </row>
    <row r="6" spans="1:14" ht="20.100000000000001" customHeight="1" x14ac:dyDescent="0.25">
      <c r="A6" s="2010" t="s">
        <v>641</v>
      </c>
      <c r="B6" s="2011">
        <v>22138</v>
      </c>
      <c r="C6" s="2012">
        <v>22136</v>
      </c>
      <c r="D6" s="2013">
        <v>22054</v>
      </c>
      <c r="E6" s="2014">
        <v>21549</v>
      </c>
      <c r="F6" s="2012">
        <v>21066</v>
      </c>
      <c r="G6" s="2012">
        <v>20599</v>
      </c>
      <c r="H6" s="2015">
        <v>20109</v>
      </c>
      <c r="I6" s="2016">
        <v>19627</v>
      </c>
      <c r="J6" s="2017">
        <v>19160</v>
      </c>
      <c r="K6" s="2018">
        <v>22054</v>
      </c>
      <c r="L6" s="2019">
        <v>20109</v>
      </c>
      <c r="M6" s="2017">
        <v>20109</v>
      </c>
      <c r="N6" s="2017">
        <v>18707</v>
      </c>
    </row>
    <row r="7" spans="1:14" ht="20.100000000000001" customHeight="1" x14ac:dyDescent="0.25">
      <c r="A7" s="2010" t="s">
        <v>642</v>
      </c>
      <c r="B7" s="2011">
        <v>-49</v>
      </c>
      <c r="C7" s="2012">
        <v>2</v>
      </c>
      <c r="D7" s="2013">
        <v>82</v>
      </c>
      <c r="E7" s="2014">
        <v>505</v>
      </c>
      <c r="F7" s="2012">
        <v>483</v>
      </c>
      <c r="G7" s="2012">
        <v>467</v>
      </c>
      <c r="H7" s="2015">
        <v>490</v>
      </c>
      <c r="I7" s="2016">
        <v>482</v>
      </c>
      <c r="J7" s="2017">
        <v>467</v>
      </c>
      <c r="K7" s="2020">
        <v>35</v>
      </c>
      <c r="L7" s="2019">
        <v>1440</v>
      </c>
      <c r="M7" s="2017">
        <v>1945</v>
      </c>
      <c r="N7" s="2017">
        <v>1402</v>
      </c>
    </row>
    <row r="8" spans="1:14" ht="20.100000000000001" customHeight="1" x14ac:dyDescent="0.25">
      <c r="A8" s="2021" t="s">
        <v>643</v>
      </c>
      <c r="B8" s="2011">
        <v>22089</v>
      </c>
      <c r="C8" s="2012">
        <v>22138</v>
      </c>
      <c r="D8" s="2022">
        <v>22136</v>
      </c>
      <c r="E8" s="2014">
        <v>22054</v>
      </c>
      <c r="F8" s="2012">
        <v>21549</v>
      </c>
      <c r="G8" s="2012">
        <v>21066</v>
      </c>
      <c r="H8" s="2023">
        <v>20599</v>
      </c>
      <c r="I8" s="2016">
        <v>20109</v>
      </c>
      <c r="J8" s="2017">
        <v>19627</v>
      </c>
      <c r="K8" s="2024">
        <v>22089</v>
      </c>
      <c r="L8" s="2025">
        <v>21549</v>
      </c>
      <c r="M8" s="2012">
        <v>22054</v>
      </c>
      <c r="N8" s="2012">
        <v>20109</v>
      </c>
    </row>
    <row r="9" spans="1:14" ht="20.100000000000001" customHeight="1" x14ac:dyDescent="0.25">
      <c r="A9" s="2021"/>
      <c r="B9" s="2011"/>
      <c r="C9" s="2012"/>
      <c r="D9" s="2022"/>
      <c r="E9" s="2026"/>
      <c r="F9" s="2012"/>
      <c r="G9" s="2012"/>
      <c r="H9" s="2023"/>
      <c r="I9" s="2016"/>
      <c r="J9" s="2017"/>
      <c r="K9" s="2024"/>
      <c r="L9" s="2025"/>
      <c r="M9" s="2012"/>
      <c r="N9" s="2012"/>
    </row>
    <row r="10" spans="1:14" ht="20.100000000000001" customHeight="1" x14ac:dyDescent="0.25">
      <c r="A10" s="2027" t="s">
        <v>644</v>
      </c>
      <c r="B10" s="2011"/>
      <c r="C10" s="2012"/>
      <c r="D10" s="2013"/>
      <c r="E10" s="2026"/>
      <c r="F10" s="2012"/>
      <c r="G10" s="2012"/>
      <c r="H10" s="2015"/>
      <c r="I10" s="2016"/>
      <c r="J10" s="2017"/>
      <c r="K10" s="2018"/>
      <c r="L10" s="2019"/>
      <c r="M10" s="2017"/>
      <c r="N10" s="2017"/>
    </row>
    <row r="11" spans="1:14" ht="20.100000000000001" customHeight="1" x14ac:dyDescent="0.25">
      <c r="A11" s="2010" t="s">
        <v>645</v>
      </c>
      <c r="B11" s="2011">
        <v>57965</v>
      </c>
      <c r="C11" s="2012">
        <v>57445</v>
      </c>
      <c r="D11" s="2013">
        <v>57751</v>
      </c>
      <c r="E11" s="2014">
        <v>57541</v>
      </c>
      <c r="F11" s="2012">
        <v>57081</v>
      </c>
      <c r="G11" s="2012">
        <v>56443</v>
      </c>
      <c r="H11" s="2015">
        <v>55673</v>
      </c>
      <c r="I11" s="2016">
        <v>55741</v>
      </c>
      <c r="J11" s="2017">
        <v>54944</v>
      </c>
      <c r="K11" s="2018">
        <v>57751</v>
      </c>
      <c r="L11" s="2019">
        <v>55673</v>
      </c>
      <c r="M11" s="2017">
        <v>55673</v>
      </c>
      <c r="N11" s="2017">
        <v>53761</v>
      </c>
    </row>
    <row r="12" spans="1:14" ht="20.100000000000001" customHeight="1" x14ac:dyDescent="0.25">
      <c r="A12" s="2010" t="s">
        <v>646</v>
      </c>
      <c r="B12" s="2011">
        <v>0</v>
      </c>
      <c r="C12" s="2012">
        <v>0</v>
      </c>
      <c r="D12" s="2013">
        <v>0</v>
      </c>
      <c r="E12" s="2014">
        <v>0</v>
      </c>
      <c r="F12" s="2012">
        <v>0</v>
      </c>
      <c r="G12" s="2012">
        <v>0</v>
      </c>
      <c r="H12" s="2015">
        <v>0</v>
      </c>
      <c r="I12" s="2016">
        <v>0</v>
      </c>
      <c r="J12" s="2017">
        <v>0</v>
      </c>
      <c r="K12" s="2018">
        <v>0</v>
      </c>
      <c r="L12" s="2019">
        <v>0</v>
      </c>
      <c r="M12" s="2017">
        <v>0</v>
      </c>
      <c r="N12" s="2017">
        <v>-1</v>
      </c>
    </row>
    <row r="13" spans="1:14" ht="20.100000000000001" customHeight="1" x14ac:dyDescent="0.25">
      <c r="A13" s="2010" t="s">
        <v>647</v>
      </c>
      <c r="B13" s="2011">
        <v>57965</v>
      </c>
      <c r="C13" s="2012">
        <v>57445</v>
      </c>
      <c r="D13" s="2013">
        <v>57751</v>
      </c>
      <c r="E13" s="2014">
        <v>57541</v>
      </c>
      <c r="F13" s="2012">
        <v>57081</v>
      </c>
      <c r="G13" s="2012">
        <v>56443</v>
      </c>
      <c r="H13" s="2015">
        <v>55673</v>
      </c>
      <c r="I13" s="2016">
        <v>55741</v>
      </c>
      <c r="J13" s="2017">
        <v>54944</v>
      </c>
      <c r="K13" s="2018">
        <v>57751</v>
      </c>
      <c r="L13" s="2019">
        <v>55673</v>
      </c>
      <c r="M13" s="2017">
        <v>55673</v>
      </c>
      <c r="N13" s="2017">
        <v>53760</v>
      </c>
    </row>
    <row r="14" spans="1:14" ht="20.100000000000001" customHeight="1" x14ac:dyDescent="0.25">
      <c r="A14" s="2010" t="s">
        <v>648</v>
      </c>
      <c r="B14" s="2028">
        <v>2313</v>
      </c>
      <c r="C14" s="2012">
        <v>1841</v>
      </c>
      <c r="D14" s="2013">
        <v>1025</v>
      </c>
      <c r="E14" s="2014">
        <v>1521</v>
      </c>
      <c r="F14" s="2012">
        <v>1756</v>
      </c>
      <c r="G14" s="2012">
        <v>1943</v>
      </c>
      <c r="H14" s="2015">
        <v>2066</v>
      </c>
      <c r="I14" s="2016">
        <v>1214</v>
      </c>
      <c r="J14" s="2017">
        <v>2067</v>
      </c>
      <c r="K14" s="2029">
        <v>5179</v>
      </c>
      <c r="L14" s="2019">
        <v>5765</v>
      </c>
      <c r="M14" s="2017">
        <v>7286</v>
      </c>
      <c r="N14" s="2017">
        <v>6919</v>
      </c>
    </row>
    <row r="15" spans="1:14" ht="20.100000000000001" customHeight="1" x14ac:dyDescent="0.25">
      <c r="A15" s="2010" t="s">
        <v>649</v>
      </c>
      <c r="B15" s="2011">
        <v>-1367</v>
      </c>
      <c r="C15" s="2012">
        <v>-1321</v>
      </c>
      <c r="D15" s="2013">
        <v>-1320</v>
      </c>
      <c r="E15" s="2014">
        <v>-1312</v>
      </c>
      <c r="F15" s="2012">
        <v>-1304</v>
      </c>
      <c r="G15" s="2012">
        <v>-1295</v>
      </c>
      <c r="H15" s="2015">
        <v>-1287</v>
      </c>
      <c r="I15" s="2016">
        <v>-1278</v>
      </c>
      <c r="J15" s="2017">
        <v>-1270</v>
      </c>
      <c r="K15" s="2029">
        <v>-4008</v>
      </c>
      <c r="L15" s="2019">
        <v>-3886</v>
      </c>
      <c r="M15" s="2017">
        <v>-5198</v>
      </c>
      <c r="N15" s="2017">
        <v>-5003</v>
      </c>
    </row>
    <row r="16" spans="1:14" ht="20.100000000000001" customHeight="1" x14ac:dyDescent="0.25">
      <c r="A16" s="2010" t="s">
        <v>650</v>
      </c>
      <c r="B16" s="2011">
        <v>-186</v>
      </c>
      <c r="C16" s="2012">
        <v>0</v>
      </c>
      <c r="D16" s="2013">
        <v>0</v>
      </c>
      <c r="E16" s="2014">
        <v>0</v>
      </c>
      <c r="F16" s="2012">
        <v>0</v>
      </c>
      <c r="G16" s="2012">
        <v>0</v>
      </c>
      <c r="H16" s="2015">
        <v>0</v>
      </c>
      <c r="I16" s="2016">
        <v>0</v>
      </c>
      <c r="J16" s="2017">
        <v>0</v>
      </c>
      <c r="K16" s="2029">
        <v>-186</v>
      </c>
      <c r="L16" s="2019">
        <v>0</v>
      </c>
      <c r="M16" s="2017">
        <v>0</v>
      </c>
      <c r="N16" s="2017">
        <v>0</v>
      </c>
    </row>
    <row r="17" spans="1:14" ht="20.100000000000001" customHeight="1" x14ac:dyDescent="0.25">
      <c r="A17" s="2010" t="s">
        <v>651</v>
      </c>
      <c r="B17" s="2011">
        <v>-22</v>
      </c>
      <c r="C17" s="2012">
        <v>0</v>
      </c>
      <c r="D17" s="2013">
        <v>0</v>
      </c>
      <c r="E17" s="2014">
        <v>0</v>
      </c>
      <c r="F17" s="2012">
        <v>0</v>
      </c>
      <c r="G17" s="2012">
        <v>0</v>
      </c>
      <c r="H17" s="2015">
        <v>0</v>
      </c>
      <c r="I17" s="2016">
        <v>0</v>
      </c>
      <c r="J17" s="2017">
        <v>0</v>
      </c>
      <c r="K17" s="2029">
        <v>-22</v>
      </c>
      <c r="L17" s="2019">
        <v>0</v>
      </c>
      <c r="M17" s="2017">
        <v>0</v>
      </c>
      <c r="N17" s="2017">
        <v>0</v>
      </c>
    </row>
    <row r="18" spans="1:14" ht="20.100000000000001" customHeight="1" x14ac:dyDescent="0.25">
      <c r="A18" s="2010" t="s">
        <v>652</v>
      </c>
      <c r="B18" s="2011">
        <v>0</v>
      </c>
      <c r="C18" s="2012">
        <v>0</v>
      </c>
      <c r="D18" s="2013">
        <v>-11</v>
      </c>
      <c r="E18" s="2014">
        <v>1</v>
      </c>
      <c r="F18" s="2012">
        <v>8</v>
      </c>
      <c r="G18" s="2012">
        <v>-10</v>
      </c>
      <c r="H18" s="2015">
        <v>-9</v>
      </c>
      <c r="I18" s="2016">
        <v>-4</v>
      </c>
      <c r="J18" s="2017">
        <v>0</v>
      </c>
      <c r="K18" s="2029">
        <v>-11</v>
      </c>
      <c r="L18" s="2019">
        <v>-11</v>
      </c>
      <c r="M18" s="2017">
        <v>-10</v>
      </c>
      <c r="N18" s="2017">
        <v>-3</v>
      </c>
    </row>
    <row r="19" spans="1:14" ht="20.100000000000001" customHeight="1" x14ac:dyDescent="0.25">
      <c r="A19" s="2021" t="s">
        <v>643</v>
      </c>
      <c r="B19" s="2011">
        <v>58703</v>
      </c>
      <c r="C19" s="2012">
        <v>57965</v>
      </c>
      <c r="D19" s="2022">
        <v>57445</v>
      </c>
      <c r="E19" s="2014">
        <v>57751</v>
      </c>
      <c r="F19" s="2012">
        <v>57541</v>
      </c>
      <c r="G19" s="2012">
        <v>57081</v>
      </c>
      <c r="H19" s="2023">
        <v>56443</v>
      </c>
      <c r="I19" s="2016">
        <v>55673</v>
      </c>
      <c r="J19" s="2017">
        <v>55741</v>
      </c>
      <c r="K19" s="2018">
        <v>58703</v>
      </c>
      <c r="L19" s="2025">
        <v>57541</v>
      </c>
      <c r="M19" s="2012">
        <v>57751</v>
      </c>
      <c r="N19" s="2012">
        <v>55673</v>
      </c>
    </row>
    <row r="20" spans="1:14" ht="20.100000000000001" customHeight="1" x14ac:dyDescent="0.25">
      <c r="A20" s="2021"/>
      <c r="B20" s="2011"/>
      <c r="C20" s="2012"/>
      <c r="D20" s="2022"/>
      <c r="E20" s="2026"/>
      <c r="F20" s="2012"/>
      <c r="G20" s="2012"/>
      <c r="H20" s="2023"/>
      <c r="I20" s="2016"/>
      <c r="J20" s="2017"/>
      <c r="K20" s="2024"/>
      <c r="L20" s="2025"/>
      <c r="M20" s="2012"/>
      <c r="N20" s="2012"/>
    </row>
    <row r="21" spans="1:14" ht="20.100000000000001" customHeight="1" x14ac:dyDescent="0.25">
      <c r="A21" s="2027" t="s">
        <v>653</v>
      </c>
      <c r="B21" s="2011"/>
      <c r="C21" s="2012"/>
      <c r="D21" s="2013"/>
      <c r="E21" s="2026"/>
      <c r="F21" s="2012"/>
      <c r="G21" s="2012"/>
      <c r="H21" s="2015"/>
      <c r="I21" s="2016"/>
      <c r="J21" s="2017"/>
      <c r="K21" s="2030"/>
      <c r="L21" s="2019"/>
      <c r="M21" s="2017"/>
      <c r="N21" s="2017"/>
    </row>
    <row r="22" spans="1:14" ht="20.100000000000001" customHeight="1" x14ac:dyDescent="0.25">
      <c r="A22" s="2010" t="s">
        <v>645</v>
      </c>
      <c r="B22" s="2011">
        <v>-5191</v>
      </c>
      <c r="C22" s="2012">
        <v>-4789</v>
      </c>
      <c r="D22" s="2013">
        <v>-6147</v>
      </c>
      <c r="E22" s="2014">
        <v>-6298</v>
      </c>
      <c r="F22" s="2012">
        <v>-7502</v>
      </c>
      <c r="G22" s="2012">
        <v>-6998</v>
      </c>
      <c r="H22" s="2015">
        <v>-6931</v>
      </c>
      <c r="I22" s="2016">
        <v>-7343</v>
      </c>
      <c r="J22" s="2017">
        <v>-4909</v>
      </c>
      <c r="K22" s="2030">
        <v>-6147</v>
      </c>
      <c r="L22" s="2019">
        <v>-6931</v>
      </c>
      <c r="M22" s="2017">
        <v>-6931</v>
      </c>
      <c r="N22" s="2017">
        <v>-7166</v>
      </c>
    </row>
    <row r="23" spans="1:14" ht="20.100000000000001" customHeight="1" x14ac:dyDescent="0.25">
      <c r="A23" s="2010" t="s">
        <v>654</v>
      </c>
      <c r="B23" s="2011">
        <v>-119</v>
      </c>
      <c r="C23" s="2012">
        <v>-402</v>
      </c>
      <c r="D23" s="2013">
        <v>1358</v>
      </c>
      <c r="E23" s="2014">
        <v>151</v>
      </c>
      <c r="F23" s="2012">
        <v>1204</v>
      </c>
      <c r="G23" s="2012">
        <v>-504</v>
      </c>
      <c r="H23" s="2015">
        <v>-67</v>
      </c>
      <c r="I23" s="2016">
        <v>412</v>
      </c>
      <c r="J23" s="2017">
        <v>-2434</v>
      </c>
      <c r="K23" s="2029">
        <v>837</v>
      </c>
      <c r="L23" s="2019">
        <v>633</v>
      </c>
      <c r="M23" s="2017">
        <v>784</v>
      </c>
      <c r="N23" s="2017">
        <v>235</v>
      </c>
    </row>
    <row r="24" spans="1:14" ht="20.100000000000001" customHeight="1" x14ac:dyDescent="0.25">
      <c r="A24" s="2031" t="s">
        <v>655</v>
      </c>
      <c r="B24" s="2011">
        <v>159</v>
      </c>
      <c r="C24" s="2012">
        <v>-1370</v>
      </c>
      <c r="D24" s="2013">
        <v>1078</v>
      </c>
      <c r="E24" s="2014">
        <v>-463</v>
      </c>
      <c r="F24" s="2012">
        <v>-514</v>
      </c>
      <c r="G24" s="2012">
        <v>443</v>
      </c>
      <c r="H24" s="2015">
        <v>-1270</v>
      </c>
      <c r="I24" s="2016">
        <v>379</v>
      </c>
      <c r="J24" s="2017">
        <v>-812</v>
      </c>
      <c r="K24" s="2029">
        <v>-133</v>
      </c>
      <c r="L24" s="2019">
        <v>-1341</v>
      </c>
      <c r="M24" s="2017">
        <v>-1804</v>
      </c>
      <c r="N24" s="2017">
        <v>723</v>
      </c>
    </row>
    <row r="25" spans="1:14" ht="20.100000000000001" customHeight="1" x14ac:dyDescent="0.25">
      <c r="A25" s="2031" t="s">
        <v>656</v>
      </c>
      <c r="B25" s="2011">
        <v>187</v>
      </c>
      <c r="C25" s="2012">
        <v>84</v>
      </c>
      <c r="D25" s="2013">
        <v>24</v>
      </c>
      <c r="E25" s="2014">
        <v>-39</v>
      </c>
      <c r="F25" s="2012">
        <v>253</v>
      </c>
      <c r="G25" s="2012">
        <v>-207</v>
      </c>
      <c r="H25" s="2015">
        <v>606</v>
      </c>
      <c r="I25" s="2016">
        <v>-257</v>
      </c>
      <c r="J25" s="2017">
        <v>101</v>
      </c>
      <c r="K25" s="2029">
        <v>295</v>
      </c>
      <c r="L25" s="2019">
        <v>652</v>
      </c>
      <c r="M25" s="2017">
        <v>613</v>
      </c>
      <c r="N25" s="2017">
        <v>378</v>
      </c>
    </row>
    <row r="26" spans="1:14" ht="20.100000000000001" customHeight="1" x14ac:dyDescent="0.25">
      <c r="A26" s="2031" t="s">
        <v>657</v>
      </c>
      <c r="B26" s="2011">
        <v>21</v>
      </c>
      <c r="C26" s="2012">
        <v>14</v>
      </c>
      <c r="D26" s="2013">
        <v>15</v>
      </c>
      <c r="E26" s="2014">
        <v>86</v>
      </c>
      <c r="F26" s="2012">
        <v>86</v>
      </c>
      <c r="G26" s="2012">
        <v>-13</v>
      </c>
      <c r="H26" s="2015">
        <v>166</v>
      </c>
      <c r="I26" s="2016">
        <v>-87</v>
      </c>
      <c r="J26" s="2017">
        <v>-158</v>
      </c>
      <c r="K26" s="2029">
        <v>50</v>
      </c>
      <c r="L26" s="2019">
        <v>239</v>
      </c>
      <c r="M26" s="2017">
        <v>325</v>
      </c>
      <c r="N26" s="2017">
        <v>-202</v>
      </c>
    </row>
    <row r="27" spans="1:14" ht="20.100000000000001" customHeight="1" x14ac:dyDescent="0.25">
      <c r="A27" s="2031" t="s">
        <v>658</v>
      </c>
      <c r="B27" s="2011">
        <v>-362</v>
      </c>
      <c r="C27" s="2012">
        <v>569</v>
      </c>
      <c r="D27" s="2013">
        <v>337</v>
      </c>
      <c r="E27" s="2014">
        <v>656</v>
      </c>
      <c r="F27" s="2012">
        <v>1201</v>
      </c>
      <c r="G27" s="2012">
        <v>-592</v>
      </c>
      <c r="H27" s="2015">
        <v>1083</v>
      </c>
      <c r="I27" s="2016">
        <v>217</v>
      </c>
      <c r="J27" s="2017">
        <v>-415</v>
      </c>
      <c r="K27" s="2029">
        <v>544</v>
      </c>
      <c r="L27" s="2019">
        <v>1692</v>
      </c>
      <c r="M27" s="2017">
        <v>2348</v>
      </c>
      <c r="N27" s="2017">
        <v>241</v>
      </c>
    </row>
    <row r="28" spans="1:14" ht="20.100000000000001" customHeight="1" x14ac:dyDescent="0.25">
      <c r="A28" s="2031" t="s">
        <v>483</v>
      </c>
      <c r="B28" s="2011">
        <v>-124</v>
      </c>
      <c r="C28" s="2012">
        <v>301</v>
      </c>
      <c r="D28" s="2013">
        <v>-96</v>
      </c>
      <c r="E28" s="2014">
        <v>-89</v>
      </c>
      <c r="F28" s="2012">
        <v>178</v>
      </c>
      <c r="G28" s="2012">
        <v>-135</v>
      </c>
      <c r="H28" s="2015">
        <v>-652</v>
      </c>
      <c r="I28" s="2016">
        <v>160</v>
      </c>
      <c r="J28" s="2017">
        <v>-1150</v>
      </c>
      <c r="K28" s="2029">
        <v>81</v>
      </c>
      <c r="L28" s="2019">
        <v>-609</v>
      </c>
      <c r="M28" s="2017">
        <v>-698</v>
      </c>
      <c r="N28" s="2017">
        <v>-905</v>
      </c>
    </row>
    <row r="29" spans="1:14" ht="20.100000000000001" customHeight="1" x14ac:dyDescent="0.25">
      <c r="A29" s="2021" t="s">
        <v>643</v>
      </c>
      <c r="B29" s="2011">
        <v>-5310</v>
      </c>
      <c r="C29" s="2012">
        <v>-5191</v>
      </c>
      <c r="D29" s="2022">
        <v>-4789</v>
      </c>
      <c r="E29" s="2014">
        <v>-6147</v>
      </c>
      <c r="F29" s="2012">
        <v>-6298</v>
      </c>
      <c r="G29" s="2012">
        <v>-7502</v>
      </c>
      <c r="H29" s="2023">
        <v>-6998</v>
      </c>
      <c r="I29" s="2016">
        <v>-6931</v>
      </c>
      <c r="J29" s="2017">
        <v>-7343</v>
      </c>
      <c r="K29" s="2024">
        <v>-5310</v>
      </c>
      <c r="L29" s="2025">
        <v>-6298</v>
      </c>
      <c r="M29" s="2012">
        <v>-6147</v>
      </c>
      <c r="N29" s="2012">
        <v>-6931</v>
      </c>
    </row>
    <row r="30" spans="1:14" ht="20.100000000000001" customHeight="1" x14ac:dyDescent="0.25">
      <c r="A30" s="2021"/>
      <c r="B30" s="2011"/>
      <c r="C30" s="2012"/>
      <c r="D30" s="2022"/>
      <c r="E30" s="2026"/>
      <c r="F30" s="2012"/>
      <c r="G30" s="2012"/>
      <c r="H30" s="2023"/>
      <c r="I30" s="2016"/>
      <c r="J30" s="2017"/>
      <c r="K30" s="2024"/>
      <c r="L30" s="2025"/>
      <c r="M30" s="2012"/>
      <c r="N30" s="2012"/>
    </row>
    <row r="31" spans="1:14" ht="20.100000000000001" customHeight="1" x14ac:dyDescent="0.25">
      <c r="A31" s="2027" t="s">
        <v>659</v>
      </c>
      <c r="B31" s="2011"/>
      <c r="C31" s="2012"/>
      <c r="D31" s="2013"/>
      <c r="E31" s="2026"/>
      <c r="F31" s="2012"/>
      <c r="G31" s="2012"/>
      <c r="H31" s="2015"/>
      <c r="I31" s="2016"/>
      <c r="J31" s="2017"/>
      <c r="K31" s="2030"/>
      <c r="L31" s="2019"/>
      <c r="M31" s="2017"/>
      <c r="N31" s="2017"/>
    </row>
    <row r="32" spans="1:14" ht="20.100000000000001" customHeight="1" x14ac:dyDescent="0.25">
      <c r="A32" s="2010" t="s">
        <v>645</v>
      </c>
      <c r="B32" s="2011">
        <v>-226</v>
      </c>
      <c r="C32" s="2012">
        <v>-229</v>
      </c>
      <c r="D32" s="2013">
        <v>-68</v>
      </c>
      <c r="E32" s="2014">
        <v>-67</v>
      </c>
      <c r="F32" s="2012">
        <v>-68</v>
      </c>
      <c r="G32" s="2012">
        <v>-67</v>
      </c>
      <c r="H32" s="2015">
        <v>-84</v>
      </c>
      <c r="I32" s="2016">
        <v>-88</v>
      </c>
      <c r="J32" s="2017">
        <v>-144</v>
      </c>
      <c r="K32" s="2030">
        <v>-68</v>
      </c>
      <c r="L32" s="2019">
        <v>-84</v>
      </c>
      <c r="M32" s="2017">
        <v>-84</v>
      </c>
      <c r="N32" s="2017">
        <v>-152</v>
      </c>
    </row>
    <row r="33" spans="1:14" ht="20.100000000000001" customHeight="1" x14ac:dyDescent="0.25">
      <c r="A33" s="2010" t="s">
        <v>660</v>
      </c>
      <c r="B33" s="2011">
        <v>2</v>
      </c>
      <c r="C33" s="2012">
        <v>3</v>
      </c>
      <c r="D33" s="2013">
        <v>8</v>
      </c>
      <c r="E33" s="2014">
        <v>2</v>
      </c>
      <c r="F33" s="2012">
        <v>1</v>
      </c>
      <c r="G33" s="2012">
        <v>0</v>
      </c>
      <c r="H33" s="2015">
        <v>10</v>
      </c>
      <c r="I33" s="2016">
        <v>2</v>
      </c>
      <c r="J33" s="2017">
        <v>1</v>
      </c>
      <c r="K33" s="2029">
        <v>13</v>
      </c>
      <c r="L33" s="2019">
        <v>11</v>
      </c>
      <c r="M33" s="2017">
        <v>13</v>
      </c>
      <c r="N33" s="2017">
        <v>14</v>
      </c>
    </row>
    <row r="34" spans="1:14" ht="20.100000000000001" customHeight="1" x14ac:dyDescent="0.25">
      <c r="A34" s="2010" t="s">
        <v>661</v>
      </c>
      <c r="B34" s="2011">
        <v>-1</v>
      </c>
      <c r="C34" s="2012">
        <v>0</v>
      </c>
      <c r="D34" s="2013">
        <v>-5</v>
      </c>
      <c r="E34" s="2014">
        <v>-3</v>
      </c>
      <c r="F34" s="2012">
        <v>0</v>
      </c>
      <c r="G34" s="2012">
        <v>-1</v>
      </c>
      <c r="H34" s="2015">
        <v>0</v>
      </c>
      <c r="I34" s="2016">
        <v>0</v>
      </c>
      <c r="J34" s="2017">
        <v>0</v>
      </c>
      <c r="K34" s="2029">
        <v>-6</v>
      </c>
      <c r="L34" s="2019">
        <v>-1</v>
      </c>
      <c r="M34" s="2017">
        <v>-4</v>
      </c>
      <c r="N34" s="2017">
        <v>-3</v>
      </c>
    </row>
    <row r="35" spans="1:14" ht="20.100000000000001" customHeight="1" x14ac:dyDescent="0.25">
      <c r="A35" s="2010" t="s">
        <v>483</v>
      </c>
      <c r="B35" s="2011">
        <v>1</v>
      </c>
      <c r="C35" s="2012">
        <v>0</v>
      </c>
      <c r="D35" s="2013">
        <v>-164</v>
      </c>
      <c r="E35" s="2014">
        <v>0</v>
      </c>
      <c r="F35" s="2012">
        <v>0</v>
      </c>
      <c r="G35" s="2012">
        <v>0</v>
      </c>
      <c r="H35" s="2015">
        <v>7</v>
      </c>
      <c r="I35" s="2016">
        <v>2</v>
      </c>
      <c r="J35" s="2017">
        <v>55</v>
      </c>
      <c r="K35" s="2029">
        <v>-163</v>
      </c>
      <c r="L35" s="2019">
        <v>7</v>
      </c>
      <c r="M35" s="2017">
        <v>7</v>
      </c>
      <c r="N35" s="2017">
        <v>57</v>
      </c>
    </row>
    <row r="36" spans="1:14" ht="20.100000000000001" customHeight="1" x14ac:dyDescent="0.25">
      <c r="A36" s="2021" t="s">
        <v>643</v>
      </c>
      <c r="B36" s="2011">
        <v>-224</v>
      </c>
      <c r="C36" s="2012">
        <v>-226</v>
      </c>
      <c r="D36" s="2022">
        <v>-229</v>
      </c>
      <c r="E36" s="2014">
        <v>-68</v>
      </c>
      <c r="F36" s="2012">
        <v>-67</v>
      </c>
      <c r="G36" s="2012">
        <v>-68</v>
      </c>
      <c r="H36" s="2023">
        <v>-67</v>
      </c>
      <c r="I36" s="2016">
        <v>-84</v>
      </c>
      <c r="J36" s="2017">
        <v>-88</v>
      </c>
      <c r="K36" s="2024">
        <v>-224</v>
      </c>
      <c r="L36" s="2025">
        <v>-67</v>
      </c>
      <c r="M36" s="2012">
        <v>-68</v>
      </c>
      <c r="N36" s="2012">
        <v>-84</v>
      </c>
    </row>
    <row r="37" spans="1:14" ht="20.100000000000001" customHeight="1" x14ac:dyDescent="0.25">
      <c r="A37" s="2032"/>
      <c r="B37" s="2011"/>
      <c r="C37" s="2012"/>
      <c r="D37" s="2013"/>
      <c r="E37" s="2026"/>
      <c r="F37" s="2012"/>
      <c r="G37" s="2012"/>
      <c r="H37" s="2015"/>
      <c r="I37" s="2016"/>
      <c r="J37" s="2017"/>
      <c r="K37" s="2030"/>
      <c r="L37" s="2019"/>
      <c r="M37" s="2017"/>
      <c r="N37" s="2017"/>
    </row>
    <row r="38" spans="1:14" ht="20.100000000000001" customHeight="1" x14ac:dyDescent="0.25">
      <c r="A38" s="2033" t="s">
        <v>662</v>
      </c>
      <c r="B38" s="2011">
        <v>75258</v>
      </c>
      <c r="C38" s="2012">
        <v>74686</v>
      </c>
      <c r="D38" s="2022">
        <v>74563</v>
      </c>
      <c r="E38" s="2014">
        <v>73590</v>
      </c>
      <c r="F38" s="2012">
        <v>72725</v>
      </c>
      <c r="G38" s="2012">
        <v>70577</v>
      </c>
      <c r="H38" s="2023">
        <v>69977</v>
      </c>
      <c r="I38" s="2016">
        <v>68767</v>
      </c>
      <c r="J38" s="2017">
        <v>67937</v>
      </c>
      <c r="K38" s="2024">
        <v>75258</v>
      </c>
      <c r="L38" s="2025">
        <v>72725</v>
      </c>
      <c r="M38" s="2012">
        <v>73590</v>
      </c>
      <c r="N38" s="2012">
        <v>68767</v>
      </c>
    </row>
    <row r="39" spans="1:14" ht="20.100000000000001" customHeight="1" x14ac:dyDescent="0.25">
      <c r="A39" s="2034"/>
      <c r="B39" s="2011"/>
      <c r="C39" s="2011"/>
      <c r="D39" s="2013"/>
      <c r="E39" s="2026"/>
      <c r="F39" s="2012"/>
      <c r="G39" s="2012"/>
      <c r="H39" s="2015"/>
      <c r="I39" s="2016"/>
      <c r="J39" s="2017"/>
      <c r="K39" s="2030"/>
      <c r="L39" s="2019"/>
      <c r="M39" s="2017"/>
      <c r="N39" s="2017"/>
    </row>
    <row r="40" spans="1:14" ht="20.100000000000001" customHeight="1" x14ac:dyDescent="0.25">
      <c r="A40" s="2027" t="s">
        <v>663</v>
      </c>
      <c r="B40" s="2011"/>
      <c r="C40" s="2011"/>
      <c r="D40" s="2013"/>
      <c r="E40" s="2026"/>
      <c r="F40" s="2012"/>
      <c r="G40" s="2012"/>
      <c r="H40" s="2015"/>
      <c r="I40" s="2016"/>
      <c r="J40" s="2017"/>
      <c r="K40" s="2030"/>
      <c r="L40" s="2019"/>
      <c r="M40" s="2017"/>
      <c r="N40" s="2017"/>
    </row>
    <row r="41" spans="1:14" ht="20.100000000000001" customHeight="1" x14ac:dyDescent="0.25">
      <c r="A41" s="2010" t="s">
        <v>655</v>
      </c>
      <c r="B41" s="2011">
        <v>-3692</v>
      </c>
      <c r="C41" s="2012">
        <v>-3851</v>
      </c>
      <c r="D41" s="2013">
        <v>-2481</v>
      </c>
      <c r="E41" s="2014">
        <v>-3559</v>
      </c>
      <c r="F41" s="2012">
        <v>-3096</v>
      </c>
      <c r="G41" s="2012">
        <v>-2582</v>
      </c>
      <c r="H41" s="2015">
        <v>-3025</v>
      </c>
      <c r="I41" s="2016">
        <v>-1755</v>
      </c>
      <c r="J41" s="2017">
        <v>-2134</v>
      </c>
      <c r="K41" s="2035"/>
      <c r="L41" s="2036"/>
      <c r="M41" s="2037"/>
      <c r="N41" s="2037"/>
    </row>
    <row r="42" spans="1:14" ht="20.100000000000001" customHeight="1" x14ac:dyDescent="0.25">
      <c r="A42" s="2010" t="s">
        <v>656</v>
      </c>
      <c r="B42" s="2011">
        <v>-196</v>
      </c>
      <c r="C42" s="2012">
        <v>-383</v>
      </c>
      <c r="D42" s="2013">
        <v>-467</v>
      </c>
      <c r="E42" s="2014">
        <v>-491</v>
      </c>
      <c r="F42" s="2012">
        <v>-452</v>
      </c>
      <c r="G42" s="2012">
        <v>-705</v>
      </c>
      <c r="H42" s="2015">
        <v>-498</v>
      </c>
      <c r="I42" s="2016">
        <v>-1104</v>
      </c>
      <c r="J42" s="2017">
        <v>-847</v>
      </c>
      <c r="K42" s="2035"/>
      <c r="L42" s="2036"/>
      <c r="M42" s="2037"/>
      <c r="N42" s="2037"/>
    </row>
    <row r="43" spans="1:14" ht="20.100000000000001" customHeight="1" x14ac:dyDescent="0.25">
      <c r="A43" s="2010" t="s">
        <v>657</v>
      </c>
      <c r="B43" s="2011">
        <v>389</v>
      </c>
      <c r="C43" s="2012">
        <v>368</v>
      </c>
      <c r="D43" s="2013">
        <v>354</v>
      </c>
      <c r="E43" s="2014">
        <v>339</v>
      </c>
      <c r="F43" s="2012">
        <v>253</v>
      </c>
      <c r="G43" s="2012">
        <v>167</v>
      </c>
      <c r="H43" s="2015">
        <v>180</v>
      </c>
      <c r="I43" s="2016">
        <v>14</v>
      </c>
      <c r="J43" s="2017">
        <v>101</v>
      </c>
      <c r="K43" s="2035"/>
      <c r="L43" s="2036"/>
      <c r="M43" s="2037"/>
      <c r="N43" s="2037"/>
    </row>
    <row r="44" spans="1:14" ht="20.100000000000001" customHeight="1" x14ac:dyDescent="0.25">
      <c r="A44" s="2010" t="s">
        <v>658</v>
      </c>
      <c r="B44" s="2011">
        <v>-1653</v>
      </c>
      <c r="C44" s="2012">
        <v>-1291</v>
      </c>
      <c r="D44" s="2013">
        <v>-1860</v>
      </c>
      <c r="E44" s="2014">
        <v>-2197</v>
      </c>
      <c r="F44" s="2012">
        <v>-2853</v>
      </c>
      <c r="G44" s="2012">
        <v>-4054</v>
      </c>
      <c r="H44" s="2015">
        <v>-3462</v>
      </c>
      <c r="I44" s="2016">
        <v>-4545</v>
      </c>
      <c r="J44" s="2017">
        <v>-4762</v>
      </c>
      <c r="K44" s="2035"/>
      <c r="L44" s="2036"/>
      <c r="M44" s="2037"/>
      <c r="N44" s="2037"/>
    </row>
    <row r="45" spans="1:14" ht="20.100000000000001" customHeight="1" x14ac:dyDescent="0.25">
      <c r="A45" s="2010" t="s">
        <v>483</v>
      </c>
      <c r="B45" s="2011">
        <v>-158</v>
      </c>
      <c r="C45" s="2012">
        <v>-34</v>
      </c>
      <c r="D45" s="2013">
        <v>-335</v>
      </c>
      <c r="E45" s="2014">
        <v>-239</v>
      </c>
      <c r="F45" s="2012">
        <v>-150</v>
      </c>
      <c r="G45" s="2012">
        <v>-328</v>
      </c>
      <c r="H45" s="2015">
        <v>-193</v>
      </c>
      <c r="I45" s="2016">
        <v>459</v>
      </c>
      <c r="J45" s="2017">
        <v>299</v>
      </c>
      <c r="K45" s="2035"/>
      <c r="L45" s="2036"/>
      <c r="M45" s="2037"/>
      <c r="N45" s="2037"/>
    </row>
    <row r="46" spans="1:14" ht="20.100000000000001" customHeight="1" x14ac:dyDescent="0.25">
      <c r="A46" s="2038" t="s">
        <v>508</v>
      </c>
      <c r="B46" s="2039">
        <v>-5310</v>
      </c>
      <c r="C46" s="2040">
        <v>-5191</v>
      </c>
      <c r="D46" s="2041">
        <v>-4789</v>
      </c>
      <c r="E46" s="2042">
        <v>-6147</v>
      </c>
      <c r="F46" s="2040">
        <v>-6298</v>
      </c>
      <c r="G46" s="2040">
        <v>-7502</v>
      </c>
      <c r="H46" s="2043">
        <v>-6998</v>
      </c>
      <c r="I46" s="2044">
        <v>-6931</v>
      </c>
      <c r="J46" s="2045">
        <v>-7343</v>
      </c>
      <c r="K46" s="2046"/>
      <c r="L46" s="2047"/>
      <c r="M46" s="2048"/>
      <c r="N46" s="2048"/>
    </row>
    <row r="47" spans="1:14" ht="15" customHeight="1" x14ac:dyDescent="0.3">
      <c r="A47" s="2049"/>
      <c r="B47" s="2050"/>
      <c r="C47" s="2051"/>
      <c r="D47" s="2052"/>
      <c r="E47" s="2051"/>
      <c r="F47" s="2051"/>
      <c r="G47" s="2051"/>
      <c r="H47" s="2052"/>
      <c r="I47" s="2052"/>
      <c r="J47" s="2052"/>
      <c r="K47" s="1610"/>
      <c r="L47" s="1610"/>
      <c r="M47" s="1610"/>
      <c r="N47" s="1610"/>
    </row>
  </sheetData>
  <mergeCells count="6">
    <mergeCell ref="A2:N2"/>
    <mergeCell ref="B3:D3"/>
    <mergeCell ref="E3:H3"/>
    <mergeCell ref="I3:J3"/>
    <mergeCell ref="K3:L3"/>
    <mergeCell ref="M3:N3"/>
  </mergeCells>
  <hyperlinks>
    <hyperlink ref="A1" location="ToC!A2" display="Back to Table of Contents" xr:uid="{C39E75B7-EC61-4604-A8DB-87C81443AF3B}"/>
  </hyperlinks>
  <pageMargins left="0.5" right="0.5" top="0.5" bottom="0.5" header="0.25" footer="0.25"/>
  <pageSetup scale="55" orientation="landscape" r:id="rId1"/>
  <headerFooter>
    <oddFooter>&amp;L&amp;G&amp;C&amp;"Scotia,Regular"&amp;9Supplementary Financial Information (SFI)&amp;R16&amp;"Scotia,Regular"&amp;7</oddFooter>
  </headerFooter>
  <ignoredErrors>
    <ignoredError sqref="B3:N5" numberStoredAsText="1"/>
  </ignoredErrors>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2C81-F578-4575-B06B-86BD8066E7A5}">
  <sheetPr>
    <pageSetUpPr fitToPage="1"/>
  </sheetPr>
  <dimension ref="A1:N22"/>
  <sheetViews>
    <sheetView showGridLines="0" zoomScaleNormal="100" workbookViewId="0"/>
  </sheetViews>
  <sheetFormatPr defaultColWidth="8.77734375" defaultRowHeight="13.2" x14ac:dyDescent="0.25"/>
  <cols>
    <col min="1" max="1" width="95.5546875" style="22" customWidth="1"/>
    <col min="2" max="14" width="10.77734375" style="22" customWidth="1"/>
    <col min="15" max="16384" width="8.77734375" style="22"/>
  </cols>
  <sheetData>
    <row r="1" spans="1:14" ht="19.95" customHeight="1" x14ac:dyDescent="0.25">
      <c r="A1" s="21" t="s">
        <v>12</v>
      </c>
    </row>
    <row r="2" spans="1:14" ht="25.05" customHeight="1" x14ac:dyDescent="0.25">
      <c r="A2" s="3600" t="s">
        <v>664</v>
      </c>
      <c r="B2" s="3600" t="s">
        <v>14</v>
      </c>
      <c r="C2" s="3600" t="s">
        <v>14</v>
      </c>
      <c r="D2" s="3600" t="s">
        <v>14</v>
      </c>
      <c r="E2" s="3600" t="s">
        <v>14</v>
      </c>
      <c r="F2" s="3600" t="s">
        <v>14</v>
      </c>
      <c r="G2" s="3600" t="s">
        <v>14</v>
      </c>
      <c r="H2" s="3600" t="s">
        <v>14</v>
      </c>
      <c r="I2" s="3600" t="s">
        <v>14</v>
      </c>
      <c r="J2" s="3600" t="s">
        <v>14</v>
      </c>
      <c r="K2" s="3600" t="s">
        <v>14</v>
      </c>
      <c r="L2" s="3600" t="s">
        <v>14</v>
      </c>
      <c r="M2" s="3600" t="s">
        <v>14</v>
      </c>
      <c r="N2" s="3600" t="s">
        <v>14</v>
      </c>
    </row>
    <row r="3" spans="1:14" ht="20.100000000000001" customHeight="1" x14ac:dyDescent="0.25">
      <c r="A3" s="1990"/>
      <c r="B3" s="3592" t="s">
        <v>172</v>
      </c>
      <c r="C3" s="3592" t="s">
        <v>14</v>
      </c>
      <c r="D3" s="3593" t="s">
        <v>14</v>
      </c>
      <c r="E3" s="3594" t="s">
        <v>343</v>
      </c>
      <c r="F3" s="3595" t="s">
        <v>14</v>
      </c>
      <c r="G3" s="3595" t="s">
        <v>14</v>
      </c>
      <c r="H3" s="3596" t="s">
        <v>14</v>
      </c>
      <c r="I3" s="3597" t="s">
        <v>344</v>
      </c>
      <c r="J3" s="3595" t="s">
        <v>14</v>
      </c>
      <c r="K3" s="3597" t="s">
        <v>173</v>
      </c>
      <c r="L3" s="3596" t="s">
        <v>14</v>
      </c>
      <c r="M3" s="3595" t="s">
        <v>415</v>
      </c>
      <c r="N3" s="3595" t="s">
        <v>14</v>
      </c>
    </row>
    <row r="4" spans="1:14" ht="20.100000000000001" customHeight="1" x14ac:dyDescent="0.25">
      <c r="A4" s="1991" t="s">
        <v>558</v>
      </c>
      <c r="B4" s="1992" t="s">
        <v>176</v>
      </c>
      <c r="C4" s="1993" t="s">
        <v>177</v>
      </c>
      <c r="D4" s="1994" t="s">
        <v>178</v>
      </c>
      <c r="E4" s="1995" t="s">
        <v>179</v>
      </c>
      <c r="F4" s="1993" t="s">
        <v>180</v>
      </c>
      <c r="G4" s="1993" t="s">
        <v>177</v>
      </c>
      <c r="H4" s="1996" t="s">
        <v>178</v>
      </c>
      <c r="I4" s="1997" t="s">
        <v>179</v>
      </c>
      <c r="J4" s="1998" t="s">
        <v>180</v>
      </c>
      <c r="K4" s="1997" t="s">
        <v>181</v>
      </c>
      <c r="L4" s="2053" t="s">
        <v>343</v>
      </c>
      <c r="M4" s="1998" t="s">
        <v>343</v>
      </c>
      <c r="N4" s="1993" t="s">
        <v>344</v>
      </c>
    </row>
    <row r="5" spans="1:14" ht="20.100000000000001" customHeight="1" x14ac:dyDescent="0.25">
      <c r="A5" s="2001" t="s">
        <v>665</v>
      </c>
      <c r="B5" s="2054"/>
      <c r="C5" s="2054"/>
      <c r="D5" s="2055"/>
      <c r="E5" s="2005"/>
      <c r="F5" s="2054"/>
      <c r="G5" s="2054"/>
      <c r="H5" s="2055"/>
      <c r="I5" s="2056"/>
      <c r="J5" s="2057"/>
      <c r="K5" s="2056"/>
      <c r="L5" s="2058"/>
      <c r="M5" s="2057"/>
      <c r="N5" s="2057"/>
    </row>
    <row r="6" spans="1:14" ht="20.100000000000001" customHeight="1" x14ac:dyDescent="0.25">
      <c r="A6" s="2010" t="s">
        <v>645</v>
      </c>
      <c r="B6" s="2011">
        <v>10232</v>
      </c>
      <c r="C6" s="2012">
        <v>10232</v>
      </c>
      <c r="D6" s="2013">
        <v>8779</v>
      </c>
      <c r="E6" s="2014">
        <v>8779</v>
      </c>
      <c r="F6" s="2012">
        <v>8779</v>
      </c>
      <c r="G6" s="2012">
        <v>8779</v>
      </c>
      <c r="H6" s="2015">
        <v>8075</v>
      </c>
      <c r="I6" s="2016">
        <v>8075</v>
      </c>
      <c r="J6" s="2017">
        <v>8075</v>
      </c>
      <c r="K6" s="2059">
        <v>8779</v>
      </c>
      <c r="L6" s="2023">
        <v>8075</v>
      </c>
      <c r="M6" s="2017">
        <v>8075</v>
      </c>
      <c r="N6" s="2017">
        <v>8075</v>
      </c>
    </row>
    <row r="7" spans="1:14" ht="20.100000000000001" customHeight="1" x14ac:dyDescent="0.25">
      <c r="A7" s="2010" t="s">
        <v>666</v>
      </c>
      <c r="B7" s="2011">
        <v>0</v>
      </c>
      <c r="C7" s="2012">
        <v>0</v>
      </c>
      <c r="D7" s="2013">
        <v>1453</v>
      </c>
      <c r="E7" s="2014">
        <v>0</v>
      </c>
      <c r="F7" s="2012">
        <v>0</v>
      </c>
      <c r="G7" s="2012">
        <v>0</v>
      </c>
      <c r="H7" s="2015">
        <v>1004</v>
      </c>
      <c r="I7" s="2016">
        <v>0</v>
      </c>
      <c r="J7" s="2017">
        <v>0</v>
      </c>
      <c r="K7" s="2059">
        <v>1453</v>
      </c>
      <c r="L7" s="2023">
        <v>1004</v>
      </c>
      <c r="M7" s="2017">
        <v>1004</v>
      </c>
      <c r="N7" s="2017">
        <v>0</v>
      </c>
    </row>
    <row r="8" spans="1:14" ht="20.100000000000001" customHeight="1" x14ac:dyDescent="0.25">
      <c r="A8" s="2010" t="s">
        <v>667</v>
      </c>
      <c r="B8" s="2011">
        <v>-1688</v>
      </c>
      <c r="C8" s="2012">
        <v>0</v>
      </c>
      <c r="D8" s="2013">
        <v>0</v>
      </c>
      <c r="E8" s="2014">
        <v>0</v>
      </c>
      <c r="F8" s="2012">
        <v>0</v>
      </c>
      <c r="G8" s="2012">
        <v>0</v>
      </c>
      <c r="H8" s="2015">
        <v>-300</v>
      </c>
      <c r="I8" s="2016">
        <v>0</v>
      </c>
      <c r="J8" s="2017">
        <v>0</v>
      </c>
      <c r="K8" s="2059">
        <v>-1688</v>
      </c>
      <c r="L8" s="2023">
        <v>-300</v>
      </c>
      <c r="M8" s="2017">
        <v>-300</v>
      </c>
      <c r="N8" s="2017">
        <v>0</v>
      </c>
    </row>
    <row r="9" spans="1:14" ht="20.100000000000001" customHeight="1" x14ac:dyDescent="0.25">
      <c r="A9" s="2010" t="s">
        <v>668</v>
      </c>
      <c r="B9" s="2011">
        <v>134</v>
      </c>
      <c r="C9" s="2012">
        <v>135</v>
      </c>
      <c r="D9" s="2013">
        <v>122</v>
      </c>
      <c r="E9" s="2014">
        <v>121</v>
      </c>
      <c r="F9" s="2012">
        <v>120</v>
      </c>
      <c r="G9" s="2012">
        <v>123</v>
      </c>
      <c r="H9" s="2015">
        <v>108</v>
      </c>
      <c r="I9" s="2016">
        <v>109</v>
      </c>
      <c r="J9" s="2017">
        <v>105</v>
      </c>
      <c r="K9" s="2059">
        <v>391</v>
      </c>
      <c r="L9" s="2023">
        <v>351</v>
      </c>
      <c r="M9" s="2017">
        <v>472</v>
      </c>
      <c r="N9" s="2017">
        <v>419</v>
      </c>
    </row>
    <row r="10" spans="1:14" ht="20.100000000000001" customHeight="1" x14ac:dyDescent="0.25">
      <c r="A10" s="2010" t="s">
        <v>669</v>
      </c>
      <c r="B10" s="2011">
        <v>-134</v>
      </c>
      <c r="C10" s="2012">
        <v>-135</v>
      </c>
      <c r="D10" s="2013">
        <v>-122</v>
      </c>
      <c r="E10" s="2014">
        <v>-121</v>
      </c>
      <c r="F10" s="2012">
        <v>-120</v>
      </c>
      <c r="G10" s="2012">
        <v>-123</v>
      </c>
      <c r="H10" s="2015">
        <v>-108</v>
      </c>
      <c r="I10" s="2016">
        <v>-109</v>
      </c>
      <c r="J10" s="2017">
        <v>-105</v>
      </c>
      <c r="K10" s="2059">
        <v>-391</v>
      </c>
      <c r="L10" s="2023">
        <v>-351</v>
      </c>
      <c r="M10" s="2017">
        <v>-472</v>
      </c>
      <c r="N10" s="2017">
        <v>-419</v>
      </c>
    </row>
    <row r="11" spans="1:14" ht="20.100000000000001" customHeight="1" x14ac:dyDescent="0.25">
      <c r="A11" s="2021" t="s">
        <v>643</v>
      </c>
      <c r="B11" s="2011">
        <v>8544</v>
      </c>
      <c r="C11" s="2012">
        <v>10232</v>
      </c>
      <c r="D11" s="2022">
        <v>10232</v>
      </c>
      <c r="E11" s="2014">
        <v>8779</v>
      </c>
      <c r="F11" s="2012">
        <v>8779</v>
      </c>
      <c r="G11" s="2012">
        <v>8779</v>
      </c>
      <c r="H11" s="2023">
        <v>8779</v>
      </c>
      <c r="I11" s="2016">
        <v>8075</v>
      </c>
      <c r="J11" s="2017">
        <v>8075</v>
      </c>
      <c r="K11" s="2060">
        <v>8544</v>
      </c>
      <c r="L11" s="2015">
        <v>8779</v>
      </c>
      <c r="M11" s="2012">
        <v>8779</v>
      </c>
      <c r="N11" s="2012">
        <v>8075</v>
      </c>
    </row>
    <row r="12" spans="1:14" ht="20.100000000000001" customHeight="1" x14ac:dyDescent="0.25">
      <c r="A12" s="2021"/>
      <c r="B12" s="2011"/>
      <c r="C12" s="2012"/>
      <c r="D12" s="2022"/>
      <c r="E12" s="2026"/>
      <c r="F12" s="2012"/>
      <c r="G12" s="2012"/>
      <c r="H12" s="2023"/>
      <c r="I12" s="2016"/>
      <c r="J12" s="2017"/>
      <c r="K12" s="2060"/>
      <c r="L12" s="2015"/>
      <c r="M12" s="2012"/>
      <c r="N12" s="2012"/>
    </row>
    <row r="13" spans="1:14" ht="20.100000000000001" customHeight="1" x14ac:dyDescent="0.25">
      <c r="A13" s="2027" t="s">
        <v>670</v>
      </c>
      <c r="B13" s="2011"/>
      <c r="C13" s="2012"/>
      <c r="D13" s="2013"/>
      <c r="E13" s="2026"/>
      <c r="F13" s="2012"/>
      <c r="G13" s="2012"/>
      <c r="H13" s="2015"/>
      <c r="I13" s="2016"/>
      <c r="J13" s="2017"/>
      <c r="K13" s="2016"/>
      <c r="L13" s="2023"/>
      <c r="M13" s="2017"/>
      <c r="N13" s="2017"/>
    </row>
    <row r="14" spans="1:14" ht="20.100000000000001" customHeight="1" x14ac:dyDescent="0.25">
      <c r="A14" s="2010" t="s">
        <v>645</v>
      </c>
      <c r="B14" s="2011">
        <v>1588</v>
      </c>
      <c r="C14" s="2012">
        <v>1626</v>
      </c>
      <c r="D14" s="2013">
        <v>1707</v>
      </c>
      <c r="E14" s="2014">
        <v>1715</v>
      </c>
      <c r="F14" s="2012">
        <v>1719</v>
      </c>
      <c r="G14" s="2012">
        <v>1696</v>
      </c>
      <c r="H14" s="2015">
        <v>1729</v>
      </c>
      <c r="I14" s="2016">
        <v>1655</v>
      </c>
      <c r="J14" s="2017">
        <v>1593</v>
      </c>
      <c r="K14" s="2016">
        <v>1707</v>
      </c>
      <c r="L14" s="2023">
        <v>1729</v>
      </c>
      <c r="M14" s="2017">
        <v>1729</v>
      </c>
      <c r="N14" s="2017">
        <v>1524</v>
      </c>
    </row>
    <row r="15" spans="1:14" ht="20.100000000000001" customHeight="1" x14ac:dyDescent="0.25">
      <c r="A15" s="2010" t="s">
        <v>671</v>
      </c>
      <c r="B15" s="2011">
        <v>80</v>
      </c>
      <c r="C15" s="2012">
        <v>56</v>
      </c>
      <c r="D15" s="2013">
        <v>-154</v>
      </c>
      <c r="E15" s="2014">
        <v>47</v>
      </c>
      <c r="F15" s="2012">
        <v>36</v>
      </c>
      <c r="G15" s="2012">
        <v>26</v>
      </c>
      <c r="H15" s="2015">
        <v>25</v>
      </c>
      <c r="I15" s="2016">
        <v>31</v>
      </c>
      <c r="J15" s="2017">
        <v>20</v>
      </c>
      <c r="K15" s="2059">
        <v>-18</v>
      </c>
      <c r="L15" s="2023">
        <v>87</v>
      </c>
      <c r="M15" s="2017">
        <v>134</v>
      </c>
      <c r="N15" s="2017">
        <v>112</v>
      </c>
    </row>
    <row r="16" spans="1:14" ht="20.100000000000001" customHeight="1" x14ac:dyDescent="0.25">
      <c r="A16" s="2010" t="s">
        <v>654</v>
      </c>
      <c r="B16" s="2011">
        <v>-22</v>
      </c>
      <c r="C16" s="2012">
        <v>-63</v>
      </c>
      <c r="D16" s="2013">
        <v>89</v>
      </c>
      <c r="E16" s="2014">
        <v>-40</v>
      </c>
      <c r="F16" s="2012">
        <v>-23</v>
      </c>
      <c r="G16" s="2012">
        <v>34</v>
      </c>
      <c r="H16" s="2015">
        <v>-43</v>
      </c>
      <c r="I16" s="2016">
        <v>67</v>
      </c>
      <c r="J16" s="2017">
        <v>68</v>
      </c>
      <c r="K16" s="2059">
        <v>4</v>
      </c>
      <c r="L16" s="2023">
        <v>-32</v>
      </c>
      <c r="M16" s="2017">
        <v>-72</v>
      </c>
      <c r="N16" s="2017">
        <v>205</v>
      </c>
    </row>
    <row r="17" spans="1:14" ht="20.100000000000001" customHeight="1" x14ac:dyDescent="0.25">
      <c r="A17" s="2010" t="s">
        <v>672</v>
      </c>
      <c r="B17" s="2011">
        <v>-16</v>
      </c>
      <c r="C17" s="2012">
        <v>-31</v>
      </c>
      <c r="D17" s="2013">
        <v>-16</v>
      </c>
      <c r="E17" s="2014">
        <v>-15</v>
      </c>
      <c r="F17" s="2012">
        <v>-17</v>
      </c>
      <c r="G17" s="2012">
        <v>-41</v>
      </c>
      <c r="H17" s="2015">
        <v>-15</v>
      </c>
      <c r="I17" s="2016">
        <v>-26</v>
      </c>
      <c r="J17" s="2017">
        <v>-14</v>
      </c>
      <c r="K17" s="2059">
        <v>-63</v>
      </c>
      <c r="L17" s="2023">
        <v>-73</v>
      </c>
      <c r="M17" s="2017">
        <v>-88</v>
      </c>
      <c r="N17" s="2017">
        <v>-101</v>
      </c>
    </row>
    <row r="18" spans="1:14" ht="20.100000000000001" customHeight="1" x14ac:dyDescent="0.25">
      <c r="A18" s="2010" t="s">
        <v>483</v>
      </c>
      <c r="B18" s="2011">
        <v>51</v>
      </c>
      <c r="C18" s="2012">
        <v>0</v>
      </c>
      <c r="D18" s="2013">
        <v>0</v>
      </c>
      <c r="E18" s="2014">
        <v>0</v>
      </c>
      <c r="F18" s="2012">
        <v>0</v>
      </c>
      <c r="G18" s="2012">
        <v>4</v>
      </c>
      <c r="H18" s="2015">
        <v>0</v>
      </c>
      <c r="I18" s="2016">
        <v>2</v>
      </c>
      <c r="J18" s="2017">
        <v>-12</v>
      </c>
      <c r="K18" s="2059">
        <v>51</v>
      </c>
      <c r="L18" s="2023">
        <v>4</v>
      </c>
      <c r="M18" s="2017">
        <v>4</v>
      </c>
      <c r="N18" s="2017">
        <v>-11</v>
      </c>
    </row>
    <row r="19" spans="1:14" ht="20.100000000000001" customHeight="1" x14ac:dyDescent="0.25">
      <c r="A19" s="2021" t="s">
        <v>643</v>
      </c>
      <c r="B19" s="2011">
        <v>1681</v>
      </c>
      <c r="C19" s="2012">
        <v>1588</v>
      </c>
      <c r="D19" s="2022">
        <v>1626</v>
      </c>
      <c r="E19" s="2014">
        <v>1707</v>
      </c>
      <c r="F19" s="2012">
        <v>1715</v>
      </c>
      <c r="G19" s="2012">
        <v>1719</v>
      </c>
      <c r="H19" s="2023">
        <v>1696</v>
      </c>
      <c r="I19" s="2016">
        <v>1729</v>
      </c>
      <c r="J19" s="2017">
        <v>1655</v>
      </c>
      <c r="K19" s="2060">
        <v>1681</v>
      </c>
      <c r="L19" s="2015">
        <v>1715</v>
      </c>
      <c r="M19" s="2012">
        <v>1707</v>
      </c>
      <c r="N19" s="2012">
        <v>1729</v>
      </c>
    </row>
    <row r="20" spans="1:14" ht="20.100000000000001" customHeight="1" x14ac:dyDescent="0.25">
      <c r="A20" s="2021"/>
      <c r="B20" s="2011"/>
      <c r="C20" s="2012"/>
      <c r="D20" s="2022"/>
      <c r="E20" s="2026"/>
      <c r="F20" s="2012"/>
      <c r="G20" s="2012"/>
      <c r="H20" s="2023"/>
      <c r="I20" s="2016"/>
      <c r="J20" s="2017"/>
      <c r="K20" s="2060"/>
      <c r="L20" s="2015"/>
      <c r="M20" s="2012"/>
      <c r="N20" s="2012"/>
    </row>
    <row r="21" spans="1:14" ht="20.100000000000001" customHeight="1" x14ac:dyDescent="0.25">
      <c r="A21" s="2061" t="s">
        <v>673</v>
      </c>
      <c r="B21" s="2062">
        <v>85483</v>
      </c>
      <c r="C21" s="2063">
        <v>86506</v>
      </c>
      <c r="D21" s="2064">
        <v>86421</v>
      </c>
      <c r="E21" s="2065">
        <v>84076</v>
      </c>
      <c r="F21" s="2063">
        <v>83219</v>
      </c>
      <c r="G21" s="2063">
        <v>81075</v>
      </c>
      <c r="H21" s="2066">
        <v>80452</v>
      </c>
      <c r="I21" s="2067">
        <v>78571</v>
      </c>
      <c r="J21" s="2068">
        <v>77667</v>
      </c>
      <c r="K21" s="2069">
        <v>85483</v>
      </c>
      <c r="L21" s="2070">
        <v>83219</v>
      </c>
      <c r="M21" s="2063">
        <v>84076</v>
      </c>
      <c r="N21" s="2063">
        <v>78571</v>
      </c>
    </row>
    <row r="22" spans="1:14" ht="12" customHeight="1" x14ac:dyDescent="0.25">
      <c r="A22" s="2071"/>
      <c r="B22" s="2051"/>
      <c r="C22" s="2050"/>
      <c r="D22" s="2052"/>
      <c r="E22" s="2072"/>
      <c r="F22" s="2051"/>
      <c r="G22" s="2051"/>
      <c r="H22" s="2052"/>
      <c r="I22" s="2052"/>
      <c r="J22" s="2073"/>
      <c r="K22" s="2051"/>
      <c r="L22" s="2051"/>
      <c r="M22" s="2051"/>
      <c r="N22" s="2051"/>
    </row>
  </sheetData>
  <mergeCells count="6">
    <mergeCell ref="A2:N2"/>
    <mergeCell ref="B3:D3"/>
    <mergeCell ref="E3:H3"/>
    <mergeCell ref="I3:J3"/>
    <mergeCell ref="K3:L3"/>
    <mergeCell ref="M3:N3"/>
  </mergeCells>
  <hyperlinks>
    <hyperlink ref="A1" location="ToC!A2" display="Back to Table of Contents" xr:uid="{14849951-CA58-42D5-BA10-9A87BE9342C2}"/>
  </hyperlinks>
  <pageMargins left="0.5" right="0.5" top="0.5" bottom="0.5" header="0.25" footer="0.25"/>
  <pageSetup scale="54" orientation="landscape" r:id="rId1"/>
  <headerFooter>
    <oddFooter>&amp;L&amp;G&amp;C&amp;"Scotia,Regular"&amp;9Supplementary Financial Information (SFI)&amp;R17&amp;"Scotia,Regular"&amp;7</oddFooter>
  </headerFooter>
  <ignoredErrors>
    <ignoredError sqref="K4:N4" numberStoredAsText="1"/>
  </ignoredErrors>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35AA-B461-439B-A840-4CDA2F4D0D91}">
  <sheetPr>
    <pageSetUpPr fitToPage="1"/>
  </sheetPr>
  <dimension ref="A1:K39"/>
  <sheetViews>
    <sheetView showGridLines="0" zoomScaleNormal="100" workbookViewId="0"/>
  </sheetViews>
  <sheetFormatPr defaultColWidth="8.77734375" defaultRowHeight="13.2" x14ac:dyDescent="0.25"/>
  <cols>
    <col min="1" max="1" width="60.77734375" style="22" customWidth="1"/>
    <col min="2" max="11" width="11.77734375" style="22" customWidth="1"/>
    <col min="12" max="16384" width="8.77734375" style="22"/>
  </cols>
  <sheetData>
    <row r="1" spans="1:11" ht="19.95" customHeight="1" x14ac:dyDescent="0.25">
      <c r="A1" s="21" t="s">
        <v>12</v>
      </c>
    </row>
    <row r="2" spans="1:11" ht="25.05" customHeight="1" x14ac:dyDescent="0.25">
      <c r="A2" s="3601" t="s">
        <v>674</v>
      </c>
      <c r="B2" s="3601" t="s">
        <v>14</v>
      </c>
      <c r="C2" s="3601" t="s">
        <v>14</v>
      </c>
      <c r="D2" s="3601" t="s">
        <v>14</v>
      </c>
      <c r="E2" s="3601" t="s">
        <v>14</v>
      </c>
      <c r="F2" s="3601" t="s">
        <v>14</v>
      </c>
      <c r="G2" s="3601" t="s">
        <v>14</v>
      </c>
      <c r="H2" s="3601" t="s">
        <v>14</v>
      </c>
      <c r="I2" s="3601" t="s">
        <v>14</v>
      </c>
      <c r="J2" s="3601" t="s">
        <v>14</v>
      </c>
      <c r="K2" s="3601" t="s">
        <v>14</v>
      </c>
    </row>
    <row r="3" spans="1:11" ht="20.100000000000001" customHeight="1" x14ac:dyDescent="0.25">
      <c r="A3" s="2074" t="s">
        <v>675</v>
      </c>
      <c r="B3" s="3602" t="s">
        <v>676</v>
      </c>
      <c r="C3" s="3603" t="s">
        <v>14</v>
      </c>
      <c r="D3" s="3604" t="s">
        <v>677</v>
      </c>
      <c r="E3" s="3605" t="s">
        <v>14</v>
      </c>
      <c r="F3" s="3604" t="s">
        <v>678</v>
      </c>
      <c r="G3" s="3605" t="s">
        <v>14</v>
      </c>
      <c r="H3" s="3604" t="s">
        <v>679</v>
      </c>
      <c r="I3" s="3605" t="s">
        <v>14</v>
      </c>
      <c r="J3" s="3604" t="s">
        <v>680</v>
      </c>
      <c r="K3" s="3606" t="s">
        <v>14</v>
      </c>
    </row>
    <row r="4" spans="1:11" ht="20.100000000000001" customHeight="1" x14ac:dyDescent="0.25">
      <c r="A4" s="2075"/>
      <c r="B4" s="2076" t="s">
        <v>681</v>
      </c>
      <c r="C4" s="2077" t="s">
        <v>682</v>
      </c>
      <c r="D4" s="2078" t="s">
        <v>683</v>
      </c>
      <c r="E4" s="2079" t="s">
        <v>682</v>
      </c>
      <c r="F4" s="2078" t="s">
        <v>683</v>
      </c>
      <c r="G4" s="2079" t="s">
        <v>682</v>
      </c>
      <c r="H4" s="2078" t="s">
        <v>683</v>
      </c>
      <c r="I4" s="2079" t="s">
        <v>682</v>
      </c>
      <c r="J4" s="2078" t="s">
        <v>683</v>
      </c>
      <c r="K4" s="2080" t="s">
        <v>682</v>
      </c>
    </row>
    <row r="5" spans="1:11" ht="20.100000000000001" customHeight="1" x14ac:dyDescent="0.25">
      <c r="A5" s="2081" t="s">
        <v>321</v>
      </c>
      <c r="B5" s="2082">
        <v>360.9</v>
      </c>
      <c r="C5" s="2083">
        <v>0.46899999999999997</v>
      </c>
      <c r="D5" s="2084">
        <v>359.8</v>
      </c>
      <c r="E5" s="2085">
        <v>0.47099999999999997</v>
      </c>
      <c r="F5" s="2084">
        <v>358.8</v>
      </c>
      <c r="G5" s="2085">
        <v>0.46400000000000002</v>
      </c>
      <c r="H5" s="2084">
        <v>350.9</v>
      </c>
      <c r="I5" s="2085">
        <v>0.45700000000000002</v>
      </c>
      <c r="J5" s="2084">
        <v>348.6</v>
      </c>
      <c r="K5" s="2086">
        <v>0.45300000000000001</v>
      </c>
    </row>
    <row r="6" spans="1:11" ht="20.100000000000001" customHeight="1" x14ac:dyDescent="0.25">
      <c r="A6" s="2087" t="s">
        <v>353</v>
      </c>
      <c r="B6" s="2088">
        <v>107.9</v>
      </c>
      <c r="C6" s="2089">
        <v>0.14000000000000001</v>
      </c>
      <c r="D6" s="2090">
        <v>106</v>
      </c>
      <c r="E6" s="2091">
        <v>0.13900000000000001</v>
      </c>
      <c r="F6" s="2090">
        <v>106.6</v>
      </c>
      <c r="G6" s="2091">
        <v>0.13800000000000001</v>
      </c>
      <c r="H6" s="2090">
        <v>106.4</v>
      </c>
      <c r="I6" s="2091">
        <v>0.13800000000000001</v>
      </c>
      <c r="J6" s="2090">
        <v>106.6</v>
      </c>
      <c r="K6" s="2092">
        <v>0.13900000000000001</v>
      </c>
    </row>
    <row r="7" spans="1:11" ht="20.100000000000001" customHeight="1" x14ac:dyDescent="0.25">
      <c r="A7" s="2093" t="s">
        <v>354</v>
      </c>
      <c r="B7" s="2094">
        <v>17.5</v>
      </c>
      <c r="C7" s="2095">
        <v>2.3E-2</v>
      </c>
      <c r="D7" s="2096">
        <v>17.2</v>
      </c>
      <c r="E7" s="2097">
        <v>2.3E-2</v>
      </c>
      <c r="F7" s="2096">
        <v>17.600000000000001</v>
      </c>
      <c r="G7" s="2097">
        <v>2.3E-2</v>
      </c>
      <c r="H7" s="2096">
        <v>17.399999999999999</v>
      </c>
      <c r="I7" s="2097">
        <v>2.3E-2</v>
      </c>
      <c r="J7" s="2096">
        <v>17.600000000000001</v>
      </c>
      <c r="K7" s="2098">
        <v>2.3E-2</v>
      </c>
    </row>
    <row r="8" spans="1:11" ht="20.100000000000001" customHeight="1" x14ac:dyDescent="0.25">
      <c r="A8" s="2099" t="s">
        <v>684</v>
      </c>
      <c r="B8" s="2100">
        <v>486.29999999999995</v>
      </c>
      <c r="C8" s="2101">
        <v>0.63200000000000001</v>
      </c>
      <c r="D8" s="2102">
        <v>483</v>
      </c>
      <c r="E8" s="2103">
        <v>0.63200000000000001</v>
      </c>
      <c r="F8" s="2102">
        <v>483</v>
      </c>
      <c r="G8" s="2103">
        <v>0.625</v>
      </c>
      <c r="H8" s="2102">
        <v>474.7</v>
      </c>
      <c r="I8" s="2103">
        <v>0.61799999999999999</v>
      </c>
      <c r="J8" s="2102">
        <v>472.80000000000007</v>
      </c>
      <c r="K8" s="2104">
        <v>0.61499999999999999</v>
      </c>
    </row>
    <row r="9" spans="1:11" ht="20.100000000000001" customHeight="1" x14ac:dyDescent="0.25">
      <c r="A9" s="2105"/>
      <c r="B9" s="2106"/>
      <c r="C9" s="2107"/>
      <c r="D9" s="2108"/>
      <c r="E9" s="2109"/>
      <c r="F9" s="2108"/>
      <c r="G9" s="2109"/>
      <c r="H9" s="2108"/>
      <c r="I9" s="2109"/>
      <c r="J9" s="2108"/>
      <c r="K9" s="2110"/>
    </row>
    <row r="10" spans="1:11" ht="20.100000000000001" customHeight="1" x14ac:dyDescent="0.25">
      <c r="A10" s="2087" t="s">
        <v>685</v>
      </c>
      <c r="B10" s="2111"/>
      <c r="C10" s="2112"/>
      <c r="D10" s="2113"/>
      <c r="E10" s="2114"/>
      <c r="F10" s="2115"/>
      <c r="G10" s="2116"/>
      <c r="H10" s="2117"/>
      <c r="I10" s="2116"/>
      <c r="J10" s="2117"/>
      <c r="K10" s="2118"/>
    </row>
    <row r="11" spans="1:11" ht="20.100000000000001" customHeight="1" x14ac:dyDescent="0.25">
      <c r="A11" s="2119" t="s">
        <v>686</v>
      </c>
      <c r="B11" s="2120">
        <v>30</v>
      </c>
      <c r="C11" s="2089">
        <v>3.9E-2</v>
      </c>
      <c r="D11" s="2121">
        <v>28.9</v>
      </c>
      <c r="E11" s="2091">
        <v>3.7999999999999999E-2</v>
      </c>
      <c r="F11" s="2122">
        <v>29</v>
      </c>
      <c r="G11" s="2091">
        <v>3.6999999999999998E-2</v>
      </c>
      <c r="H11" s="2090">
        <v>29.7</v>
      </c>
      <c r="I11" s="2091">
        <v>3.9E-2</v>
      </c>
      <c r="J11" s="2090">
        <v>28.2</v>
      </c>
      <c r="K11" s="2092">
        <v>3.6999999999999998E-2</v>
      </c>
    </row>
    <row r="12" spans="1:11" ht="20.100000000000001" customHeight="1" x14ac:dyDescent="0.25">
      <c r="A12" s="2119" t="s">
        <v>687</v>
      </c>
      <c r="B12" s="2120">
        <v>1</v>
      </c>
      <c r="C12" s="2089">
        <v>1E-3</v>
      </c>
      <c r="D12" s="2121">
        <v>1.3</v>
      </c>
      <c r="E12" s="2091">
        <v>2E-3</v>
      </c>
      <c r="F12" s="2121">
        <v>0.9</v>
      </c>
      <c r="G12" s="2091">
        <v>1E-3</v>
      </c>
      <c r="H12" s="2090">
        <v>0.9</v>
      </c>
      <c r="I12" s="2091">
        <v>1E-3</v>
      </c>
      <c r="J12" s="2090">
        <v>1</v>
      </c>
      <c r="K12" s="2092">
        <v>1E-3</v>
      </c>
    </row>
    <row r="13" spans="1:11" ht="20.100000000000001" customHeight="1" x14ac:dyDescent="0.25">
      <c r="A13" s="2087" t="s">
        <v>688</v>
      </c>
      <c r="B13" s="2120">
        <v>29</v>
      </c>
      <c r="C13" s="2089">
        <v>3.7999999999999999E-2</v>
      </c>
      <c r="D13" s="2121">
        <v>28.9</v>
      </c>
      <c r="E13" s="2091">
        <v>3.7999999999999999E-2</v>
      </c>
      <c r="F13" s="2121">
        <v>29.6</v>
      </c>
      <c r="G13" s="2091">
        <v>3.7999999999999999E-2</v>
      </c>
      <c r="H13" s="2090">
        <v>29.9</v>
      </c>
      <c r="I13" s="2091">
        <v>3.9E-2</v>
      </c>
      <c r="J13" s="2090">
        <v>31.3</v>
      </c>
      <c r="K13" s="2092">
        <v>4.1000000000000002E-2</v>
      </c>
    </row>
    <row r="14" spans="1:11" ht="20.100000000000001" customHeight="1" x14ac:dyDescent="0.25">
      <c r="A14" s="2087" t="s">
        <v>689</v>
      </c>
      <c r="B14" s="2120">
        <v>62.6</v>
      </c>
      <c r="C14" s="2089">
        <v>8.1000000000000003E-2</v>
      </c>
      <c r="D14" s="2121">
        <v>62.3</v>
      </c>
      <c r="E14" s="2091">
        <v>8.2000000000000003E-2</v>
      </c>
      <c r="F14" s="2121">
        <v>64.3</v>
      </c>
      <c r="G14" s="2091">
        <v>8.3000000000000004E-2</v>
      </c>
      <c r="H14" s="2090">
        <v>66</v>
      </c>
      <c r="I14" s="2091">
        <v>8.5999999999999993E-2</v>
      </c>
      <c r="J14" s="2090">
        <v>66.8</v>
      </c>
      <c r="K14" s="2092">
        <v>8.5999999999999993E-2</v>
      </c>
    </row>
    <row r="15" spans="1:11" ht="20.100000000000001" customHeight="1" x14ac:dyDescent="0.25">
      <c r="A15" s="2087" t="s">
        <v>690</v>
      </c>
      <c r="B15" s="2120">
        <v>6.4</v>
      </c>
      <c r="C15" s="2089">
        <v>8.0000000000000002E-3</v>
      </c>
      <c r="D15" s="2121">
        <v>7.5</v>
      </c>
      <c r="E15" s="2091">
        <v>0.01</v>
      </c>
      <c r="F15" s="2121">
        <v>7.2</v>
      </c>
      <c r="G15" s="2091">
        <v>8.9999999999999993E-3</v>
      </c>
      <c r="H15" s="2090">
        <v>7.1</v>
      </c>
      <c r="I15" s="2091">
        <v>8.9999999999999993E-3</v>
      </c>
      <c r="J15" s="2090">
        <v>7</v>
      </c>
      <c r="K15" s="2092">
        <v>8.9999999999999993E-3</v>
      </c>
    </row>
    <row r="16" spans="1:11" ht="20.100000000000001" customHeight="1" x14ac:dyDescent="0.25">
      <c r="A16" s="2087" t="s">
        <v>691</v>
      </c>
      <c r="B16" s="2120">
        <v>8.8000000000000007</v>
      </c>
      <c r="C16" s="2089">
        <v>1.0999999999999999E-2</v>
      </c>
      <c r="D16" s="2121">
        <v>9.1</v>
      </c>
      <c r="E16" s="2091">
        <v>1.2E-2</v>
      </c>
      <c r="F16" s="2121">
        <v>9.6</v>
      </c>
      <c r="G16" s="2091">
        <v>1.2E-2</v>
      </c>
      <c r="H16" s="2090">
        <v>9.6999999999999993</v>
      </c>
      <c r="I16" s="2091">
        <v>1.2999999999999999E-2</v>
      </c>
      <c r="J16" s="2090">
        <v>9.4</v>
      </c>
      <c r="K16" s="2092">
        <v>1.2E-2</v>
      </c>
    </row>
    <row r="17" spans="1:11" ht="20.100000000000001" customHeight="1" x14ac:dyDescent="0.25">
      <c r="A17" s="2087" t="s">
        <v>692</v>
      </c>
      <c r="B17" s="2120">
        <v>18.2</v>
      </c>
      <c r="C17" s="2089">
        <v>2.4E-2</v>
      </c>
      <c r="D17" s="2121">
        <v>18</v>
      </c>
      <c r="E17" s="2091">
        <v>2.4E-2</v>
      </c>
      <c r="F17" s="2121">
        <v>17.3</v>
      </c>
      <c r="G17" s="2091">
        <v>2.1999999999999999E-2</v>
      </c>
      <c r="H17" s="2090">
        <v>17.600000000000001</v>
      </c>
      <c r="I17" s="2091">
        <v>2.3E-2</v>
      </c>
      <c r="J17" s="2090">
        <v>17.399999999999999</v>
      </c>
      <c r="K17" s="2092">
        <v>2.3E-2</v>
      </c>
    </row>
    <row r="18" spans="1:11" ht="20.100000000000001" customHeight="1" x14ac:dyDescent="0.25">
      <c r="A18" s="2087" t="s">
        <v>693</v>
      </c>
      <c r="B18" s="2120">
        <v>17.399999999999999</v>
      </c>
      <c r="C18" s="2089">
        <v>2.3E-2</v>
      </c>
      <c r="D18" s="2121">
        <v>16.5</v>
      </c>
      <c r="E18" s="2091">
        <v>2.1999999999999999E-2</v>
      </c>
      <c r="F18" s="2121">
        <v>17.2</v>
      </c>
      <c r="G18" s="2091">
        <v>2.1999999999999999E-2</v>
      </c>
      <c r="H18" s="2090">
        <v>17</v>
      </c>
      <c r="I18" s="2091">
        <v>2.1999999999999999E-2</v>
      </c>
      <c r="J18" s="2090">
        <v>17.600000000000001</v>
      </c>
      <c r="K18" s="2092">
        <v>2.3E-2</v>
      </c>
    </row>
    <row r="19" spans="1:11" ht="20.100000000000001" customHeight="1" x14ac:dyDescent="0.25">
      <c r="A19" s="2087" t="s">
        <v>694</v>
      </c>
      <c r="B19" s="2120">
        <v>3.6</v>
      </c>
      <c r="C19" s="2089">
        <v>5.0000000000000001E-3</v>
      </c>
      <c r="D19" s="2121">
        <v>3.5</v>
      </c>
      <c r="E19" s="2091">
        <v>5.0000000000000001E-3</v>
      </c>
      <c r="F19" s="2121">
        <v>3.9</v>
      </c>
      <c r="G19" s="2091">
        <v>5.0000000000000001E-3</v>
      </c>
      <c r="H19" s="2090">
        <v>3.8</v>
      </c>
      <c r="I19" s="2091">
        <v>5.0000000000000001E-3</v>
      </c>
      <c r="J19" s="2090">
        <v>3.9</v>
      </c>
      <c r="K19" s="2092">
        <v>5.0000000000000001E-3</v>
      </c>
    </row>
    <row r="20" spans="1:11" ht="20.100000000000001" customHeight="1" x14ac:dyDescent="0.25">
      <c r="A20" s="2087" t="s">
        <v>695</v>
      </c>
      <c r="B20" s="2120">
        <v>5.2</v>
      </c>
      <c r="C20" s="2089">
        <v>7.0000000000000001E-3</v>
      </c>
      <c r="D20" s="2121">
        <v>6.1</v>
      </c>
      <c r="E20" s="2091">
        <v>8.0000000000000002E-3</v>
      </c>
      <c r="F20" s="2121">
        <v>6.7</v>
      </c>
      <c r="G20" s="2091">
        <v>8.9999999999999993E-3</v>
      </c>
      <c r="H20" s="2090">
        <v>6.4</v>
      </c>
      <c r="I20" s="2091">
        <v>8.0000000000000002E-3</v>
      </c>
      <c r="J20" s="2090">
        <v>6.2</v>
      </c>
      <c r="K20" s="2092">
        <v>8.0000000000000002E-3</v>
      </c>
    </row>
    <row r="21" spans="1:11" ht="20.100000000000001" customHeight="1" x14ac:dyDescent="0.25">
      <c r="A21" s="2087" t="s">
        <v>696</v>
      </c>
      <c r="B21" s="2120">
        <v>1.9</v>
      </c>
      <c r="C21" s="2089">
        <v>2E-3</v>
      </c>
      <c r="D21" s="2121">
        <v>1.9</v>
      </c>
      <c r="E21" s="2091">
        <v>2E-3</v>
      </c>
      <c r="F21" s="2121">
        <v>2</v>
      </c>
      <c r="G21" s="2091">
        <v>3.0000000000000001E-3</v>
      </c>
      <c r="H21" s="2090">
        <v>2.2000000000000002</v>
      </c>
      <c r="I21" s="2091">
        <v>3.0000000000000001E-3</v>
      </c>
      <c r="J21" s="2090">
        <v>2.5</v>
      </c>
      <c r="K21" s="2092">
        <v>3.0000000000000001E-3</v>
      </c>
    </row>
    <row r="22" spans="1:11" ht="20.100000000000001" customHeight="1" x14ac:dyDescent="0.25">
      <c r="A22" s="2087" t="s">
        <v>697</v>
      </c>
      <c r="B22" s="2120">
        <v>21.5</v>
      </c>
      <c r="C22" s="2089">
        <v>2.8000000000000001E-2</v>
      </c>
      <c r="D22" s="2121">
        <v>21.5</v>
      </c>
      <c r="E22" s="2091">
        <v>2.8000000000000001E-2</v>
      </c>
      <c r="F22" s="2121">
        <v>24.4</v>
      </c>
      <c r="G22" s="2091">
        <v>3.2000000000000001E-2</v>
      </c>
      <c r="H22" s="2090">
        <v>25</v>
      </c>
      <c r="I22" s="2091">
        <v>3.3000000000000002E-2</v>
      </c>
      <c r="J22" s="2090">
        <v>25.4</v>
      </c>
      <c r="K22" s="2092">
        <v>3.3000000000000002E-2</v>
      </c>
    </row>
    <row r="23" spans="1:11" ht="20.100000000000001" customHeight="1" x14ac:dyDescent="0.25">
      <c r="A23" s="2087" t="s">
        <v>698</v>
      </c>
      <c r="B23" s="2120">
        <v>8</v>
      </c>
      <c r="C23" s="2089">
        <v>0.01</v>
      </c>
      <c r="D23" s="2121">
        <v>8.1999999999999993</v>
      </c>
      <c r="E23" s="2091">
        <v>1.0999999999999999E-2</v>
      </c>
      <c r="F23" s="2121">
        <v>8</v>
      </c>
      <c r="G23" s="2091">
        <v>0.01</v>
      </c>
      <c r="H23" s="2090">
        <v>7.9</v>
      </c>
      <c r="I23" s="2091">
        <v>0.01</v>
      </c>
      <c r="J23" s="2090">
        <v>8.6</v>
      </c>
      <c r="K23" s="2092">
        <v>1.0999999999999999E-2</v>
      </c>
    </row>
    <row r="24" spans="1:11" ht="20.100000000000001" customHeight="1" x14ac:dyDescent="0.25">
      <c r="A24" s="2087" t="s">
        <v>699</v>
      </c>
      <c r="B24" s="2120">
        <v>19.5</v>
      </c>
      <c r="C24" s="2089">
        <v>2.5000000000000001E-2</v>
      </c>
      <c r="D24" s="2121">
        <v>18.100000000000001</v>
      </c>
      <c r="E24" s="2091">
        <v>2.4E-2</v>
      </c>
      <c r="F24" s="2121">
        <v>19.399999999999999</v>
      </c>
      <c r="G24" s="2091">
        <v>2.5000000000000001E-2</v>
      </c>
      <c r="H24" s="2090">
        <v>21.7</v>
      </c>
      <c r="I24" s="2091">
        <v>2.8000000000000001E-2</v>
      </c>
      <c r="J24" s="2090">
        <v>23.5</v>
      </c>
      <c r="K24" s="2092">
        <v>0.03</v>
      </c>
    </row>
    <row r="25" spans="1:11" ht="20.100000000000001" customHeight="1" x14ac:dyDescent="0.25">
      <c r="A25" s="2087" t="s">
        <v>700</v>
      </c>
      <c r="B25" s="2120">
        <v>2</v>
      </c>
      <c r="C25" s="2089">
        <v>3.0000000000000001E-3</v>
      </c>
      <c r="D25" s="2121">
        <v>2</v>
      </c>
      <c r="E25" s="2091">
        <v>3.0000000000000001E-3</v>
      </c>
      <c r="F25" s="2121">
        <v>2.1</v>
      </c>
      <c r="G25" s="2091">
        <v>3.0000000000000001E-3</v>
      </c>
      <c r="H25" s="2090">
        <v>1.9</v>
      </c>
      <c r="I25" s="2091">
        <v>2E-3</v>
      </c>
      <c r="J25" s="2090">
        <v>2.1</v>
      </c>
      <c r="K25" s="2092">
        <v>3.0000000000000001E-3</v>
      </c>
    </row>
    <row r="26" spans="1:11" ht="20.100000000000001" customHeight="1" x14ac:dyDescent="0.25">
      <c r="A26" s="2087" t="s">
        <v>701</v>
      </c>
      <c r="B26" s="2120">
        <v>10</v>
      </c>
      <c r="C26" s="2089">
        <v>1.2999999999999999E-2</v>
      </c>
      <c r="D26" s="2121">
        <v>10.1</v>
      </c>
      <c r="E26" s="2091">
        <v>1.2999999999999999E-2</v>
      </c>
      <c r="F26" s="2121">
        <v>10.4</v>
      </c>
      <c r="G26" s="2091">
        <v>1.2999999999999999E-2</v>
      </c>
      <c r="H26" s="2090">
        <v>10.8</v>
      </c>
      <c r="I26" s="2091">
        <v>1.4E-2</v>
      </c>
      <c r="J26" s="2090">
        <v>10.7</v>
      </c>
      <c r="K26" s="2092">
        <v>1.4E-2</v>
      </c>
    </row>
    <row r="27" spans="1:11" ht="20.100000000000001" customHeight="1" x14ac:dyDescent="0.25">
      <c r="A27" s="2087" t="s">
        <v>702</v>
      </c>
      <c r="B27" s="2120">
        <v>2.7</v>
      </c>
      <c r="C27" s="2089">
        <v>4.0000000000000001E-3</v>
      </c>
      <c r="D27" s="2121">
        <v>2.8</v>
      </c>
      <c r="E27" s="2091">
        <v>4.0000000000000001E-3</v>
      </c>
      <c r="F27" s="2121">
        <v>2.9</v>
      </c>
      <c r="G27" s="2091">
        <v>4.0000000000000001E-3</v>
      </c>
      <c r="H27" s="2090">
        <v>2.8</v>
      </c>
      <c r="I27" s="2091">
        <v>4.0000000000000001E-3</v>
      </c>
      <c r="J27" s="2090">
        <v>2.8</v>
      </c>
      <c r="K27" s="2092">
        <v>4.0000000000000001E-3</v>
      </c>
    </row>
    <row r="28" spans="1:11" ht="20.100000000000001" customHeight="1" x14ac:dyDescent="0.25">
      <c r="A28" s="2087" t="s">
        <v>703</v>
      </c>
      <c r="B28" s="2120">
        <v>28.3</v>
      </c>
      <c r="C28" s="2089">
        <v>3.6999999999999998E-2</v>
      </c>
      <c r="D28" s="2121">
        <v>27.6</v>
      </c>
      <c r="E28" s="2091">
        <v>3.5999999999999997E-2</v>
      </c>
      <c r="F28" s="2121">
        <v>28</v>
      </c>
      <c r="G28" s="2091">
        <v>3.5999999999999997E-2</v>
      </c>
      <c r="H28" s="2090">
        <v>25.2</v>
      </c>
      <c r="I28" s="2091">
        <v>3.3000000000000002E-2</v>
      </c>
      <c r="J28" s="2090">
        <v>24.5</v>
      </c>
      <c r="K28" s="2092">
        <v>3.2000000000000001E-2</v>
      </c>
    </row>
    <row r="29" spans="1:11" ht="20.100000000000001" customHeight="1" x14ac:dyDescent="0.25">
      <c r="A29" s="2093" t="s">
        <v>704</v>
      </c>
      <c r="B29" s="2123">
        <v>6.5</v>
      </c>
      <c r="C29" s="2095">
        <v>8.0000000000000002E-3</v>
      </c>
      <c r="D29" s="2124">
        <v>6.4</v>
      </c>
      <c r="E29" s="2097">
        <v>8.0000000000000002E-3</v>
      </c>
      <c r="F29" s="2124">
        <v>7.5</v>
      </c>
      <c r="G29" s="2097">
        <v>0.01</v>
      </c>
      <c r="H29" s="2096">
        <v>7.2</v>
      </c>
      <c r="I29" s="2097">
        <v>8.9999999999999993E-3</v>
      </c>
      <c r="J29" s="2096">
        <v>7.4</v>
      </c>
      <c r="K29" s="2098">
        <v>0.01</v>
      </c>
    </row>
    <row r="30" spans="1:11" ht="20.100000000000001" customHeight="1" x14ac:dyDescent="0.25">
      <c r="A30" s="2099" t="s">
        <v>705</v>
      </c>
      <c r="B30" s="2125">
        <v>282.59999999999997</v>
      </c>
      <c r="C30" s="2101">
        <v>0.36799999999999999</v>
      </c>
      <c r="D30" s="2126">
        <v>280.7</v>
      </c>
      <c r="E30" s="2103">
        <v>0.36799999999999999</v>
      </c>
      <c r="F30" s="2127">
        <v>290.39999999999998</v>
      </c>
      <c r="G30" s="2103">
        <v>0.375</v>
      </c>
      <c r="H30" s="2102">
        <v>292.8</v>
      </c>
      <c r="I30" s="2103">
        <v>0.38200000000000001</v>
      </c>
      <c r="J30" s="2102">
        <v>296.3</v>
      </c>
      <c r="K30" s="2104">
        <v>0.38500000000000001</v>
      </c>
    </row>
    <row r="31" spans="1:11" ht="20.100000000000001" customHeight="1" x14ac:dyDescent="0.25">
      <c r="A31" s="2128"/>
      <c r="B31" s="2129"/>
      <c r="C31" s="2107"/>
      <c r="D31" s="2130"/>
      <c r="E31" s="2109"/>
      <c r="F31" s="2130"/>
      <c r="G31" s="2109"/>
      <c r="H31" s="2108"/>
      <c r="I31" s="2109"/>
      <c r="J31" s="2108"/>
      <c r="K31" s="2110"/>
    </row>
    <row r="32" spans="1:11" ht="20.100000000000001" customHeight="1" x14ac:dyDescent="0.25">
      <c r="A32" s="2131" t="s">
        <v>706</v>
      </c>
      <c r="B32" s="2120">
        <v>768.89999999999986</v>
      </c>
      <c r="C32" s="2132">
        <v>1</v>
      </c>
      <c r="D32" s="2121">
        <v>763.7</v>
      </c>
      <c r="E32" s="2133">
        <v>1</v>
      </c>
      <c r="F32" s="2121">
        <v>773.4</v>
      </c>
      <c r="G32" s="2133">
        <v>1</v>
      </c>
      <c r="H32" s="2090">
        <v>767.5</v>
      </c>
      <c r="I32" s="2133">
        <v>1</v>
      </c>
      <c r="J32" s="2090">
        <v>769.10000000000014</v>
      </c>
      <c r="K32" s="2134">
        <v>1</v>
      </c>
    </row>
    <row r="33" spans="1:11" ht="20.100000000000001" customHeight="1" x14ac:dyDescent="0.25">
      <c r="A33" s="2131" t="s">
        <v>707</v>
      </c>
      <c r="B33" s="2120">
        <v>-7.2</v>
      </c>
      <c r="C33" s="2135"/>
      <c r="D33" s="2121">
        <v>-7.1</v>
      </c>
      <c r="E33" s="2136"/>
      <c r="F33" s="2121">
        <v>-6.9</v>
      </c>
      <c r="G33" s="2137"/>
      <c r="H33" s="2090">
        <v>-6.5</v>
      </c>
      <c r="I33" s="2137"/>
      <c r="J33" s="2090">
        <v>-6.7</v>
      </c>
      <c r="K33" s="2138"/>
    </row>
    <row r="34" spans="1:11" ht="20.100000000000001" customHeight="1" x14ac:dyDescent="0.25">
      <c r="A34" s="2139" t="s">
        <v>708</v>
      </c>
      <c r="B34" s="2123">
        <v>761.69999999999982</v>
      </c>
      <c r="C34" s="2140"/>
      <c r="D34" s="2124">
        <v>756.6</v>
      </c>
      <c r="E34" s="2141"/>
      <c r="F34" s="2124">
        <v>766.5</v>
      </c>
      <c r="G34" s="2142"/>
      <c r="H34" s="2096">
        <v>761</v>
      </c>
      <c r="I34" s="2142"/>
      <c r="J34" s="2096">
        <v>762.40000000000009</v>
      </c>
      <c r="K34" s="2143"/>
    </row>
    <row r="35" spans="1:11" ht="20.100000000000001" customHeight="1" x14ac:dyDescent="0.25">
      <c r="A35" s="2144"/>
      <c r="B35" s="2144"/>
      <c r="C35" s="2144"/>
      <c r="D35" s="2145"/>
      <c r="E35" s="2145"/>
      <c r="F35" s="2145"/>
      <c r="G35" s="2146"/>
      <c r="H35" s="2146"/>
      <c r="I35" s="2146"/>
      <c r="J35" s="2146"/>
      <c r="K35" s="2146"/>
    </row>
    <row r="36" spans="1:11" ht="12" customHeight="1" x14ac:dyDescent="0.25">
      <c r="A36" s="3510" t="s">
        <v>709</v>
      </c>
      <c r="B36" s="3455" t="s">
        <v>14</v>
      </c>
      <c r="C36" s="3455" t="s">
        <v>14</v>
      </c>
      <c r="D36" s="3455" t="s">
        <v>14</v>
      </c>
      <c r="E36" s="3455" t="s">
        <v>14</v>
      </c>
      <c r="F36" s="3455" t="s">
        <v>14</v>
      </c>
      <c r="G36" s="3455" t="s">
        <v>14</v>
      </c>
      <c r="H36" s="3455" t="s">
        <v>14</v>
      </c>
      <c r="I36" s="3455" t="s">
        <v>14</v>
      </c>
      <c r="J36" s="3455" t="s">
        <v>14</v>
      </c>
      <c r="K36" s="3455" t="s">
        <v>14</v>
      </c>
    </row>
    <row r="37" spans="1:11" ht="12" customHeight="1" x14ac:dyDescent="0.25">
      <c r="A37" s="3510" t="s">
        <v>710</v>
      </c>
      <c r="B37" s="3455" t="s">
        <v>14</v>
      </c>
      <c r="C37" s="3455" t="s">
        <v>14</v>
      </c>
      <c r="D37" s="3455" t="s">
        <v>14</v>
      </c>
      <c r="E37" s="3455" t="s">
        <v>14</v>
      </c>
      <c r="F37" s="3455" t="s">
        <v>14</v>
      </c>
      <c r="G37" s="3455" t="s">
        <v>14</v>
      </c>
      <c r="H37" s="3455" t="s">
        <v>14</v>
      </c>
      <c r="I37" s="3455" t="s">
        <v>14</v>
      </c>
      <c r="J37" s="3455" t="s">
        <v>14</v>
      </c>
      <c r="K37" s="3455" t="s">
        <v>14</v>
      </c>
    </row>
    <row r="38" spans="1:11" ht="12" customHeight="1" x14ac:dyDescent="0.25">
      <c r="A38" s="3510" t="s">
        <v>711</v>
      </c>
      <c r="B38" s="3455" t="s">
        <v>14</v>
      </c>
      <c r="C38" s="3455" t="s">
        <v>14</v>
      </c>
      <c r="D38" s="3455" t="s">
        <v>14</v>
      </c>
      <c r="E38" s="3455" t="s">
        <v>14</v>
      </c>
      <c r="F38" s="3455" t="s">
        <v>14</v>
      </c>
      <c r="G38" s="3455" t="s">
        <v>14</v>
      </c>
      <c r="H38" s="3455" t="s">
        <v>14</v>
      </c>
      <c r="I38" s="3455" t="s">
        <v>14</v>
      </c>
      <c r="J38" s="3455" t="s">
        <v>14</v>
      </c>
      <c r="K38" s="3455" t="s">
        <v>14</v>
      </c>
    </row>
    <row r="39" spans="1:11" ht="10.35" customHeight="1" x14ac:dyDescent="0.25">
      <c r="A39" s="2147"/>
      <c r="B39" s="2147"/>
      <c r="C39" s="2147"/>
      <c r="D39" s="2147"/>
      <c r="E39" s="2147"/>
      <c r="F39" s="2147"/>
      <c r="G39" s="2147"/>
      <c r="H39" s="2147"/>
      <c r="I39" s="2147"/>
      <c r="J39" s="2147"/>
      <c r="K39" s="2147"/>
    </row>
  </sheetData>
  <mergeCells count="9">
    <mergeCell ref="A36:K36"/>
    <mergeCell ref="A37:K37"/>
    <mergeCell ref="A38:K38"/>
    <mergeCell ref="A2:K2"/>
    <mergeCell ref="B3:C3"/>
    <mergeCell ref="D3:E3"/>
    <mergeCell ref="F3:G3"/>
    <mergeCell ref="H3:I3"/>
    <mergeCell ref="J3:K3"/>
  </mergeCells>
  <hyperlinks>
    <hyperlink ref="A1" location="ToC!A2" display="Back to Table of Contents" xr:uid="{2333550D-48C4-47C1-8691-9CEFC3DD4324}"/>
  </hyperlinks>
  <pageMargins left="0.5" right="0.5" top="0.5" bottom="0.5" header="0.25" footer="0.25"/>
  <pageSetup scale="72" orientation="landscape" r:id="rId1"/>
  <headerFooter>
    <oddFooter>&amp;L&amp;G&amp;C&amp;"Scotia,Regular"&amp;9Supplementary Financial Information (SFI)&amp;R18&amp;"Scotia,Regular"&amp;7</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4147-C53C-493F-AAD8-0003829EADDD}">
  <sheetPr>
    <pageSetUpPr fitToPage="1"/>
  </sheetPr>
  <dimension ref="A1:J63"/>
  <sheetViews>
    <sheetView showGridLines="0" zoomScaleNormal="100" workbookViewId="0"/>
  </sheetViews>
  <sheetFormatPr defaultColWidth="8.77734375" defaultRowHeight="13.2" x14ac:dyDescent="0.25"/>
  <cols>
    <col min="1" max="1" width="92.77734375" style="22" customWidth="1"/>
    <col min="2" max="9" width="10.77734375" style="22" customWidth="1"/>
    <col min="10" max="10" width="10.21875" style="22" customWidth="1"/>
    <col min="11" max="16384" width="8.77734375" style="22"/>
  </cols>
  <sheetData>
    <row r="1" spans="1:10" ht="19.95" customHeight="1" x14ac:dyDescent="0.25">
      <c r="A1" s="21" t="s">
        <v>12</v>
      </c>
    </row>
    <row r="2" spans="1:10" ht="25.35" customHeight="1" x14ac:dyDescent="0.25">
      <c r="A2" s="3554" t="s">
        <v>712</v>
      </c>
      <c r="B2" s="3554" t="s">
        <v>14</v>
      </c>
      <c r="C2" s="3554" t="s">
        <v>14</v>
      </c>
      <c r="D2" s="3554" t="s">
        <v>14</v>
      </c>
      <c r="E2" s="3554" t="s">
        <v>14</v>
      </c>
      <c r="F2" s="3554" t="s">
        <v>14</v>
      </c>
      <c r="G2" s="3554" t="s">
        <v>14</v>
      </c>
      <c r="H2" s="3554" t="s">
        <v>14</v>
      </c>
      <c r="I2" s="3554" t="s">
        <v>14</v>
      </c>
      <c r="J2" s="3554" t="s">
        <v>14</v>
      </c>
    </row>
    <row r="3" spans="1:10" ht="13.35" customHeight="1" x14ac:dyDescent="0.25">
      <c r="A3" s="2148"/>
      <c r="B3" s="3608" t="s">
        <v>172</v>
      </c>
      <c r="C3" s="3608" t="s">
        <v>14</v>
      </c>
      <c r="D3" s="3609" t="s">
        <v>14</v>
      </c>
      <c r="E3" s="3610" t="s">
        <v>343</v>
      </c>
      <c r="F3" s="3611" t="s">
        <v>14</v>
      </c>
      <c r="G3" s="3611" t="s">
        <v>14</v>
      </c>
      <c r="H3" s="3612" t="s">
        <v>14</v>
      </c>
      <c r="I3" s="3613" t="s">
        <v>344</v>
      </c>
      <c r="J3" s="3611" t="s">
        <v>14</v>
      </c>
    </row>
    <row r="4" spans="1:10" ht="13.35" customHeight="1" x14ac:dyDescent="0.25">
      <c r="A4" s="2149" t="s">
        <v>270</v>
      </c>
      <c r="B4" s="2150" t="s">
        <v>176</v>
      </c>
      <c r="C4" s="2151" t="s">
        <v>177</v>
      </c>
      <c r="D4" s="2152" t="s">
        <v>178</v>
      </c>
      <c r="E4" s="2153" t="s">
        <v>179</v>
      </c>
      <c r="F4" s="2151" t="s">
        <v>180</v>
      </c>
      <c r="G4" s="2151" t="s">
        <v>177</v>
      </c>
      <c r="H4" s="2152" t="s">
        <v>178</v>
      </c>
      <c r="I4" s="2154" t="s">
        <v>179</v>
      </c>
      <c r="J4" s="2151" t="s">
        <v>180</v>
      </c>
    </row>
    <row r="5" spans="1:10" ht="13.35" customHeight="1" x14ac:dyDescent="0.25">
      <c r="A5" s="2001" t="s">
        <v>713</v>
      </c>
      <c r="B5" s="2008"/>
      <c r="C5" s="2155"/>
      <c r="D5" s="2156"/>
      <c r="E5" s="2157"/>
      <c r="F5" s="2155"/>
      <c r="G5" s="2155"/>
      <c r="H5" s="2156"/>
      <c r="I5" s="2157"/>
      <c r="J5" s="2155"/>
    </row>
    <row r="6" spans="1:10" ht="13.35" customHeight="1" x14ac:dyDescent="0.25">
      <c r="A6" s="2158" t="s">
        <v>714</v>
      </c>
      <c r="B6" s="2159">
        <v>1218</v>
      </c>
      <c r="C6" s="2160">
        <v>1241</v>
      </c>
      <c r="D6" s="2161">
        <v>1309</v>
      </c>
      <c r="E6" s="2162">
        <v>1212</v>
      </c>
      <c r="F6" s="2163">
        <v>994</v>
      </c>
      <c r="G6" s="2163">
        <v>991</v>
      </c>
      <c r="H6" s="2164">
        <v>1011</v>
      </c>
      <c r="I6" s="2165">
        <v>965</v>
      </c>
      <c r="J6" s="2163">
        <v>850</v>
      </c>
    </row>
    <row r="7" spans="1:10" ht="13.35" customHeight="1" x14ac:dyDescent="0.25">
      <c r="A7" s="2158" t="s">
        <v>715</v>
      </c>
      <c r="B7" s="2159">
        <v>910</v>
      </c>
      <c r="C7" s="2160">
        <v>920</v>
      </c>
      <c r="D7" s="2161">
        <v>883</v>
      </c>
      <c r="E7" s="2162">
        <v>840</v>
      </c>
      <c r="F7" s="2163">
        <v>776</v>
      </c>
      <c r="G7" s="2163">
        <v>674</v>
      </c>
      <c r="H7" s="2164">
        <v>673</v>
      </c>
      <c r="I7" s="2165">
        <v>475</v>
      </c>
      <c r="J7" s="2163">
        <v>482</v>
      </c>
    </row>
    <row r="8" spans="1:10" ht="13.35" customHeight="1" x14ac:dyDescent="0.25">
      <c r="A8" s="2166" t="s">
        <v>716</v>
      </c>
      <c r="B8" s="2159">
        <v>2128</v>
      </c>
      <c r="C8" s="2160">
        <v>2161</v>
      </c>
      <c r="D8" s="2161">
        <v>2192</v>
      </c>
      <c r="E8" s="2162">
        <v>2052</v>
      </c>
      <c r="F8" s="2163">
        <v>1770</v>
      </c>
      <c r="G8" s="2163">
        <v>1665</v>
      </c>
      <c r="H8" s="2164">
        <v>1684</v>
      </c>
      <c r="I8" s="2165">
        <v>1440</v>
      </c>
      <c r="J8" s="2163">
        <v>1332</v>
      </c>
    </row>
    <row r="9" spans="1:10" ht="13.35" customHeight="1" x14ac:dyDescent="0.25">
      <c r="A9" s="2158" t="s">
        <v>714</v>
      </c>
      <c r="B9" s="2167">
        <v>2458</v>
      </c>
      <c r="C9" s="2168">
        <v>2369</v>
      </c>
      <c r="D9" s="2161">
        <v>2398</v>
      </c>
      <c r="E9" s="2162">
        <v>2252</v>
      </c>
      <c r="F9" s="2163">
        <v>2317</v>
      </c>
      <c r="G9" s="2163">
        <v>2332</v>
      </c>
      <c r="H9" s="2164">
        <v>2206</v>
      </c>
      <c r="I9" s="2165">
        <v>2055</v>
      </c>
      <c r="J9" s="2163">
        <v>1983</v>
      </c>
    </row>
    <row r="10" spans="1:10" ht="13.35" customHeight="1" x14ac:dyDescent="0.25">
      <c r="A10" s="2169" t="s">
        <v>717</v>
      </c>
      <c r="B10" s="2167">
        <v>335</v>
      </c>
      <c r="C10" s="2168">
        <v>327</v>
      </c>
      <c r="D10" s="2161">
        <v>354</v>
      </c>
      <c r="E10" s="2162">
        <v>344</v>
      </c>
      <c r="F10" s="2163">
        <v>334</v>
      </c>
      <c r="G10" s="2163">
        <v>324</v>
      </c>
      <c r="H10" s="2164">
        <v>319</v>
      </c>
      <c r="I10" s="2165">
        <v>343</v>
      </c>
      <c r="J10" s="2163">
        <v>327</v>
      </c>
    </row>
    <row r="11" spans="1:10" ht="13.35" customHeight="1" x14ac:dyDescent="0.25">
      <c r="A11" s="2169" t="s">
        <v>718</v>
      </c>
      <c r="B11" s="2167">
        <v>927</v>
      </c>
      <c r="C11" s="2168">
        <v>863</v>
      </c>
      <c r="D11" s="2161">
        <v>802</v>
      </c>
      <c r="E11" s="2162">
        <v>735</v>
      </c>
      <c r="F11" s="2163">
        <v>737</v>
      </c>
      <c r="G11" s="2163">
        <v>745</v>
      </c>
      <c r="H11" s="2164">
        <v>692</v>
      </c>
      <c r="I11" s="2165">
        <v>621</v>
      </c>
      <c r="J11" s="2163">
        <v>640</v>
      </c>
    </row>
    <row r="12" spans="1:10" ht="13.35" customHeight="1" x14ac:dyDescent="0.25">
      <c r="A12" s="2169" t="s">
        <v>719</v>
      </c>
      <c r="B12" s="2167">
        <v>337</v>
      </c>
      <c r="C12" s="2168">
        <v>331</v>
      </c>
      <c r="D12" s="2161">
        <v>372</v>
      </c>
      <c r="E12" s="2162">
        <v>370</v>
      </c>
      <c r="F12" s="2163">
        <v>393</v>
      </c>
      <c r="G12" s="2163">
        <v>388</v>
      </c>
      <c r="H12" s="2164">
        <v>362</v>
      </c>
      <c r="I12" s="2165">
        <v>341</v>
      </c>
      <c r="J12" s="2163">
        <v>307</v>
      </c>
    </row>
    <row r="13" spans="1:10" ht="13.35" customHeight="1" x14ac:dyDescent="0.25">
      <c r="A13" s="2169" t="s">
        <v>720</v>
      </c>
      <c r="B13" s="2167">
        <v>595</v>
      </c>
      <c r="C13" s="2168">
        <v>590</v>
      </c>
      <c r="D13" s="2161">
        <v>590</v>
      </c>
      <c r="E13" s="2162">
        <v>543</v>
      </c>
      <c r="F13" s="2163">
        <v>559</v>
      </c>
      <c r="G13" s="2163">
        <v>563</v>
      </c>
      <c r="H13" s="2164">
        <v>534</v>
      </c>
      <c r="I13" s="2165">
        <v>496</v>
      </c>
      <c r="J13" s="2163">
        <v>472</v>
      </c>
    </row>
    <row r="14" spans="1:10" ht="13.35" customHeight="1" x14ac:dyDescent="0.25">
      <c r="A14" s="2169" t="s">
        <v>721</v>
      </c>
      <c r="B14" s="2167">
        <v>182</v>
      </c>
      <c r="C14" s="2168">
        <v>182</v>
      </c>
      <c r="D14" s="2161">
        <v>202</v>
      </c>
      <c r="E14" s="2162">
        <v>180</v>
      </c>
      <c r="F14" s="2163">
        <v>212</v>
      </c>
      <c r="G14" s="2163">
        <v>225</v>
      </c>
      <c r="H14" s="2164">
        <v>215</v>
      </c>
      <c r="I14" s="2165">
        <v>173</v>
      </c>
      <c r="J14" s="2163">
        <v>159</v>
      </c>
    </row>
    <row r="15" spans="1:10" ht="13.35" customHeight="1" x14ac:dyDescent="0.25">
      <c r="A15" s="2169" t="s">
        <v>703</v>
      </c>
      <c r="B15" s="2167">
        <v>82</v>
      </c>
      <c r="C15" s="2168">
        <v>76</v>
      </c>
      <c r="D15" s="2161">
        <v>78</v>
      </c>
      <c r="E15" s="2162">
        <v>80</v>
      </c>
      <c r="F15" s="2163">
        <v>82</v>
      </c>
      <c r="G15" s="2163">
        <v>87</v>
      </c>
      <c r="H15" s="2164">
        <v>84</v>
      </c>
      <c r="I15" s="2165">
        <v>81</v>
      </c>
      <c r="J15" s="2163">
        <v>78</v>
      </c>
    </row>
    <row r="16" spans="1:10" ht="13.35" customHeight="1" x14ac:dyDescent="0.25">
      <c r="A16" s="2158" t="s">
        <v>722</v>
      </c>
      <c r="B16" s="2159">
        <v>2175</v>
      </c>
      <c r="C16" s="2160">
        <v>2128</v>
      </c>
      <c r="D16" s="2161">
        <v>2245</v>
      </c>
      <c r="E16" s="2162">
        <v>2208</v>
      </c>
      <c r="F16" s="2163">
        <v>2282</v>
      </c>
      <c r="G16" s="2163">
        <v>2271</v>
      </c>
      <c r="H16" s="2164">
        <v>2133</v>
      </c>
      <c r="I16" s="2165">
        <v>2102</v>
      </c>
      <c r="J16" s="2163">
        <v>2058</v>
      </c>
    </row>
    <row r="17" spans="1:10" ht="13.35" customHeight="1" x14ac:dyDescent="0.25">
      <c r="A17" s="2169" t="s">
        <v>717</v>
      </c>
      <c r="B17" s="2159">
        <v>264</v>
      </c>
      <c r="C17" s="2160">
        <v>275</v>
      </c>
      <c r="D17" s="2161">
        <v>332</v>
      </c>
      <c r="E17" s="2162">
        <v>321</v>
      </c>
      <c r="F17" s="2163">
        <v>330</v>
      </c>
      <c r="G17" s="2163">
        <v>341</v>
      </c>
      <c r="H17" s="2164">
        <v>309</v>
      </c>
      <c r="I17" s="2165">
        <v>319</v>
      </c>
      <c r="J17" s="2163">
        <v>316</v>
      </c>
    </row>
    <row r="18" spans="1:10" ht="13.35" customHeight="1" x14ac:dyDescent="0.25">
      <c r="A18" s="2169" t="s">
        <v>718</v>
      </c>
      <c r="B18" s="2159">
        <v>519</v>
      </c>
      <c r="C18" s="2160">
        <v>523</v>
      </c>
      <c r="D18" s="2161">
        <v>569</v>
      </c>
      <c r="E18" s="2162">
        <v>608</v>
      </c>
      <c r="F18" s="2163">
        <v>632</v>
      </c>
      <c r="G18" s="2163">
        <v>625</v>
      </c>
      <c r="H18" s="2164">
        <v>650</v>
      </c>
      <c r="I18" s="2165">
        <v>562</v>
      </c>
      <c r="J18" s="2163">
        <v>571</v>
      </c>
    </row>
    <row r="19" spans="1:10" ht="13.35" customHeight="1" x14ac:dyDescent="0.25">
      <c r="A19" s="2169" t="s">
        <v>719</v>
      </c>
      <c r="B19" s="2159">
        <v>429</v>
      </c>
      <c r="C19" s="2160">
        <v>380</v>
      </c>
      <c r="D19" s="2161">
        <v>358</v>
      </c>
      <c r="E19" s="2162">
        <v>345</v>
      </c>
      <c r="F19" s="2163">
        <v>340</v>
      </c>
      <c r="G19" s="2163">
        <v>346</v>
      </c>
      <c r="H19" s="2164">
        <v>339</v>
      </c>
      <c r="I19" s="2165">
        <v>350</v>
      </c>
      <c r="J19" s="2163">
        <v>337</v>
      </c>
    </row>
    <row r="20" spans="1:10" ht="13.35" customHeight="1" x14ac:dyDescent="0.25">
      <c r="A20" s="2169" t="s">
        <v>720</v>
      </c>
      <c r="B20" s="2159">
        <v>750</v>
      </c>
      <c r="C20" s="2160">
        <v>732</v>
      </c>
      <c r="D20" s="2161">
        <v>753</v>
      </c>
      <c r="E20" s="2162">
        <v>706</v>
      </c>
      <c r="F20" s="2163">
        <v>741</v>
      </c>
      <c r="G20" s="2163">
        <v>695</v>
      </c>
      <c r="H20" s="2164">
        <v>569</v>
      </c>
      <c r="I20" s="2165">
        <v>602</v>
      </c>
      <c r="J20" s="2163">
        <v>556</v>
      </c>
    </row>
    <row r="21" spans="1:10" ht="13.35" customHeight="1" x14ac:dyDescent="0.25">
      <c r="A21" s="2169" t="s">
        <v>721</v>
      </c>
      <c r="B21" s="2159">
        <v>150</v>
      </c>
      <c r="C21" s="2160">
        <v>154</v>
      </c>
      <c r="D21" s="2161">
        <v>162</v>
      </c>
      <c r="E21" s="2162">
        <v>142</v>
      </c>
      <c r="F21" s="2163">
        <v>152</v>
      </c>
      <c r="G21" s="2163">
        <v>176</v>
      </c>
      <c r="H21" s="2164">
        <v>184</v>
      </c>
      <c r="I21" s="2165">
        <v>183</v>
      </c>
      <c r="J21" s="2163">
        <v>183</v>
      </c>
    </row>
    <row r="22" spans="1:10" ht="13.35" customHeight="1" x14ac:dyDescent="0.25">
      <c r="A22" s="2169" t="s">
        <v>723</v>
      </c>
      <c r="B22" s="2159">
        <v>63</v>
      </c>
      <c r="C22" s="2160">
        <v>64</v>
      </c>
      <c r="D22" s="2161">
        <v>71</v>
      </c>
      <c r="E22" s="2162">
        <v>86</v>
      </c>
      <c r="F22" s="2163">
        <v>87</v>
      </c>
      <c r="G22" s="2163">
        <v>88</v>
      </c>
      <c r="H22" s="2164">
        <v>82</v>
      </c>
      <c r="I22" s="2165">
        <v>86</v>
      </c>
      <c r="J22" s="2163">
        <v>95</v>
      </c>
    </row>
    <row r="23" spans="1:10" ht="13.35" customHeight="1" x14ac:dyDescent="0.25">
      <c r="A23" s="2166" t="s">
        <v>724</v>
      </c>
      <c r="B23" s="2159">
        <v>4633</v>
      </c>
      <c r="C23" s="2160">
        <v>4497</v>
      </c>
      <c r="D23" s="2161">
        <v>4643</v>
      </c>
      <c r="E23" s="2162">
        <v>4460</v>
      </c>
      <c r="F23" s="2163">
        <v>4599</v>
      </c>
      <c r="G23" s="2163">
        <v>4603</v>
      </c>
      <c r="H23" s="2164">
        <v>4339</v>
      </c>
      <c r="I23" s="2165">
        <v>4157</v>
      </c>
      <c r="J23" s="2163">
        <v>4041</v>
      </c>
    </row>
    <row r="24" spans="1:10" ht="13.35" customHeight="1" x14ac:dyDescent="0.25">
      <c r="A24" s="2166" t="s">
        <v>725</v>
      </c>
      <c r="B24" s="2159">
        <v>86</v>
      </c>
      <c r="C24" s="2160">
        <v>83</v>
      </c>
      <c r="D24" s="2161">
        <v>71</v>
      </c>
      <c r="E24" s="2162">
        <v>71</v>
      </c>
      <c r="F24" s="2163">
        <v>66</v>
      </c>
      <c r="G24" s="2163">
        <v>75</v>
      </c>
      <c r="H24" s="2164">
        <v>48</v>
      </c>
      <c r="I24" s="2165">
        <v>32</v>
      </c>
      <c r="J24" s="2163">
        <v>19</v>
      </c>
    </row>
    <row r="25" spans="1:10" ht="13.35" customHeight="1" x14ac:dyDescent="0.25">
      <c r="A25" s="2158" t="s">
        <v>390</v>
      </c>
      <c r="B25" s="2159">
        <v>43</v>
      </c>
      <c r="C25" s="2160">
        <v>44</v>
      </c>
      <c r="D25" s="2161">
        <v>48</v>
      </c>
      <c r="E25" s="2162">
        <v>47</v>
      </c>
      <c r="F25" s="2163">
        <v>48</v>
      </c>
      <c r="G25" s="2163">
        <v>50</v>
      </c>
      <c r="H25" s="2164">
        <v>48</v>
      </c>
      <c r="I25" s="2165">
        <v>96</v>
      </c>
      <c r="J25" s="2163">
        <v>94</v>
      </c>
    </row>
    <row r="26" spans="1:10" ht="13.35" customHeight="1" x14ac:dyDescent="0.25">
      <c r="A26" s="2158" t="s">
        <v>726</v>
      </c>
      <c r="B26" s="2159">
        <v>0</v>
      </c>
      <c r="C26" s="2160">
        <v>64</v>
      </c>
      <c r="D26" s="2161">
        <v>110</v>
      </c>
      <c r="E26" s="2162">
        <v>109</v>
      </c>
      <c r="F26" s="2163">
        <v>6</v>
      </c>
      <c r="G26" s="2163">
        <v>6</v>
      </c>
      <c r="H26" s="2164">
        <v>0</v>
      </c>
      <c r="I26" s="2165">
        <v>0</v>
      </c>
      <c r="J26" s="2163">
        <v>0</v>
      </c>
    </row>
    <row r="27" spans="1:10" ht="13.35" customHeight="1" x14ac:dyDescent="0.25">
      <c r="A27" s="2158" t="s">
        <v>727</v>
      </c>
      <c r="B27" s="2159">
        <v>0</v>
      </c>
      <c r="C27" s="2160">
        <v>0</v>
      </c>
      <c r="D27" s="2161">
        <v>0</v>
      </c>
      <c r="E27" s="2162">
        <v>0</v>
      </c>
      <c r="F27" s="2163">
        <v>0</v>
      </c>
      <c r="G27" s="2163">
        <v>0</v>
      </c>
      <c r="H27" s="2164">
        <v>0</v>
      </c>
      <c r="I27" s="2165">
        <v>0</v>
      </c>
      <c r="J27" s="2163">
        <v>0</v>
      </c>
    </row>
    <row r="28" spans="1:10" ht="13.35" customHeight="1" x14ac:dyDescent="0.25">
      <c r="A28" s="2158" t="s">
        <v>728</v>
      </c>
      <c r="B28" s="2159">
        <v>0</v>
      </c>
      <c r="C28" s="2160">
        <v>0</v>
      </c>
      <c r="D28" s="2161">
        <v>0</v>
      </c>
      <c r="E28" s="2162">
        <v>0</v>
      </c>
      <c r="F28" s="2163">
        <v>0</v>
      </c>
      <c r="G28" s="2163">
        <v>0</v>
      </c>
      <c r="H28" s="2164">
        <v>0</v>
      </c>
      <c r="I28" s="2165">
        <v>1</v>
      </c>
      <c r="J28" s="2163">
        <v>1</v>
      </c>
    </row>
    <row r="29" spans="1:10" ht="13.35" customHeight="1" x14ac:dyDescent="0.25">
      <c r="A29" s="2166" t="s">
        <v>729</v>
      </c>
      <c r="B29" s="2159">
        <v>43</v>
      </c>
      <c r="C29" s="2160">
        <v>108</v>
      </c>
      <c r="D29" s="2161">
        <v>158</v>
      </c>
      <c r="E29" s="2162">
        <v>156</v>
      </c>
      <c r="F29" s="2163">
        <v>54</v>
      </c>
      <c r="G29" s="2163">
        <v>56</v>
      </c>
      <c r="H29" s="2164">
        <v>48</v>
      </c>
      <c r="I29" s="2165">
        <v>97</v>
      </c>
      <c r="J29" s="2163">
        <v>95</v>
      </c>
    </row>
    <row r="30" spans="1:10" ht="13.35" customHeight="1" x14ac:dyDescent="0.25">
      <c r="A30" s="2170" t="s">
        <v>730</v>
      </c>
      <c r="B30" s="2159">
        <v>6890</v>
      </c>
      <c r="C30" s="2160">
        <v>6849</v>
      </c>
      <c r="D30" s="2161">
        <v>7064</v>
      </c>
      <c r="E30" s="2162">
        <v>6739</v>
      </c>
      <c r="F30" s="2163">
        <v>6489</v>
      </c>
      <c r="G30" s="2163">
        <v>6399</v>
      </c>
      <c r="H30" s="2164">
        <v>6119</v>
      </c>
      <c r="I30" s="2165">
        <v>5726</v>
      </c>
      <c r="J30" s="2163">
        <v>5487</v>
      </c>
    </row>
    <row r="31" spans="1:10" ht="13.35" customHeight="1" x14ac:dyDescent="0.25">
      <c r="A31" s="2171"/>
      <c r="B31" s="2172"/>
      <c r="C31" s="2173"/>
      <c r="D31" s="2174"/>
      <c r="E31" s="2175"/>
      <c r="F31" s="2176"/>
      <c r="G31" s="2176"/>
      <c r="H31" s="2174"/>
      <c r="I31" s="2175"/>
      <c r="J31" s="2176"/>
    </row>
    <row r="32" spans="1:10" ht="13.35" customHeight="1" x14ac:dyDescent="0.25">
      <c r="A32" s="2177" t="s">
        <v>731</v>
      </c>
      <c r="B32" s="2178"/>
      <c r="C32" s="2179"/>
      <c r="D32" s="2180"/>
      <c r="E32" s="2181"/>
      <c r="F32" s="2182"/>
      <c r="G32" s="2182"/>
      <c r="H32" s="2180"/>
      <c r="I32" s="2183"/>
      <c r="J32" s="2182"/>
    </row>
    <row r="33" spans="1:10" ht="13.35" customHeight="1" x14ac:dyDescent="0.25">
      <c r="A33" s="2184" t="s">
        <v>714</v>
      </c>
      <c r="B33" s="2185">
        <v>799</v>
      </c>
      <c r="C33" s="2186">
        <v>798</v>
      </c>
      <c r="D33" s="2058">
        <v>907</v>
      </c>
      <c r="E33" s="2056">
        <v>847</v>
      </c>
      <c r="F33" s="2057">
        <v>674</v>
      </c>
      <c r="G33" s="2057">
        <v>664</v>
      </c>
      <c r="H33" s="2058">
        <v>724</v>
      </c>
      <c r="I33" s="2056">
        <v>612</v>
      </c>
      <c r="J33" s="2057">
        <v>532</v>
      </c>
    </row>
    <row r="34" spans="1:10" ht="13.35" customHeight="1" x14ac:dyDescent="0.25">
      <c r="A34" s="2158" t="s">
        <v>715</v>
      </c>
      <c r="B34" s="2159">
        <v>687</v>
      </c>
      <c r="C34" s="2160">
        <v>700</v>
      </c>
      <c r="D34" s="2161">
        <v>681</v>
      </c>
      <c r="E34" s="2162">
        <v>654</v>
      </c>
      <c r="F34" s="2163">
        <v>579</v>
      </c>
      <c r="G34" s="2163">
        <v>494</v>
      </c>
      <c r="H34" s="2164">
        <v>493</v>
      </c>
      <c r="I34" s="2165">
        <v>337</v>
      </c>
      <c r="J34" s="2163">
        <v>340</v>
      </c>
    </row>
    <row r="35" spans="1:10" ht="13.35" customHeight="1" x14ac:dyDescent="0.25">
      <c r="A35" s="2166" t="s">
        <v>716</v>
      </c>
      <c r="B35" s="2159">
        <v>1486</v>
      </c>
      <c r="C35" s="2160">
        <v>1498</v>
      </c>
      <c r="D35" s="2161">
        <v>1588</v>
      </c>
      <c r="E35" s="2162">
        <v>1501</v>
      </c>
      <c r="F35" s="2163">
        <v>1253</v>
      </c>
      <c r="G35" s="2163">
        <v>1158</v>
      </c>
      <c r="H35" s="2164">
        <v>1217</v>
      </c>
      <c r="I35" s="2165">
        <v>949</v>
      </c>
      <c r="J35" s="2163">
        <v>872</v>
      </c>
    </row>
    <row r="36" spans="1:10" ht="13.35" customHeight="1" x14ac:dyDescent="0.25">
      <c r="A36" s="2158" t="s">
        <v>714</v>
      </c>
      <c r="B36" s="2167">
        <v>1488</v>
      </c>
      <c r="C36" s="2168">
        <v>1455</v>
      </c>
      <c r="D36" s="2161">
        <v>1450</v>
      </c>
      <c r="E36" s="2162">
        <v>1358</v>
      </c>
      <c r="F36" s="2163">
        <v>1395</v>
      </c>
      <c r="G36" s="2163">
        <v>1431</v>
      </c>
      <c r="H36" s="2164">
        <v>1344</v>
      </c>
      <c r="I36" s="2165">
        <v>1253</v>
      </c>
      <c r="J36" s="2163">
        <v>1191</v>
      </c>
    </row>
    <row r="37" spans="1:10" ht="13.35" customHeight="1" x14ac:dyDescent="0.25">
      <c r="A37" s="2169" t="s">
        <v>717</v>
      </c>
      <c r="B37" s="2159">
        <v>203</v>
      </c>
      <c r="C37" s="2160">
        <v>196</v>
      </c>
      <c r="D37" s="2161">
        <v>205</v>
      </c>
      <c r="E37" s="2162">
        <v>209</v>
      </c>
      <c r="F37" s="2163">
        <v>201</v>
      </c>
      <c r="G37" s="2163">
        <v>196</v>
      </c>
      <c r="H37" s="2164">
        <v>189</v>
      </c>
      <c r="I37" s="2165">
        <v>207</v>
      </c>
      <c r="J37" s="2163">
        <v>194</v>
      </c>
    </row>
    <row r="38" spans="1:10" ht="13.35" customHeight="1" x14ac:dyDescent="0.25">
      <c r="A38" s="2169" t="s">
        <v>718</v>
      </c>
      <c r="B38" s="2159">
        <v>559</v>
      </c>
      <c r="C38" s="2160">
        <v>537</v>
      </c>
      <c r="D38" s="2161">
        <v>509</v>
      </c>
      <c r="E38" s="2162">
        <v>465</v>
      </c>
      <c r="F38" s="2163">
        <v>484</v>
      </c>
      <c r="G38" s="2163">
        <v>490</v>
      </c>
      <c r="H38" s="2164">
        <v>449</v>
      </c>
      <c r="I38" s="2165">
        <v>408</v>
      </c>
      <c r="J38" s="2163">
        <v>420</v>
      </c>
    </row>
    <row r="39" spans="1:10" ht="13.35" customHeight="1" x14ac:dyDescent="0.25">
      <c r="A39" s="2169" t="s">
        <v>719</v>
      </c>
      <c r="B39" s="2159">
        <v>139</v>
      </c>
      <c r="C39" s="2160">
        <v>136</v>
      </c>
      <c r="D39" s="2161">
        <v>137</v>
      </c>
      <c r="E39" s="2162">
        <v>134</v>
      </c>
      <c r="F39" s="2163">
        <v>143</v>
      </c>
      <c r="G39" s="2163">
        <v>156</v>
      </c>
      <c r="H39" s="2164">
        <v>135</v>
      </c>
      <c r="I39" s="2165">
        <v>124</v>
      </c>
      <c r="J39" s="2163">
        <v>100</v>
      </c>
    </row>
    <row r="40" spans="1:10" ht="13.35" customHeight="1" x14ac:dyDescent="0.25">
      <c r="A40" s="2169" t="s">
        <v>720</v>
      </c>
      <c r="B40" s="2159">
        <v>455</v>
      </c>
      <c r="C40" s="2160">
        <v>457</v>
      </c>
      <c r="D40" s="2161">
        <v>462</v>
      </c>
      <c r="E40" s="2162">
        <v>424</v>
      </c>
      <c r="F40" s="2163">
        <v>431</v>
      </c>
      <c r="G40" s="2163">
        <v>436</v>
      </c>
      <c r="H40" s="2164">
        <v>419</v>
      </c>
      <c r="I40" s="2165">
        <v>383</v>
      </c>
      <c r="J40" s="2163">
        <v>363</v>
      </c>
    </row>
    <row r="41" spans="1:10" ht="13.35" customHeight="1" x14ac:dyDescent="0.25">
      <c r="A41" s="2169" t="s">
        <v>721</v>
      </c>
      <c r="B41" s="2159">
        <v>112</v>
      </c>
      <c r="C41" s="2160">
        <v>112</v>
      </c>
      <c r="D41" s="2161">
        <v>119</v>
      </c>
      <c r="E41" s="2162">
        <v>106</v>
      </c>
      <c r="F41" s="2163">
        <v>114</v>
      </c>
      <c r="G41" s="2163">
        <v>130</v>
      </c>
      <c r="H41" s="2164">
        <v>130</v>
      </c>
      <c r="I41" s="2165">
        <v>110</v>
      </c>
      <c r="J41" s="2163">
        <v>95</v>
      </c>
    </row>
    <row r="42" spans="1:10" ht="13.35" customHeight="1" x14ac:dyDescent="0.25">
      <c r="A42" s="2169" t="s">
        <v>703</v>
      </c>
      <c r="B42" s="2159">
        <v>20</v>
      </c>
      <c r="C42" s="2160">
        <v>17</v>
      </c>
      <c r="D42" s="2161">
        <v>18</v>
      </c>
      <c r="E42" s="2162">
        <v>20</v>
      </c>
      <c r="F42" s="2163">
        <v>22</v>
      </c>
      <c r="G42" s="2163">
        <v>23</v>
      </c>
      <c r="H42" s="2164">
        <v>22</v>
      </c>
      <c r="I42" s="2165">
        <v>21</v>
      </c>
      <c r="J42" s="2163">
        <v>19</v>
      </c>
    </row>
    <row r="43" spans="1:10" ht="13.35" customHeight="1" x14ac:dyDescent="0.25">
      <c r="A43" s="2158" t="s">
        <v>722</v>
      </c>
      <c r="B43" s="2159">
        <v>1578</v>
      </c>
      <c r="C43" s="2160">
        <v>1551</v>
      </c>
      <c r="D43" s="2161">
        <v>1651</v>
      </c>
      <c r="E43" s="2162">
        <v>1643</v>
      </c>
      <c r="F43" s="2163">
        <v>1723</v>
      </c>
      <c r="G43" s="2163">
        <v>1710</v>
      </c>
      <c r="H43" s="2164">
        <v>1579</v>
      </c>
      <c r="I43" s="2165">
        <v>1540</v>
      </c>
      <c r="J43" s="2163">
        <v>1513</v>
      </c>
    </row>
    <row r="44" spans="1:10" ht="13.35" customHeight="1" x14ac:dyDescent="0.25">
      <c r="A44" s="2169" t="s">
        <v>717</v>
      </c>
      <c r="B44" s="2159">
        <v>240</v>
      </c>
      <c r="C44" s="2160">
        <v>249</v>
      </c>
      <c r="D44" s="2161">
        <v>306</v>
      </c>
      <c r="E44" s="2162">
        <v>298</v>
      </c>
      <c r="F44" s="2163">
        <v>308</v>
      </c>
      <c r="G44" s="2163">
        <v>317</v>
      </c>
      <c r="H44" s="2164">
        <v>285</v>
      </c>
      <c r="I44" s="2165">
        <v>295</v>
      </c>
      <c r="J44" s="2163">
        <v>290</v>
      </c>
    </row>
    <row r="45" spans="1:10" ht="13.35" customHeight="1" x14ac:dyDescent="0.25">
      <c r="A45" s="2169" t="s">
        <v>718</v>
      </c>
      <c r="B45" s="2159">
        <v>376</v>
      </c>
      <c r="C45" s="2160">
        <v>389</v>
      </c>
      <c r="D45" s="2161">
        <v>424</v>
      </c>
      <c r="E45" s="2162">
        <v>454</v>
      </c>
      <c r="F45" s="2163">
        <v>486</v>
      </c>
      <c r="G45" s="2163">
        <v>479</v>
      </c>
      <c r="H45" s="2164">
        <v>509</v>
      </c>
      <c r="I45" s="2165">
        <v>403</v>
      </c>
      <c r="J45" s="2163">
        <v>418</v>
      </c>
    </row>
    <row r="46" spans="1:10" ht="13.35" customHeight="1" x14ac:dyDescent="0.25">
      <c r="A46" s="2169" t="s">
        <v>719</v>
      </c>
      <c r="B46" s="2159">
        <v>258</v>
      </c>
      <c r="C46" s="2160">
        <v>214</v>
      </c>
      <c r="D46" s="2161">
        <v>189</v>
      </c>
      <c r="E46" s="2162">
        <v>196</v>
      </c>
      <c r="F46" s="2163">
        <v>196</v>
      </c>
      <c r="G46" s="2163">
        <v>189</v>
      </c>
      <c r="H46" s="2164">
        <v>179</v>
      </c>
      <c r="I46" s="2165">
        <v>195</v>
      </c>
      <c r="J46" s="2163">
        <v>190</v>
      </c>
    </row>
    <row r="47" spans="1:10" ht="13.35" customHeight="1" x14ac:dyDescent="0.25">
      <c r="A47" s="2169" t="s">
        <v>720</v>
      </c>
      <c r="B47" s="2159">
        <v>573</v>
      </c>
      <c r="C47" s="2160">
        <v>562</v>
      </c>
      <c r="D47" s="2161">
        <v>588</v>
      </c>
      <c r="E47" s="2162">
        <v>544</v>
      </c>
      <c r="F47" s="2163">
        <v>577</v>
      </c>
      <c r="G47" s="2163">
        <v>539</v>
      </c>
      <c r="H47" s="2164">
        <v>417</v>
      </c>
      <c r="I47" s="2165">
        <v>451</v>
      </c>
      <c r="J47" s="2163">
        <v>406</v>
      </c>
    </row>
    <row r="48" spans="1:10" ht="13.35" customHeight="1" x14ac:dyDescent="0.25">
      <c r="A48" s="2169" t="s">
        <v>721</v>
      </c>
      <c r="B48" s="2159">
        <v>103</v>
      </c>
      <c r="C48" s="2160">
        <v>108</v>
      </c>
      <c r="D48" s="2161">
        <v>117</v>
      </c>
      <c r="E48" s="2162">
        <v>107</v>
      </c>
      <c r="F48" s="2163">
        <v>108</v>
      </c>
      <c r="G48" s="2163">
        <v>136</v>
      </c>
      <c r="H48" s="2164">
        <v>142</v>
      </c>
      <c r="I48" s="2165">
        <v>149</v>
      </c>
      <c r="J48" s="2163">
        <v>154</v>
      </c>
    </row>
    <row r="49" spans="1:10" ht="13.35" customHeight="1" x14ac:dyDescent="0.25">
      <c r="A49" s="2169" t="s">
        <v>723</v>
      </c>
      <c r="B49" s="2159">
        <v>28</v>
      </c>
      <c r="C49" s="2160">
        <v>29</v>
      </c>
      <c r="D49" s="2161">
        <v>27</v>
      </c>
      <c r="E49" s="2162">
        <v>44</v>
      </c>
      <c r="F49" s="2163">
        <v>48</v>
      </c>
      <c r="G49" s="2163">
        <v>50</v>
      </c>
      <c r="H49" s="2164">
        <v>47</v>
      </c>
      <c r="I49" s="2165">
        <v>47</v>
      </c>
      <c r="J49" s="2163">
        <v>55</v>
      </c>
    </row>
    <row r="50" spans="1:10" ht="13.35" customHeight="1" x14ac:dyDescent="0.25">
      <c r="A50" s="2166" t="s">
        <v>724</v>
      </c>
      <c r="B50" s="2159">
        <v>3066</v>
      </c>
      <c r="C50" s="2160">
        <v>3006</v>
      </c>
      <c r="D50" s="2161">
        <v>3101</v>
      </c>
      <c r="E50" s="2162">
        <v>3001</v>
      </c>
      <c r="F50" s="2163">
        <v>3118</v>
      </c>
      <c r="G50" s="2163">
        <v>3141</v>
      </c>
      <c r="H50" s="2164">
        <v>2923</v>
      </c>
      <c r="I50" s="2165">
        <v>2793</v>
      </c>
      <c r="J50" s="2163">
        <v>2704</v>
      </c>
    </row>
    <row r="51" spans="1:10" ht="13.35" customHeight="1" x14ac:dyDescent="0.25">
      <c r="A51" s="2166" t="s">
        <v>725</v>
      </c>
      <c r="B51" s="2159">
        <v>63</v>
      </c>
      <c r="C51" s="2160">
        <v>60</v>
      </c>
      <c r="D51" s="2161">
        <v>49</v>
      </c>
      <c r="E51" s="2162">
        <v>50</v>
      </c>
      <c r="F51" s="2163">
        <v>34</v>
      </c>
      <c r="G51" s="2163">
        <v>54</v>
      </c>
      <c r="H51" s="2164">
        <v>35</v>
      </c>
      <c r="I51" s="2165">
        <v>22</v>
      </c>
      <c r="J51" s="2163">
        <v>12</v>
      </c>
    </row>
    <row r="52" spans="1:10" ht="13.35" customHeight="1" x14ac:dyDescent="0.25">
      <c r="A52" s="2158" t="s">
        <v>390</v>
      </c>
      <c r="B52" s="2159">
        <v>41</v>
      </c>
      <c r="C52" s="2160">
        <v>43</v>
      </c>
      <c r="D52" s="2187">
        <v>46</v>
      </c>
      <c r="E52" s="2188">
        <v>46</v>
      </c>
      <c r="F52" s="2163">
        <v>39</v>
      </c>
      <c r="G52" s="2163">
        <v>41</v>
      </c>
      <c r="H52" s="2164">
        <v>40</v>
      </c>
      <c r="I52" s="2165">
        <v>81</v>
      </c>
      <c r="J52" s="2163">
        <v>78</v>
      </c>
    </row>
    <row r="53" spans="1:10" ht="13.35" customHeight="1" x14ac:dyDescent="0.25">
      <c r="A53" s="2158" t="s">
        <v>726</v>
      </c>
      <c r="B53" s="2159">
        <v>0</v>
      </c>
      <c r="C53" s="2160">
        <v>41</v>
      </c>
      <c r="D53" s="2187">
        <v>90</v>
      </c>
      <c r="E53" s="2188">
        <v>87</v>
      </c>
      <c r="F53" s="2163">
        <v>5</v>
      </c>
      <c r="G53" s="2163">
        <v>5</v>
      </c>
      <c r="H53" s="2164">
        <v>0</v>
      </c>
      <c r="I53" s="2165">
        <v>0</v>
      </c>
      <c r="J53" s="2163">
        <v>0</v>
      </c>
    </row>
    <row r="54" spans="1:10" ht="13.35" customHeight="1" x14ac:dyDescent="0.25">
      <c r="A54" s="2189" t="s">
        <v>727</v>
      </c>
      <c r="B54" s="2190">
        <v>0</v>
      </c>
      <c r="C54" s="2191">
        <v>0</v>
      </c>
      <c r="D54" s="2192">
        <v>0</v>
      </c>
      <c r="E54" s="2193">
        <v>0</v>
      </c>
      <c r="F54" s="2194">
        <v>0</v>
      </c>
      <c r="G54" s="2194">
        <v>0</v>
      </c>
      <c r="H54" s="2195">
        <v>0</v>
      </c>
      <c r="I54" s="2196">
        <v>0</v>
      </c>
      <c r="J54" s="2194">
        <v>0</v>
      </c>
    </row>
    <row r="55" spans="1:10" ht="13.35" customHeight="1" x14ac:dyDescent="0.25">
      <c r="A55" s="2197" t="s">
        <v>728</v>
      </c>
      <c r="B55" s="2198">
        <v>0</v>
      </c>
      <c r="C55" s="2199">
        <v>0</v>
      </c>
      <c r="D55" s="2200">
        <v>0</v>
      </c>
      <c r="E55" s="2201">
        <v>0</v>
      </c>
      <c r="F55" s="2202">
        <v>0</v>
      </c>
      <c r="G55" s="2202">
        <v>0</v>
      </c>
      <c r="H55" s="2203">
        <v>0</v>
      </c>
      <c r="I55" s="2204">
        <v>0</v>
      </c>
      <c r="J55" s="2202">
        <v>1</v>
      </c>
    </row>
    <row r="56" spans="1:10" ht="13.35" customHeight="1" x14ac:dyDescent="0.25">
      <c r="A56" s="2166" t="s">
        <v>729</v>
      </c>
      <c r="B56" s="2159">
        <v>41</v>
      </c>
      <c r="C56" s="2160">
        <v>84</v>
      </c>
      <c r="D56" s="2161">
        <v>136</v>
      </c>
      <c r="E56" s="2162">
        <v>133</v>
      </c>
      <c r="F56" s="2163">
        <v>44</v>
      </c>
      <c r="G56" s="2163">
        <v>46</v>
      </c>
      <c r="H56" s="2164">
        <v>40</v>
      </c>
      <c r="I56" s="2165">
        <v>81</v>
      </c>
      <c r="J56" s="2163">
        <v>79</v>
      </c>
    </row>
    <row r="57" spans="1:10" ht="13.35" customHeight="1" x14ac:dyDescent="0.25">
      <c r="A57" s="2205" t="s">
        <v>732</v>
      </c>
      <c r="B57" s="2206">
        <v>4656</v>
      </c>
      <c r="C57" s="2207">
        <v>4648</v>
      </c>
      <c r="D57" s="2208">
        <v>4874</v>
      </c>
      <c r="E57" s="2209">
        <v>4685</v>
      </c>
      <c r="F57" s="2210">
        <v>4449</v>
      </c>
      <c r="G57" s="2210">
        <v>4399</v>
      </c>
      <c r="H57" s="2211">
        <v>4215</v>
      </c>
      <c r="I57" s="2212">
        <v>3845</v>
      </c>
      <c r="J57" s="2210">
        <v>3667</v>
      </c>
    </row>
    <row r="58" spans="1:10" ht="13.35" customHeight="1" x14ac:dyDescent="0.25">
      <c r="A58" s="2213"/>
      <c r="B58" s="2214"/>
      <c r="C58" s="2215"/>
      <c r="D58" s="2216"/>
      <c r="E58" s="2216"/>
      <c r="F58" s="2216"/>
      <c r="G58" s="2216"/>
      <c r="H58" s="2216"/>
      <c r="I58" s="2216"/>
      <c r="J58" s="2216"/>
    </row>
    <row r="59" spans="1:10" ht="12" customHeight="1" x14ac:dyDescent="0.25">
      <c r="A59" s="2217" t="s">
        <v>733</v>
      </c>
      <c r="B59" s="2218"/>
      <c r="C59" s="2219"/>
      <c r="D59" s="3607"/>
      <c r="E59" s="3607" t="s">
        <v>14</v>
      </c>
      <c r="F59" s="3607" t="s">
        <v>14</v>
      </c>
      <c r="G59" s="3607" t="s">
        <v>14</v>
      </c>
      <c r="H59" s="3607" t="s">
        <v>14</v>
      </c>
      <c r="I59" s="3607" t="s">
        <v>14</v>
      </c>
      <c r="J59" s="3607" t="s">
        <v>14</v>
      </c>
    </row>
    <row r="60" spans="1:10" ht="12" customHeight="1" x14ac:dyDescent="0.25">
      <c r="A60" s="2217" t="s">
        <v>734</v>
      </c>
      <c r="B60" s="2220"/>
      <c r="C60" s="2221"/>
      <c r="D60" s="3607"/>
      <c r="E60" s="3607" t="s">
        <v>14</v>
      </c>
      <c r="F60" s="3607" t="s">
        <v>14</v>
      </c>
      <c r="G60" s="3607" t="s">
        <v>14</v>
      </c>
      <c r="H60" s="3607" t="s">
        <v>14</v>
      </c>
      <c r="I60" s="3607" t="s">
        <v>14</v>
      </c>
      <c r="J60" s="3607" t="s">
        <v>14</v>
      </c>
    </row>
    <row r="61" spans="1:10" ht="10.35" customHeight="1" x14ac:dyDescent="0.25">
      <c r="A61" s="2217" t="s">
        <v>735</v>
      </c>
      <c r="B61" s="2220"/>
      <c r="C61" s="2221"/>
      <c r="D61" s="3607"/>
      <c r="E61" s="3607" t="s">
        <v>14</v>
      </c>
      <c r="F61" s="3607" t="s">
        <v>14</v>
      </c>
      <c r="G61" s="3607" t="s">
        <v>14</v>
      </c>
      <c r="H61" s="3607" t="s">
        <v>14</v>
      </c>
      <c r="I61" s="3607" t="s">
        <v>14</v>
      </c>
      <c r="J61" s="3607" t="s">
        <v>14</v>
      </c>
    </row>
    <row r="62" spans="1:10" ht="10.35" customHeight="1" x14ac:dyDescent="0.25">
      <c r="A62" s="2217" t="s">
        <v>736</v>
      </c>
      <c r="B62" s="2220"/>
      <c r="C62" s="2221"/>
      <c r="D62" s="3607"/>
      <c r="E62" s="3607" t="s">
        <v>14</v>
      </c>
      <c r="F62" s="3607" t="s">
        <v>14</v>
      </c>
      <c r="G62" s="3607" t="s">
        <v>14</v>
      </c>
      <c r="H62" s="3607" t="s">
        <v>14</v>
      </c>
      <c r="I62" s="3607" t="s">
        <v>14</v>
      </c>
      <c r="J62" s="3607" t="s">
        <v>14</v>
      </c>
    </row>
    <row r="63" spans="1:10" ht="10.35" customHeight="1" x14ac:dyDescent="0.25">
      <c r="A63" s="2222"/>
      <c r="B63" s="2220"/>
      <c r="C63" s="2221"/>
      <c r="D63" s="3607"/>
      <c r="E63" s="3607" t="s">
        <v>14</v>
      </c>
      <c r="F63" s="3607" t="s">
        <v>14</v>
      </c>
      <c r="G63" s="3607" t="s">
        <v>14</v>
      </c>
      <c r="H63" s="3607" t="s">
        <v>14</v>
      </c>
      <c r="I63" s="3607" t="s">
        <v>14</v>
      </c>
      <c r="J63" s="3607" t="s">
        <v>14</v>
      </c>
    </row>
  </sheetData>
  <mergeCells count="9">
    <mergeCell ref="D61:J61"/>
    <mergeCell ref="D62:J62"/>
    <mergeCell ref="D63:J63"/>
    <mergeCell ref="A2:J2"/>
    <mergeCell ref="B3:D3"/>
    <mergeCell ref="E3:H3"/>
    <mergeCell ref="I3:J3"/>
    <mergeCell ref="D59:J59"/>
    <mergeCell ref="D60:J60"/>
  </mergeCells>
  <hyperlinks>
    <hyperlink ref="A1" location="ToC!A2" display="Back to Table of Contents" xr:uid="{679E1C97-E82C-4BE9-A33F-2B859E5D0769}"/>
  </hyperlinks>
  <pageMargins left="0.5" right="0.5" top="0.5" bottom="0.5" header="0.25" footer="0.25"/>
  <pageSetup scale="63" orientation="landscape" r:id="rId1"/>
  <headerFooter>
    <oddFooter>&amp;L&amp;G&amp;C&amp;"Scotia,Regular"&amp;9Supplementary Financial Information (SFI)&amp;R19&amp;"Scotia,Regular"&amp;7</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83DF-7D1C-436E-B81C-8E7A3BFED686}">
  <sheetPr>
    <pageSetUpPr fitToPage="1"/>
  </sheetPr>
  <dimension ref="A1:L67"/>
  <sheetViews>
    <sheetView showGridLines="0" zoomScaleNormal="100" workbookViewId="0"/>
  </sheetViews>
  <sheetFormatPr defaultColWidth="8.77734375" defaultRowHeight="13.2" x14ac:dyDescent="0.25"/>
  <cols>
    <col min="1" max="1" width="50.77734375" style="22" customWidth="1"/>
    <col min="2" max="12" width="16.77734375" style="22" customWidth="1"/>
    <col min="13" max="16384" width="8.77734375" style="22"/>
  </cols>
  <sheetData>
    <row r="1" spans="1:12" ht="19.95" customHeight="1" x14ac:dyDescent="0.25">
      <c r="A1" s="21" t="s">
        <v>12</v>
      </c>
    </row>
    <row r="2" spans="1:12" ht="25.35" customHeight="1" x14ac:dyDescent="0.25">
      <c r="A2" s="3554" t="s">
        <v>737</v>
      </c>
      <c r="B2" s="3554" t="s">
        <v>14</v>
      </c>
      <c r="C2" s="3554" t="s">
        <v>14</v>
      </c>
      <c r="D2" s="3554" t="s">
        <v>14</v>
      </c>
      <c r="E2" s="3554" t="s">
        <v>14</v>
      </c>
      <c r="F2" s="3554" t="s">
        <v>14</v>
      </c>
      <c r="G2" s="3554" t="s">
        <v>14</v>
      </c>
      <c r="H2" s="3554" t="s">
        <v>14</v>
      </c>
      <c r="I2" s="3554" t="s">
        <v>14</v>
      </c>
      <c r="J2" s="3554" t="s">
        <v>14</v>
      </c>
      <c r="K2" s="3554" t="s">
        <v>14</v>
      </c>
      <c r="L2" s="3554" t="s">
        <v>14</v>
      </c>
    </row>
    <row r="3" spans="1:12" ht="15" customHeight="1" x14ac:dyDescent="0.25">
      <c r="A3" s="2223"/>
      <c r="B3" s="3615" t="s">
        <v>172</v>
      </c>
      <c r="C3" s="3615" t="s">
        <v>14</v>
      </c>
      <c r="D3" s="3616" t="s">
        <v>14</v>
      </c>
      <c r="E3" s="3617" t="s">
        <v>343</v>
      </c>
      <c r="F3" s="3618" t="s">
        <v>14</v>
      </c>
      <c r="G3" s="3618" t="s">
        <v>14</v>
      </c>
      <c r="H3" s="3619" t="s">
        <v>14</v>
      </c>
      <c r="I3" s="3617" t="s">
        <v>344</v>
      </c>
      <c r="J3" s="3620" t="s">
        <v>14</v>
      </c>
      <c r="K3" s="3618" t="s">
        <v>174</v>
      </c>
      <c r="L3" s="3618" t="s">
        <v>14</v>
      </c>
    </row>
    <row r="4" spans="1:12" ht="15" customHeight="1" x14ac:dyDescent="0.25">
      <c r="A4" s="2224" t="s">
        <v>270</v>
      </c>
      <c r="B4" s="2225" t="s">
        <v>176</v>
      </c>
      <c r="C4" s="2226" t="s">
        <v>177</v>
      </c>
      <c r="D4" s="2227" t="s">
        <v>178</v>
      </c>
      <c r="E4" s="2228" t="s">
        <v>179</v>
      </c>
      <c r="F4" s="2226" t="s">
        <v>180</v>
      </c>
      <c r="G4" s="2229" t="s">
        <v>177</v>
      </c>
      <c r="H4" s="2230" t="s">
        <v>178</v>
      </c>
      <c r="I4" s="2228" t="s">
        <v>179</v>
      </c>
      <c r="J4" s="2231" t="s">
        <v>180</v>
      </c>
      <c r="K4" s="2229" t="s">
        <v>343</v>
      </c>
      <c r="L4" s="2229" t="s">
        <v>344</v>
      </c>
    </row>
    <row r="5" spans="1:12" ht="15" customHeight="1" x14ac:dyDescent="0.25">
      <c r="A5" s="2001" t="s">
        <v>738</v>
      </c>
      <c r="B5" s="2232">
        <v>6849</v>
      </c>
      <c r="C5" s="2233">
        <v>7064</v>
      </c>
      <c r="D5" s="2234">
        <v>6739</v>
      </c>
      <c r="E5" s="2056">
        <v>6489</v>
      </c>
      <c r="F5" s="2057">
        <v>6399</v>
      </c>
      <c r="G5" s="2057">
        <v>6119</v>
      </c>
      <c r="H5" s="2058">
        <v>5726</v>
      </c>
      <c r="I5" s="2056">
        <v>5487</v>
      </c>
      <c r="J5" s="2058">
        <v>5305</v>
      </c>
      <c r="K5" s="2235">
        <v>5726</v>
      </c>
      <c r="L5" s="2235">
        <v>4786</v>
      </c>
    </row>
    <row r="6" spans="1:12" ht="15" customHeight="1" x14ac:dyDescent="0.25">
      <c r="A6" s="2236" t="s">
        <v>739</v>
      </c>
      <c r="B6" s="2237"/>
      <c r="C6" s="2238"/>
      <c r="D6" s="2239"/>
      <c r="E6" s="2175"/>
      <c r="F6" s="2176"/>
      <c r="G6" s="2176"/>
      <c r="H6" s="2174"/>
      <c r="I6" s="2175"/>
      <c r="J6" s="2174"/>
      <c r="K6" s="2240"/>
      <c r="L6" s="2240"/>
    </row>
    <row r="7" spans="1:12" ht="15" customHeight="1" x14ac:dyDescent="0.25">
      <c r="A7" s="2241" t="s">
        <v>740</v>
      </c>
      <c r="B7" s="2242"/>
      <c r="C7" s="2243"/>
      <c r="D7" s="2244"/>
      <c r="E7" s="2245"/>
      <c r="F7" s="2246"/>
      <c r="G7" s="2246"/>
      <c r="H7" s="2247"/>
      <c r="I7" s="2245"/>
      <c r="J7" s="2248"/>
      <c r="K7" s="2249"/>
      <c r="L7" s="2249"/>
    </row>
    <row r="8" spans="1:12" ht="15" customHeight="1" x14ac:dyDescent="0.25">
      <c r="A8" s="2250" t="s">
        <v>741</v>
      </c>
      <c r="B8" s="2232">
        <v>901</v>
      </c>
      <c r="C8" s="2233">
        <v>870</v>
      </c>
      <c r="D8" s="2234">
        <v>986</v>
      </c>
      <c r="E8" s="2056">
        <v>1004</v>
      </c>
      <c r="F8" s="2057">
        <v>771</v>
      </c>
      <c r="G8" s="2057">
        <v>742</v>
      </c>
      <c r="H8" s="2058">
        <v>762</v>
      </c>
      <c r="I8" s="2056">
        <v>698</v>
      </c>
      <c r="J8" s="2058">
        <v>612</v>
      </c>
      <c r="K8" s="2235">
        <v>3279</v>
      </c>
      <c r="L8" s="2235">
        <v>2377</v>
      </c>
    </row>
    <row r="9" spans="1:12" ht="15" customHeight="1" x14ac:dyDescent="0.25">
      <c r="A9" s="2251" t="s">
        <v>742</v>
      </c>
      <c r="B9" s="2252">
        <v>-356</v>
      </c>
      <c r="C9" s="2253">
        <v>-386</v>
      </c>
      <c r="D9" s="2254">
        <v>-366</v>
      </c>
      <c r="E9" s="2255">
        <v>-319</v>
      </c>
      <c r="F9" s="2256">
        <v>-282</v>
      </c>
      <c r="G9" s="2256">
        <v>-280</v>
      </c>
      <c r="H9" s="2257">
        <v>-225</v>
      </c>
      <c r="I9" s="2255">
        <v>-217</v>
      </c>
      <c r="J9" s="2258">
        <v>-172</v>
      </c>
      <c r="K9" s="2259">
        <v>-1106</v>
      </c>
      <c r="L9" s="2259">
        <v>-697</v>
      </c>
    </row>
    <row r="10" spans="1:12" ht="15" customHeight="1" x14ac:dyDescent="0.25">
      <c r="A10" s="2251" t="s">
        <v>743</v>
      </c>
      <c r="B10" s="2252">
        <v>-167</v>
      </c>
      <c r="C10" s="2253">
        <v>-146</v>
      </c>
      <c r="D10" s="2254">
        <v>-128</v>
      </c>
      <c r="E10" s="2255">
        <v>-108</v>
      </c>
      <c r="F10" s="2256">
        <v>-138</v>
      </c>
      <c r="G10" s="2256">
        <v>-134</v>
      </c>
      <c r="H10" s="2257">
        <v>-104</v>
      </c>
      <c r="I10" s="2255">
        <v>-122</v>
      </c>
      <c r="J10" s="2258">
        <v>-114</v>
      </c>
      <c r="K10" s="2259">
        <v>-484</v>
      </c>
      <c r="L10" s="2259">
        <v>-419</v>
      </c>
    </row>
    <row r="11" spans="1:12" ht="15" customHeight="1" x14ac:dyDescent="0.25">
      <c r="A11" s="2251" t="s">
        <v>744</v>
      </c>
      <c r="B11" s="2252">
        <v>0</v>
      </c>
      <c r="C11" s="2253">
        <v>0</v>
      </c>
      <c r="D11" s="2254">
        <v>0</v>
      </c>
      <c r="E11" s="2255">
        <v>0</v>
      </c>
      <c r="F11" s="2256">
        <v>0</v>
      </c>
      <c r="G11" s="2256">
        <v>0</v>
      </c>
      <c r="H11" s="2257">
        <v>-65</v>
      </c>
      <c r="I11" s="2255">
        <v>0</v>
      </c>
      <c r="J11" s="2258">
        <v>0</v>
      </c>
      <c r="K11" s="2259">
        <v>-65</v>
      </c>
      <c r="L11" s="2259">
        <v>0</v>
      </c>
    </row>
    <row r="12" spans="1:12" ht="15" customHeight="1" x14ac:dyDescent="0.25">
      <c r="A12" s="2260" t="s">
        <v>745</v>
      </c>
      <c r="B12" s="2261">
        <v>378</v>
      </c>
      <c r="C12" s="2262">
        <v>338</v>
      </c>
      <c r="D12" s="2263">
        <v>492</v>
      </c>
      <c r="E12" s="2264">
        <v>577</v>
      </c>
      <c r="F12" s="2265">
        <v>351</v>
      </c>
      <c r="G12" s="2265">
        <v>328</v>
      </c>
      <c r="H12" s="2266">
        <v>368</v>
      </c>
      <c r="I12" s="2264">
        <v>359</v>
      </c>
      <c r="J12" s="2266">
        <v>326</v>
      </c>
      <c r="K12" s="2267">
        <v>1624</v>
      </c>
      <c r="L12" s="2267">
        <v>1261</v>
      </c>
    </row>
    <row r="13" spans="1:12" ht="15" customHeight="1" x14ac:dyDescent="0.25">
      <c r="A13" s="2241" t="s">
        <v>746</v>
      </c>
      <c r="B13" s="2242"/>
      <c r="C13" s="2243"/>
      <c r="D13" s="2244"/>
      <c r="E13" s="2245"/>
      <c r="F13" s="2246"/>
      <c r="G13" s="2246"/>
      <c r="H13" s="2247"/>
      <c r="I13" s="2245"/>
      <c r="J13" s="2248"/>
      <c r="K13" s="2249"/>
      <c r="L13" s="2249"/>
    </row>
    <row r="14" spans="1:12" ht="15" customHeight="1" x14ac:dyDescent="0.25">
      <c r="A14" s="2250" t="s">
        <v>741</v>
      </c>
      <c r="B14" s="2232">
        <v>309</v>
      </c>
      <c r="C14" s="2233">
        <v>257</v>
      </c>
      <c r="D14" s="2234">
        <v>175</v>
      </c>
      <c r="E14" s="2056">
        <v>238</v>
      </c>
      <c r="F14" s="2057">
        <v>187</v>
      </c>
      <c r="G14" s="2057">
        <v>98</v>
      </c>
      <c r="H14" s="2058">
        <v>343</v>
      </c>
      <c r="I14" s="2056">
        <v>84</v>
      </c>
      <c r="J14" s="2058">
        <v>160</v>
      </c>
      <c r="K14" s="2235">
        <v>866</v>
      </c>
      <c r="L14" s="2235">
        <v>445</v>
      </c>
    </row>
    <row r="15" spans="1:12" ht="15" customHeight="1" x14ac:dyDescent="0.25">
      <c r="A15" s="2251" t="s">
        <v>742</v>
      </c>
      <c r="B15" s="2252">
        <v>-6</v>
      </c>
      <c r="C15" s="2253">
        <v>-14</v>
      </c>
      <c r="D15" s="2254">
        <v>-9</v>
      </c>
      <c r="E15" s="2255">
        <v>-8</v>
      </c>
      <c r="F15" s="2256">
        <v>-7</v>
      </c>
      <c r="G15" s="2256">
        <v>-7</v>
      </c>
      <c r="H15" s="2257">
        <v>-4</v>
      </c>
      <c r="I15" s="2255">
        <v>-21</v>
      </c>
      <c r="J15" s="2258">
        <v>-10</v>
      </c>
      <c r="K15" s="2259">
        <v>-26</v>
      </c>
      <c r="L15" s="2259">
        <v>-83</v>
      </c>
    </row>
    <row r="16" spans="1:12" ht="15" customHeight="1" x14ac:dyDescent="0.25">
      <c r="A16" s="2251" t="s">
        <v>743</v>
      </c>
      <c r="B16" s="2252">
        <v>-183</v>
      </c>
      <c r="C16" s="2253">
        <v>-121</v>
      </c>
      <c r="D16" s="2254">
        <v>-32</v>
      </c>
      <c r="E16" s="2255">
        <v>-54</v>
      </c>
      <c r="F16" s="2256">
        <v>-26</v>
      </c>
      <c r="G16" s="2256">
        <v>-37</v>
      </c>
      <c r="H16" s="2257">
        <v>-82</v>
      </c>
      <c r="I16" s="2255">
        <v>-25</v>
      </c>
      <c r="J16" s="2258">
        <v>-27</v>
      </c>
      <c r="K16" s="2259">
        <v>-199</v>
      </c>
      <c r="L16" s="2259">
        <v>-78</v>
      </c>
    </row>
    <row r="17" spans="1:12" ht="15" customHeight="1" x14ac:dyDescent="0.25">
      <c r="A17" s="2251" t="s">
        <v>744</v>
      </c>
      <c r="B17" s="2252">
        <v>0</v>
      </c>
      <c r="C17" s="2253">
        <v>0</v>
      </c>
      <c r="D17" s="2254">
        <v>0</v>
      </c>
      <c r="E17" s="2255">
        <v>0</v>
      </c>
      <c r="F17" s="2256">
        <v>-5</v>
      </c>
      <c r="G17" s="2256">
        <v>0</v>
      </c>
      <c r="H17" s="2257">
        <v>-5</v>
      </c>
      <c r="I17" s="2255">
        <v>0</v>
      </c>
      <c r="J17" s="2258">
        <v>0</v>
      </c>
      <c r="K17" s="2259">
        <v>-10</v>
      </c>
      <c r="L17" s="2259">
        <v>0</v>
      </c>
    </row>
    <row r="18" spans="1:12" ht="15" customHeight="1" x14ac:dyDescent="0.25">
      <c r="A18" s="2260" t="s">
        <v>745</v>
      </c>
      <c r="B18" s="2261">
        <v>120</v>
      </c>
      <c r="C18" s="2262">
        <v>122</v>
      </c>
      <c r="D18" s="2263">
        <v>134</v>
      </c>
      <c r="E18" s="2264">
        <v>176</v>
      </c>
      <c r="F18" s="2265">
        <v>149</v>
      </c>
      <c r="G18" s="2265">
        <v>54</v>
      </c>
      <c r="H18" s="2266">
        <v>252</v>
      </c>
      <c r="I18" s="2264">
        <v>38</v>
      </c>
      <c r="J18" s="2266">
        <v>123</v>
      </c>
      <c r="K18" s="2267">
        <v>631</v>
      </c>
      <c r="L18" s="2267">
        <v>284</v>
      </c>
    </row>
    <row r="19" spans="1:12" ht="15" customHeight="1" x14ac:dyDescent="0.25">
      <c r="A19" s="2241" t="s">
        <v>747</v>
      </c>
      <c r="B19" s="2242"/>
      <c r="C19" s="2243"/>
      <c r="D19" s="2244"/>
      <c r="E19" s="2245"/>
      <c r="F19" s="2246"/>
      <c r="G19" s="2246"/>
      <c r="H19" s="2247"/>
      <c r="I19" s="2245"/>
      <c r="J19" s="2248"/>
      <c r="K19" s="2249"/>
      <c r="L19" s="2249"/>
    </row>
    <row r="20" spans="1:12" ht="15" customHeight="1" x14ac:dyDescent="0.25">
      <c r="A20" s="2250" t="s">
        <v>741</v>
      </c>
      <c r="B20" s="2232">
        <v>1042</v>
      </c>
      <c r="C20" s="2233">
        <v>1050</v>
      </c>
      <c r="D20" s="2234">
        <v>1106</v>
      </c>
      <c r="E20" s="2056">
        <v>1055</v>
      </c>
      <c r="F20" s="2057">
        <v>1126</v>
      </c>
      <c r="G20" s="2057">
        <v>1096</v>
      </c>
      <c r="H20" s="2058">
        <v>1149</v>
      </c>
      <c r="I20" s="2056">
        <v>1017</v>
      </c>
      <c r="J20" s="2058">
        <v>993</v>
      </c>
      <c r="K20" s="2235">
        <v>4426</v>
      </c>
      <c r="L20" s="2235">
        <v>3763</v>
      </c>
    </row>
    <row r="21" spans="1:12" ht="15" customHeight="1" x14ac:dyDescent="0.25">
      <c r="A21" s="2251" t="s">
        <v>742</v>
      </c>
      <c r="B21" s="2252">
        <v>-314</v>
      </c>
      <c r="C21" s="2253">
        <v>-307</v>
      </c>
      <c r="D21" s="2254">
        <v>-323</v>
      </c>
      <c r="E21" s="2255">
        <v>-292</v>
      </c>
      <c r="F21" s="2256">
        <v>-317</v>
      </c>
      <c r="G21" s="2256">
        <v>-286</v>
      </c>
      <c r="H21" s="2257">
        <v>-294</v>
      </c>
      <c r="I21" s="2255">
        <v>-277</v>
      </c>
      <c r="J21" s="2258">
        <v>-295</v>
      </c>
      <c r="K21" s="2259">
        <v>-1189</v>
      </c>
      <c r="L21" s="2259">
        <v>-1110</v>
      </c>
    </row>
    <row r="22" spans="1:12" ht="15" customHeight="1" x14ac:dyDescent="0.25">
      <c r="A22" s="2251" t="s">
        <v>743</v>
      </c>
      <c r="B22" s="2252">
        <v>-167</v>
      </c>
      <c r="C22" s="2253">
        <v>-179</v>
      </c>
      <c r="D22" s="2254">
        <v>-152</v>
      </c>
      <c r="E22" s="2255">
        <v>-191</v>
      </c>
      <c r="F22" s="2256">
        <v>-185</v>
      </c>
      <c r="G22" s="2256">
        <v>-169</v>
      </c>
      <c r="H22" s="2257">
        <v>-155</v>
      </c>
      <c r="I22" s="2255">
        <v>-160</v>
      </c>
      <c r="J22" s="2258">
        <v>-164</v>
      </c>
      <c r="K22" s="2259">
        <v>-700</v>
      </c>
      <c r="L22" s="2259">
        <v>-596</v>
      </c>
    </row>
    <row r="23" spans="1:12" ht="15" customHeight="1" x14ac:dyDescent="0.25">
      <c r="A23" s="2251" t="s">
        <v>744</v>
      </c>
      <c r="B23" s="2252">
        <v>0</v>
      </c>
      <c r="C23" s="2253">
        <v>0</v>
      </c>
      <c r="D23" s="2254">
        <v>0</v>
      </c>
      <c r="E23" s="2255">
        <v>0</v>
      </c>
      <c r="F23" s="2256">
        <v>0</v>
      </c>
      <c r="G23" s="2256">
        <v>0</v>
      </c>
      <c r="H23" s="2257">
        <v>0</v>
      </c>
      <c r="I23" s="2255">
        <v>-30</v>
      </c>
      <c r="J23" s="2258">
        <v>0</v>
      </c>
      <c r="K23" s="2259">
        <v>0</v>
      </c>
      <c r="L23" s="2259">
        <v>-30</v>
      </c>
    </row>
    <row r="24" spans="1:12" ht="15" customHeight="1" x14ac:dyDescent="0.25">
      <c r="A24" s="2260" t="s">
        <v>745</v>
      </c>
      <c r="B24" s="2261">
        <v>561</v>
      </c>
      <c r="C24" s="2262">
        <v>564</v>
      </c>
      <c r="D24" s="2263">
        <v>631</v>
      </c>
      <c r="E24" s="2264">
        <v>572</v>
      </c>
      <c r="F24" s="2265">
        <v>624</v>
      </c>
      <c r="G24" s="2265">
        <v>641</v>
      </c>
      <c r="H24" s="2266">
        <v>700</v>
      </c>
      <c r="I24" s="2264">
        <v>550</v>
      </c>
      <c r="J24" s="2266">
        <v>534</v>
      </c>
      <c r="K24" s="2267">
        <v>2537</v>
      </c>
      <c r="L24" s="2267">
        <v>2027</v>
      </c>
    </row>
    <row r="25" spans="1:12" ht="15" customHeight="1" x14ac:dyDescent="0.25">
      <c r="A25" s="2241" t="s">
        <v>748</v>
      </c>
      <c r="B25" s="2242"/>
      <c r="C25" s="2243"/>
      <c r="D25" s="2244"/>
      <c r="E25" s="2245"/>
      <c r="F25" s="2246"/>
      <c r="G25" s="2246"/>
      <c r="H25" s="2247"/>
      <c r="I25" s="2245"/>
      <c r="J25" s="2248"/>
      <c r="K25" s="2249"/>
      <c r="L25" s="2249"/>
    </row>
    <row r="26" spans="1:12" ht="15" customHeight="1" x14ac:dyDescent="0.25">
      <c r="A26" s="2250" t="s">
        <v>741</v>
      </c>
      <c r="B26" s="2232">
        <v>178</v>
      </c>
      <c r="C26" s="2233">
        <v>91</v>
      </c>
      <c r="D26" s="2234">
        <v>109</v>
      </c>
      <c r="E26" s="2056">
        <v>97</v>
      </c>
      <c r="F26" s="2057">
        <v>235</v>
      </c>
      <c r="G26" s="2057">
        <v>189</v>
      </c>
      <c r="H26" s="2058">
        <v>185</v>
      </c>
      <c r="I26" s="2056">
        <v>138</v>
      </c>
      <c r="J26" s="2058">
        <v>141</v>
      </c>
      <c r="K26" s="2235">
        <v>706</v>
      </c>
      <c r="L26" s="2235">
        <v>442</v>
      </c>
    </row>
    <row r="27" spans="1:12" ht="15" customHeight="1" x14ac:dyDescent="0.25">
      <c r="A27" s="2251" t="s">
        <v>742</v>
      </c>
      <c r="B27" s="2252">
        <v>-3</v>
      </c>
      <c r="C27" s="2253">
        <v>-44</v>
      </c>
      <c r="D27" s="2254">
        <v>-5</v>
      </c>
      <c r="E27" s="2255">
        <v>-24</v>
      </c>
      <c r="F27" s="2256">
        <v>-15</v>
      </c>
      <c r="G27" s="2256">
        <v>-14</v>
      </c>
      <c r="H27" s="2257">
        <v>-1</v>
      </c>
      <c r="I27" s="2255">
        <v>-11</v>
      </c>
      <c r="J27" s="2258">
        <v>-13</v>
      </c>
      <c r="K27" s="2259">
        <v>-54</v>
      </c>
      <c r="L27" s="2259">
        <v>-41</v>
      </c>
    </row>
    <row r="28" spans="1:12" ht="15" customHeight="1" x14ac:dyDescent="0.25">
      <c r="A28" s="2251" t="s">
        <v>743</v>
      </c>
      <c r="B28" s="2252">
        <v>-97</v>
      </c>
      <c r="C28" s="2253">
        <v>-49</v>
      </c>
      <c r="D28" s="2254">
        <v>-100</v>
      </c>
      <c r="E28" s="2255">
        <v>-45</v>
      </c>
      <c r="F28" s="2256">
        <v>-131</v>
      </c>
      <c r="G28" s="2256">
        <v>-55</v>
      </c>
      <c r="H28" s="2257">
        <v>-49</v>
      </c>
      <c r="I28" s="2255">
        <v>-48</v>
      </c>
      <c r="J28" s="2258">
        <v>-111</v>
      </c>
      <c r="K28" s="2259">
        <v>-280</v>
      </c>
      <c r="L28" s="2259">
        <v>-263</v>
      </c>
    </row>
    <row r="29" spans="1:12" ht="15" customHeight="1" x14ac:dyDescent="0.25">
      <c r="A29" s="2251" t="s">
        <v>744</v>
      </c>
      <c r="B29" s="2252">
        <v>0</v>
      </c>
      <c r="C29" s="2253">
        <v>0</v>
      </c>
      <c r="D29" s="2254">
        <v>0</v>
      </c>
      <c r="E29" s="2255">
        <v>0</v>
      </c>
      <c r="F29" s="2256">
        <v>0</v>
      </c>
      <c r="G29" s="2256">
        <v>0</v>
      </c>
      <c r="H29" s="2257">
        <v>0</v>
      </c>
      <c r="I29" s="2255">
        <v>0</v>
      </c>
      <c r="J29" s="2258">
        <v>0</v>
      </c>
      <c r="K29" s="2259">
        <v>0</v>
      </c>
      <c r="L29" s="2259">
        <v>0</v>
      </c>
    </row>
    <row r="30" spans="1:12" ht="15" customHeight="1" x14ac:dyDescent="0.25">
      <c r="A30" s="2260" t="s">
        <v>745</v>
      </c>
      <c r="B30" s="2261">
        <v>78</v>
      </c>
      <c r="C30" s="2262">
        <v>-2</v>
      </c>
      <c r="D30" s="2263">
        <v>4</v>
      </c>
      <c r="E30" s="2264">
        <v>28</v>
      </c>
      <c r="F30" s="2265">
        <v>89</v>
      </c>
      <c r="G30" s="2265">
        <v>120</v>
      </c>
      <c r="H30" s="2266">
        <v>135</v>
      </c>
      <c r="I30" s="2264">
        <v>79</v>
      </c>
      <c r="J30" s="2266">
        <v>17</v>
      </c>
      <c r="K30" s="2267">
        <v>372</v>
      </c>
      <c r="L30" s="2267">
        <v>138</v>
      </c>
    </row>
    <row r="31" spans="1:12" ht="15" customHeight="1" x14ac:dyDescent="0.25">
      <c r="A31" s="2241" t="s">
        <v>725</v>
      </c>
      <c r="B31" s="2242"/>
      <c r="C31" s="2243"/>
      <c r="D31" s="2244"/>
      <c r="E31" s="2245"/>
      <c r="F31" s="2246"/>
      <c r="G31" s="2246"/>
      <c r="H31" s="2247"/>
      <c r="I31" s="2245"/>
      <c r="J31" s="2248"/>
      <c r="K31" s="2249"/>
      <c r="L31" s="2249"/>
    </row>
    <row r="32" spans="1:12" ht="15" customHeight="1" x14ac:dyDescent="0.25">
      <c r="A32" s="2250" t="s">
        <v>741</v>
      </c>
      <c r="B32" s="2232">
        <v>17</v>
      </c>
      <c r="C32" s="2233">
        <v>17</v>
      </c>
      <c r="D32" s="2234">
        <v>7</v>
      </c>
      <c r="E32" s="2056">
        <v>26</v>
      </c>
      <c r="F32" s="2057">
        <v>15</v>
      </c>
      <c r="G32" s="2057">
        <v>36</v>
      </c>
      <c r="H32" s="2058">
        <v>25</v>
      </c>
      <c r="I32" s="2056">
        <v>16</v>
      </c>
      <c r="J32" s="2058">
        <v>8</v>
      </c>
      <c r="K32" s="2235">
        <v>102</v>
      </c>
      <c r="L32" s="2235">
        <v>40</v>
      </c>
    </row>
    <row r="33" spans="1:12" ht="15" customHeight="1" x14ac:dyDescent="0.25">
      <c r="A33" s="2251" t="s">
        <v>742</v>
      </c>
      <c r="B33" s="2252">
        <v>-5</v>
      </c>
      <c r="C33" s="2253">
        <v>-1</v>
      </c>
      <c r="D33" s="2254">
        <v>0</v>
      </c>
      <c r="E33" s="2255">
        <v>0</v>
      </c>
      <c r="F33" s="2256">
        <v>-6</v>
      </c>
      <c r="G33" s="2256">
        <v>-5</v>
      </c>
      <c r="H33" s="2257">
        <v>-8</v>
      </c>
      <c r="I33" s="2255">
        <v>-2</v>
      </c>
      <c r="J33" s="2258">
        <v>-4</v>
      </c>
      <c r="K33" s="2259">
        <v>-19</v>
      </c>
      <c r="L33" s="2259">
        <v>-9</v>
      </c>
    </row>
    <row r="34" spans="1:12" ht="15" customHeight="1" x14ac:dyDescent="0.25">
      <c r="A34" s="2251" t="s">
        <v>743</v>
      </c>
      <c r="B34" s="2252">
        <v>-9</v>
      </c>
      <c r="C34" s="2253">
        <v>-6</v>
      </c>
      <c r="D34" s="2254">
        <v>-7</v>
      </c>
      <c r="E34" s="2255">
        <v>-9</v>
      </c>
      <c r="F34" s="2256">
        <v>-18</v>
      </c>
      <c r="G34" s="2256">
        <v>-5</v>
      </c>
      <c r="H34" s="2257">
        <v>0</v>
      </c>
      <c r="I34" s="2255">
        <v>-1</v>
      </c>
      <c r="J34" s="2258">
        <v>-8</v>
      </c>
      <c r="K34" s="2259">
        <v>-32</v>
      </c>
      <c r="L34" s="2259">
        <v>-16</v>
      </c>
    </row>
    <row r="35" spans="1:12" ht="15" customHeight="1" x14ac:dyDescent="0.25">
      <c r="A35" s="2251" t="s">
        <v>744</v>
      </c>
      <c r="B35" s="2252">
        <v>0</v>
      </c>
      <c r="C35" s="2253">
        <v>0</v>
      </c>
      <c r="D35" s="2254">
        <v>0</v>
      </c>
      <c r="E35" s="2255">
        <v>0</v>
      </c>
      <c r="F35" s="2256">
        <v>0</v>
      </c>
      <c r="G35" s="2256">
        <v>0</v>
      </c>
      <c r="H35" s="2257">
        <v>0</v>
      </c>
      <c r="I35" s="2255">
        <v>0</v>
      </c>
      <c r="J35" s="2258">
        <v>0</v>
      </c>
      <c r="K35" s="2259">
        <v>0</v>
      </c>
      <c r="L35" s="2259">
        <v>0</v>
      </c>
    </row>
    <row r="36" spans="1:12" ht="15" customHeight="1" x14ac:dyDescent="0.25">
      <c r="A36" s="2260" t="s">
        <v>745</v>
      </c>
      <c r="B36" s="2261">
        <v>3</v>
      </c>
      <c r="C36" s="2262">
        <v>10</v>
      </c>
      <c r="D36" s="2263">
        <v>0</v>
      </c>
      <c r="E36" s="2264">
        <v>17</v>
      </c>
      <c r="F36" s="2265">
        <v>-9</v>
      </c>
      <c r="G36" s="2265">
        <v>26</v>
      </c>
      <c r="H36" s="2266">
        <v>17</v>
      </c>
      <c r="I36" s="2264">
        <v>13</v>
      </c>
      <c r="J36" s="2266">
        <v>-4</v>
      </c>
      <c r="K36" s="2267">
        <v>51</v>
      </c>
      <c r="L36" s="2267">
        <v>15</v>
      </c>
    </row>
    <row r="37" spans="1:12" ht="15" customHeight="1" x14ac:dyDescent="0.25">
      <c r="A37" s="2241" t="s">
        <v>729</v>
      </c>
      <c r="B37" s="2242"/>
      <c r="C37" s="2243"/>
      <c r="D37" s="2244"/>
      <c r="E37" s="2245"/>
      <c r="F37" s="2246"/>
      <c r="G37" s="2246"/>
      <c r="H37" s="2247"/>
      <c r="I37" s="2245"/>
      <c r="J37" s="2248"/>
      <c r="K37" s="2249"/>
      <c r="L37" s="2249"/>
    </row>
    <row r="38" spans="1:12" ht="15" customHeight="1" x14ac:dyDescent="0.25">
      <c r="A38" s="2250" t="s">
        <v>741</v>
      </c>
      <c r="B38" s="2232">
        <v>0</v>
      </c>
      <c r="C38" s="2233">
        <v>0</v>
      </c>
      <c r="D38" s="2234">
        <v>0</v>
      </c>
      <c r="E38" s="2056">
        <v>109</v>
      </c>
      <c r="F38" s="2057">
        <v>0</v>
      </c>
      <c r="G38" s="2057">
        <v>7</v>
      </c>
      <c r="H38" s="2058">
        <v>0</v>
      </c>
      <c r="I38" s="2056">
        <v>0</v>
      </c>
      <c r="J38" s="2058">
        <v>0</v>
      </c>
      <c r="K38" s="2235">
        <v>116</v>
      </c>
      <c r="L38" s="2235">
        <v>0</v>
      </c>
    </row>
    <row r="39" spans="1:12" ht="15" customHeight="1" x14ac:dyDescent="0.25">
      <c r="A39" s="2251" t="s">
        <v>742</v>
      </c>
      <c r="B39" s="2252">
        <v>0</v>
      </c>
      <c r="C39" s="2253">
        <v>0</v>
      </c>
      <c r="D39" s="2254">
        <v>0</v>
      </c>
      <c r="E39" s="2255">
        <v>0</v>
      </c>
      <c r="F39" s="2256">
        <v>0</v>
      </c>
      <c r="G39" s="2256">
        <v>0</v>
      </c>
      <c r="H39" s="2257">
        <v>0</v>
      </c>
      <c r="I39" s="2255">
        <v>0</v>
      </c>
      <c r="J39" s="2258">
        <v>0</v>
      </c>
      <c r="K39" s="2259">
        <v>0</v>
      </c>
      <c r="L39" s="2259">
        <v>0</v>
      </c>
    </row>
    <row r="40" spans="1:12" ht="15" customHeight="1" x14ac:dyDescent="0.25">
      <c r="A40" s="2251" t="s">
        <v>743</v>
      </c>
      <c r="B40" s="2252">
        <v>-1</v>
      </c>
      <c r="C40" s="2253">
        <v>-6</v>
      </c>
      <c r="D40" s="2254">
        <v>-5</v>
      </c>
      <c r="E40" s="2255">
        <v>-1</v>
      </c>
      <c r="F40" s="2256">
        <v>-2</v>
      </c>
      <c r="G40" s="2256">
        <v>0</v>
      </c>
      <c r="H40" s="2257">
        <v>-46</v>
      </c>
      <c r="I40" s="2255">
        <v>-3</v>
      </c>
      <c r="J40" s="2258">
        <v>-23</v>
      </c>
      <c r="K40" s="2259">
        <v>-49</v>
      </c>
      <c r="L40" s="2259">
        <v>-34</v>
      </c>
    </row>
    <row r="41" spans="1:12" ht="15" customHeight="1" x14ac:dyDescent="0.25">
      <c r="A41" s="2251" t="s">
        <v>744</v>
      </c>
      <c r="B41" s="2252">
        <v>-37</v>
      </c>
      <c r="C41" s="2253">
        <v>0</v>
      </c>
      <c r="D41" s="2254">
        <v>0</v>
      </c>
      <c r="E41" s="2255">
        <v>-4</v>
      </c>
      <c r="F41" s="2256">
        <v>0</v>
      </c>
      <c r="G41" s="2256">
        <v>0</v>
      </c>
      <c r="H41" s="2257">
        <v>0</v>
      </c>
      <c r="I41" s="2255">
        <v>0</v>
      </c>
      <c r="J41" s="2258">
        <v>0</v>
      </c>
      <c r="K41" s="2259">
        <v>-4</v>
      </c>
      <c r="L41" s="2259">
        <v>-19</v>
      </c>
    </row>
    <row r="42" spans="1:12" ht="15" customHeight="1" x14ac:dyDescent="0.25">
      <c r="A42" s="2251" t="s">
        <v>745</v>
      </c>
      <c r="B42" s="2252">
        <v>-38</v>
      </c>
      <c r="C42" s="2253">
        <v>-6</v>
      </c>
      <c r="D42" s="2254">
        <v>-5</v>
      </c>
      <c r="E42" s="2255">
        <v>104</v>
      </c>
      <c r="F42" s="2256">
        <v>-2</v>
      </c>
      <c r="G42" s="2256">
        <v>7</v>
      </c>
      <c r="H42" s="2257">
        <v>-46</v>
      </c>
      <c r="I42" s="2255">
        <v>-3</v>
      </c>
      <c r="J42" s="2258">
        <v>-23</v>
      </c>
      <c r="K42" s="2259">
        <v>63</v>
      </c>
      <c r="L42" s="2259">
        <v>-53</v>
      </c>
    </row>
    <row r="43" spans="1:12" ht="15" customHeight="1" x14ac:dyDescent="0.25">
      <c r="A43" s="2268" t="s">
        <v>508</v>
      </c>
      <c r="B43" s="2269">
        <v>1102</v>
      </c>
      <c r="C43" s="2253">
        <v>1026</v>
      </c>
      <c r="D43" s="2254">
        <v>1256</v>
      </c>
      <c r="E43" s="2255">
        <v>1474</v>
      </c>
      <c r="F43" s="2256">
        <v>1202</v>
      </c>
      <c r="G43" s="2256">
        <v>1176</v>
      </c>
      <c r="H43" s="2257">
        <v>1426</v>
      </c>
      <c r="I43" s="2255">
        <v>1036</v>
      </c>
      <c r="J43" s="2258">
        <v>973</v>
      </c>
      <c r="K43" s="2259">
        <v>5278</v>
      </c>
      <c r="L43" s="2259">
        <v>3672</v>
      </c>
    </row>
    <row r="44" spans="1:12" ht="15" customHeight="1" x14ac:dyDescent="0.25">
      <c r="A44" s="2270"/>
      <c r="B44" s="2237"/>
      <c r="C44" s="2238"/>
      <c r="D44" s="2174"/>
      <c r="E44" s="2175"/>
      <c r="F44" s="2176"/>
      <c r="G44" s="2176"/>
      <c r="H44" s="2174"/>
      <c r="I44" s="2175"/>
      <c r="J44" s="2174"/>
      <c r="K44" s="2240"/>
      <c r="L44" s="2240"/>
    </row>
    <row r="45" spans="1:12" ht="15" customHeight="1" x14ac:dyDescent="0.25">
      <c r="A45" s="2241" t="s">
        <v>749</v>
      </c>
      <c r="B45" s="2242"/>
      <c r="C45" s="2243"/>
      <c r="D45" s="2247"/>
      <c r="E45" s="2245"/>
      <c r="F45" s="2246"/>
      <c r="G45" s="2246"/>
      <c r="H45" s="2247"/>
      <c r="I45" s="2245"/>
      <c r="J45" s="2248"/>
      <c r="K45" s="2249"/>
      <c r="L45" s="2249"/>
    </row>
    <row r="46" spans="1:12" ht="15" customHeight="1" x14ac:dyDescent="0.25">
      <c r="A46" s="2250" t="s">
        <v>750</v>
      </c>
      <c r="B46" s="2232">
        <v>-401</v>
      </c>
      <c r="C46" s="2233">
        <v>-406</v>
      </c>
      <c r="D46" s="2271">
        <v>-394</v>
      </c>
      <c r="E46" s="2056">
        <v>-360</v>
      </c>
      <c r="F46" s="2057">
        <v>-348</v>
      </c>
      <c r="G46" s="2057">
        <v>-348</v>
      </c>
      <c r="H46" s="2058">
        <v>-322</v>
      </c>
      <c r="I46" s="2056">
        <v>-244</v>
      </c>
      <c r="J46" s="2058">
        <v>-240</v>
      </c>
      <c r="K46" s="2235">
        <v>-1378</v>
      </c>
      <c r="L46" s="2235">
        <v>-899</v>
      </c>
    </row>
    <row r="47" spans="1:12" ht="15" customHeight="1" x14ac:dyDescent="0.25">
      <c r="A47" s="2251" t="s">
        <v>751</v>
      </c>
      <c r="B47" s="2252">
        <v>-131</v>
      </c>
      <c r="C47" s="2253">
        <v>-79</v>
      </c>
      <c r="D47" s="2272">
        <v>-96</v>
      </c>
      <c r="E47" s="2255">
        <v>-112</v>
      </c>
      <c r="F47" s="2256">
        <v>-47</v>
      </c>
      <c r="G47" s="2256">
        <v>-53</v>
      </c>
      <c r="H47" s="2257">
        <v>-54</v>
      </c>
      <c r="I47" s="2255">
        <v>-46</v>
      </c>
      <c r="J47" s="2258">
        <v>-34</v>
      </c>
      <c r="K47" s="2259">
        <v>-266</v>
      </c>
      <c r="L47" s="2259">
        <v>-121</v>
      </c>
    </row>
    <row r="48" spans="1:12" ht="15" customHeight="1" x14ac:dyDescent="0.25">
      <c r="A48" s="2251" t="s">
        <v>752</v>
      </c>
      <c r="B48" s="2252">
        <v>-514</v>
      </c>
      <c r="C48" s="2253">
        <v>-504</v>
      </c>
      <c r="D48" s="2272">
        <v>-560</v>
      </c>
      <c r="E48" s="2255">
        <v>-569</v>
      </c>
      <c r="F48" s="2256">
        <v>-585</v>
      </c>
      <c r="G48" s="2256">
        <v>-562</v>
      </c>
      <c r="H48" s="2257">
        <v>-505</v>
      </c>
      <c r="I48" s="2255">
        <v>-469</v>
      </c>
      <c r="J48" s="2258">
        <v>-479</v>
      </c>
      <c r="K48" s="2259">
        <v>-2221</v>
      </c>
      <c r="L48" s="2259">
        <v>-1728</v>
      </c>
    </row>
    <row r="49" spans="1:12" ht="15" customHeight="1" x14ac:dyDescent="0.25">
      <c r="A49" s="2251" t="s">
        <v>753</v>
      </c>
      <c r="B49" s="2252">
        <v>-52</v>
      </c>
      <c r="C49" s="2253">
        <v>-48</v>
      </c>
      <c r="D49" s="2272">
        <v>-44</v>
      </c>
      <c r="E49" s="2255">
        <v>-47</v>
      </c>
      <c r="F49" s="2256">
        <v>-46</v>
      </c>
      <c r="G49" s="2256">
        <v>-55</v>
      </c>
      <c r="H49" s="2257">
        <v>-58</v>
      </c>
      <c r="I49" s="2255">
        <v>-51</v>
      </c>
      <c r="J49" s="2258">
        <v>-47</v>
      </c>
      <c r="K49" s="2259">
        <v>-206</v>
      </c>
      <c r="L49" s="2259">
        <v>-225</v>
      </c>
    </row>
    <row r="50" spans="1:12" ht="15" customHeight="1" x14ac:dyDescent="0.25">
      <c r="A50" s="2251" t="s">
        <v>754</v>
      </c>
      <c r="B50" s="2252">
        <v>0</v>
      </c>
      <c r="C50" s="2253">
        <v>0</v>
      </c>
      <c r="D50" s="2272">
        <v>-1</v>
      </c>
      <c r="E50" s="2255">
        <v>-11</v>
      </c>
      <c r="F50" s="2256">
        <v>0</v>
      </c>
      <c r="G50" s="2256">
        <v>0</v>
      </c>
      <c r="H50" s="2257">
        <v>0</v>
      </c>
      <c r="I50" s="2255">
        <v>0</v>
      </c>
      <c r="J50" s="2258">
        <v>0</v>
      </c>
      <c r="K50" s="2259">
        <v>-11</v>
      </c>
      <c r="L50" s="2259">
        <v>-1</v>
      </c>
    </row>
    <row r="51" spans="1:12" ht="15" customHeight="1" x14ac:dyDescent="0.25">
      <c r="A51" s="2251" t="s">
        <v>755</v>
      </c>
      <c r="B51" s="2252">
        <v>-27</v>
      </c>
      <c r="C51" s="2253">
        <v>-36</v>
      </c>
      <c r="D51" s="2272">
        <v>0</v>
      </c>
      <c r="E51" s="2255">
        <v>-3</v>
      </c>
      <c r="F51" s="2256">
        <v>0</v>
      </c>
      <c r="G51" s="2256">
        <v>0</v>
      </c>
      <c r="H51" s="2257">
        <v>0</v>
      </c>
      <c r="I51" s="2255">
        <v>0</v>
      </c>
      <c r="J51" s="2258">
        <v>0</v>
      </c>
      <c r="K51" s="2259">
        <v>-3</v>
      </c>
      <c r="L51" s="2259">
        <v>-8</v>
      </c>
    </row>
    <row r="52" spans="1:12" ht="15" customHeight="1" x14ac:dyDescent="0.25">
      <c r="A52" s="2268" t="s">
        <v>508</v>
      </c>
      <c r="B52" s="2252">
        <v>-1125</v>
      </c>
      <c r="C52" s="2253">
        <v>-1073</v>
      </c>
      <c r="D52" s="2272">
        <v>-1095</v>
      </c>
      <c r="E52" s="2255">
        <v>-1102</v>
      </c>
      <c r="F52" s="2256">
        <v>-1026</v>
      </c>
      <c r="G52" s="2256">
        <v>-1018</v>
      </c>
      <c r="H52" s="2257">
        <v>-939</v>
      </c>
      <c r="I52" s="2255">
        <v>-810</v>
      </c>
      <c r="J52" s="2258">
        <v>-800</v>
      </c>
      <c r="K52" s="2259">
        <v>-4085</v>
      </c>
      <c r="L52" s="2259">
        <v>-2982</v>
      </c>
    </row>
    <row r="53" spans="1:12" ht="15" customHeight="1" x14ac:dyDescent="0.25">
      <c r="A53" s="2270"/>
      <c r="B53" s="2237"/>
      <c r="C53" s="2238"/>
      <c r="D53" s="2273"/>
      <c r="E53" s="2175"/>
      <c r="F53" s="2176"/>
      <c r="G53" s="2176"/>
      <c r="H53" s="2174"/>
      <c r="I53" s="2175"/>
      <c r="J53" s="2174"/>
      <c r="K53" s="2240"/>
      <c r="L53" s="2240"/>
    </row>
    <row r="54" spans="1:12" ht="15" customHeight="1" x14ac:dyDescent="0.25">
      <c r="A54" s="2241" t="s">
        <v>756</v>
      </c>
      <c r="B54" s="2242"/>
      <c r="C54" s="2243"/>
      <c r="D54" s="2274"/>
      <c r="E54" s="2245"/>
      <c r="F54" s="2246"/>
      <c r="G54" s="2246"/>
      <c r="H54" s="2247"/>
      <c r="I54" s="2245"/>
      <c r="J54" s="2248"/>
      <c r="K54" s="2249"/>
      <c r="L54" s="2249"/>
    </row>
    <row r="55" spans="1:12" ht="15" customHeight="1" x14ac:dyDescent="0.25">
      <c r="A55" s="2250" t="s">
        <v>750</v>
      </c>
      <c r="B55" s="2232">
        <v>0</v>
      </c>
      <c r="C55" s="2233">
        <v>0</v>
      </c>
      <c r="D55" s="2271">
        <v>-1</v>
      </c>
      <c r="E55" s="2056">
        <v>1</v>
      </c>
      <c r="F55" s="2057">
        <v>0</v>
      </c>
      <c r="G55" s="2057">
        <v>0</v>
      </c>
      <c r="H55" s="2058">
        <v>0</v>
      </c>
      <c r="I55" s="2056">
        <v>0</v>
      </c>
      <c r="J55" s="2058">
        <v>0</v>
      </c>
      <c r="K55" s="2235">
        <v>1</v>
      </c>
      <c r="L55" s="2235">
        <v>0</v>
      </c>
    </row>
    <row r="56" spans="1:12" ht="15" customHeight="1" x14ac:dyDescent="0.25">
      <c r="A56" s="2251" t="s">
        <v>751</v>
      </c>
      <c r="B56" s="2252">
        <v>1</v>
      </c>
      <c r="C56" s="2253">
        <v>-6</v>
      </c>
      <c r="D56" s="2272">
        <v>5</v>
      </c>
      <c r="E56" s="2255">
        <v>0</v>
      </c>
      <c r="F56" s="2256">
        <v>0</v>
      </c>
      <c r="G56" s="2256">
        <v>0</v>
      </c>
      <c r="H56" s="2257">
        <v>0</v>
      </c>
      <c r="I56" s="2255">
        <v>1</v>
      </c>
      <c r="J56" s="2258">
        <v>0</v>
      </c>
      <c r="K56" s="2259">
        <v>0</v>
      </c>
      <c r="L56" s="2259">
        <v>-2</v>
      </c>
    </row>
    <row r="57" spans="1:12" ht="15" customHeight="1" x14ac:dyDescent="0.25">
      <c r="A57" s="2251" t="s">
        <v>752</v>
      </c>
      <c r="B57" s="2252">
        <v>42</v>
      </c>
      <c r="C57" s="2253">
        <v>-89</v>
      </c>
      <c r="D57" s="2272">
        <v>75</v>
      </c>
      <c r="E57" s="2255">
        <v>-68</v>
      </c>
      <c r="F57" s="2256">
        <v>-54</v>
      </c>
      <c r="G57" s="2256">
        <v>47</v>
      </c>
      <c r="H57" s="2257">
        <v>-44</v>
      </c>
      <c r="I57" s="2255">
        <v>-9</v>
      </c>
      <c r="J57" s="2258">
        <v>8</v>
      </c>
      <c r="K57" s="2259">
        <v>-119</v>
      </c>
      <c r="L57" s="2259">
        <v>133</v>
      </c>
    </row>
    <row r="58" spans="1:12" ht="15" customHeight="1" x14ac:dyDescent="0.25">
      <c r="A58" s="2251" t="s">
        <v>753</v>
      </c>
      <c r="B58" s="2252">
        <v>21</v>
      </c>
      <c r="C58" s="2253">
        <v>-67</v>
      </c>
      <c r="D58" s="2272">
        <v>77</v>
      </c>
      <c r="E58" s="2255">
        <v>-55</v>
      </c>
      <c r="F58" s="2256">
        <v>-32</v>
      </c>
      <c r="G58" s="2256">
        <v>73</v>
      </c>
      <c r="H58" s="2257">
        <v>-46</v>
      </c>
      <c r="I58" s="2255">
        <v>16</v>
      </c>
      <c r="J58" s="2258">
        <v>3</v>
      </c>
      <c r="K58" s="2259">
        <v>-60</v>
      </c>
      <c r="L58" s="2259">
        <v>117</v>
      </c>
    </row>
    <row r="59" spans="1:12" ht="15" customHeight="1" x14ac:dyDescent="0.25">
      <c r="A59" s="2251" t="s">
        <v>754</v>
      </c>
      <c r="B59" s="2252">
        <v>0</v>
      </c>
      <c r="C59" s="2253">
        <v>2</v>
      </c>
      <c r="D59" s="2272">
        <v>1</v>
      </c>
      <c r="E59" s="2255">
        <v>-1</v>
      </c>
      <c r="F59" s="2256">
        <v>0</v>
      </c>
      <c r="G59" s="2256">
        <v>1</v>
      </c>
      <c r="H59" s="2257">
        <v>-1</v>
      </c>
      <c r="I59" s="2255">
        <v>0</v>
      </c>
      <c r="J59" s="2258">
        <v>0</v>
      </c>
      <c r="K59" s="2259">
        <v>-1</v>
      </c>
      <c r="L59" s="2259">
        <v>0</v>
      </c>
    </row>
    <row r="60" spans="1:12" ht="15" customHeight="1" x14ac:dyDescent="0.25">
      <c r="A60" s="2251" t="s">
        <v>755</v>
      </c>
      <c r="B60" s="2252">
        <v>0</v>
      </c>
      <c r="C60" s="2253">
        <v>-8</v>
      </c>
      <c r="D60" s="2272">
        <v>7</v>
      </c>
      <c r="E60" s="2255">
        <v>1</v>
      </c>
      <c r="F60" s="2256">
        <v>0</v>
      </c>
      <c r="G60" s="2256">
        <v>1</v>
      </c>
      <c r="H60" s="2257">
        <v>-3</v>
      </c>
      <c r="I60" s="2255">
        <v>5</v>
      </c>
      <c r="J60" s="2258">
        <v>-2</v>
      </c>
      <c r="K60" s="2259">
        <v>-1</v>
      </c>
      <c r="L60" s="2259">
        <v>2</v>
      </c>
    </row>
    <row r="61" spans="1:12" ht="15" customHeight="1" x14ac:dyDescent="0.25">
      <c r="A61" s="2268" t="s">
        <v>508</v>
      </c>
      <c r="B61" s="2252">
        <v>64</v>
      </c>
      <c r="C61" s="2253">
        <v>-168</v>
      </c>
      <c r="D61" s="2272">
        <v>164</v>
      </c>
      <c r="E61" s="2255">
        <v>-122</v>
      </c>
      <c r="F61" s="2256">
        <v>-86</v>
      </c>
      <c r="G61" s="2256">
        <v>122</v>
      </c>
      <c r="H61" s="2257">
        <v>-94</v>
      </c>
      <c r="I61" s="2255">
        <v>13</v>
      </c>
      <c r="J61" s="2258">
        <v>9</v>
      </c>
      <c r="K61" s="2259">
        <v>-180</v>
      </c>
      <c r="L61" s="2259">
        <v>250</v>
      </c>
    </row>
    <row r="62" spans="1:12" ht="15" customHeight="1" x14ac:dyDescent="0.25">
      <c r="A62" s="2275" t="s">
        <v>757</v>
      </c>
      <c r="B62" s="2276">
        <v>6890</v>
      </c>
      <c r="C62" s="2277">
        <v>6849</v>
      </c>
      <c r="D62" s="2278">
        <v>7064</v>
      </c>
      <c r="E62" s="2279">
        <v>6739</v>
      </c>
      <c r="F62" s="2280">
        <v>6489</v>
      </c>
      <c r="G62" s="2280">
        <v>6399</v>
      </c>
      <c r="H62" s="2281">
        <v>6119</v>
      </c>
      <c r="I62" s="2279">
        <v>5726</v>
      </c>
      <c r="J62" s="2282">
        <v>5487</v>
      </c>
      <c r="K62" s="2283">
        <v>6739</v>
      </c>
      <c r="L62" s="2283">
        <v>5726</v>
      </c>
    </row>
    <row r="63" spans="1:12" ht="13.35" customHeight="1" x14ac:dyDescent="0.25">
      <c r="A63" s="1721"/>
      <c r="B63" s="2284"/>
      <c r="C63" s="2285"/>
      <c r="D63" s="2285"/>
      <c r="E63" s="2285"/>
      <c r="F63" s="2285"/>
      <c r="G63" s="2285"/>
      <c r="H63" s="2285"/>
      <c r="I63" s="2285"/>
      <c r="J63" s="2285"/>
      <c r="K63" s="2285"/>
      <c r="L63" s="2285"/>
    </row>
    <row r="64" spans="1:12" ht="10.35" customHeight="1" x14ac:dyDescent="0.25">
      <c r="A64" s="3511" t="s">
        <v>733</v>
      </c>
      <c r="B64" s="3614" t="s">
        <v>14</v>
      </c>
      <c r="C64" s="3614" t="s">
        <v>14</v>
      </c>
      <c r="D64" s="3614" t="s">
        <v>14</v>
      </c>
      <c r="E64" s="3614" t="s">
        <v>14</v>
      </c>
      <c r="F64" s="3614" t="s">
        <v>14</v>
      </c>
      <c r="G64" s="3614" t="s">
        <v>14</v>
      </c>
      <c r="H64" s="3614" t="s">
        <v>14</v>
      </c>
      <c r="I64" s="3614" t="s">
        <v>14</v>
      </c>
      <c r="J64" s="3614" t="s">
        <v>14</v>
      </c>
      <c r="K64" s="3614" t="s">
        <v>14</v>
      </c>
      <c r="L64" s="3614" t="s">
        <v>14</v>
      </c>
    </row>
    <row r="65" spans="1:12" ht="10.35" customHeight="1" x14ac:dyDescent="0.25">
      <c r="A65" s="3511" t="s">
        <v>758</v>
      </c>
      <c r="B65" s="3614" t="s">
        <v>14</v>
      </c>
      <c r="C65" s="3614" t="s">
        <v>14</v>
      </c>
      <c r="D65" s="3614" t="s">
        <v>14</v>
      </c>
      <c r="E65" s="3614" t="s">
        <v>14</v>
      </c>
      <c r="F65" s="3614" t="s">
        <v>14</v>
      </c>
      <c r="G65" s="3614" t="s">
        <v>14</v>
      </c>
      <c r="H65" s="3614" t="s">
        <v>14</v>
      </c>
      <c r="I65" s="3614" t="s">
        <v>14</v>
      </c>
      <c r="J65" s="3614" t="s">
        <v>14</v>
      </c>
      <c r="K65" s="3614" t="s">
        <v>14</v>
      </c>
      <c r="L65" s="3614" t="s">
        <v>14</v>
      </c>
    </row>
    <row r="66" spans="1:12" ht="10.35" customHeight="1" x14ac:dyDescent="0.25">
      <c r="A66" s="3511" t="s">
        <v>759</v>
      </c>
      <c r="B66" s="3614" t="s">
        <v>14</v>
      </c>
      <c r="C66" s="3614" t="s">
        <v>14</v>
      </c>
      <c r="D66" s="3614" t="s">
        <v>14</v>
      </c>
      <c r="E66" s="3614" t="s">
        <v>14</v>
      </c>
      <c r="F66" s="3614" t="s">
        <v>14</v>
      </c>
      <c r="G66" s="3614" t="s">
        <v>14</v>
      </c>
      <c r="H66" s="3614" t="s">
        <v>14</v>
      </c>
      <c r="I66" s="3614" t="s">
        <v>14</v>
      </c>
      <c r="J66" s="3614" t="s">
        <v>14</v>
      </c>
      <c r="K66" s="3614" t="s">
        <v>14</v>
      </c>
      <c r="L66" s="3614" t="s">
        <v>14</v>
      </c>
    </row>
    <row r="67" spans="1:12" ht="9" customHeight="1" x14ac:dyDescent="0.25">
      <c r="A67" s="3439"/>
      <c r="B67" s="3440" t="s">
        <v>14</v>
      </c>
      <c r="C67" s="3440" t="s">
        <v>14</v>
      </c>
      <c r="D67" s="3440" t="s">
        <v>14</v>
      </c>
      <c r="E67" s="3440" t="s">
        <v>14</v>
      </c>
      <c r="F67" s="3440" t="s">
        <v>14</v>
      </c>
      <c r="G67" s="3440" t="s">
        <v>14</v>
      </c>
      <c r="H67" s="3440" t="s">
        <v>14</v>
      </c>
      <c r="I67" s="3440" t="s">
        <v>14</v>
      </c>
      <c r="J67" s="3440" t="s">
        <v>14</v>
      </c>
      <c r="K67" s="3440" t="s">
        <v>14</v>
      </c>
      <c r="L67" s="3440" t="s">
        <v>14</v>
      </c>
    </row>
  </sheetData>
  <mergeCells count="9">
    <mergeCell ref="A65:L65"/>
    <mergeCell ref="A66:L66"/>
    <mergeCell ref="A67:L67"/>
    <mergeCell ref="A2:L2"/>
    <mergeCell ref="B3:D3"/>
    <mergeCell ref="E3:H3"/>
    <mergeCell ref="I3:J3"/>
    <mergeCell ref="K3:L3"/>
    <mergeCell ref="A64:L64"/>
  </mergeCells>
  <hyperlinks>
    <hyperlink ref="A1" location="ToC!A2" display="Back to Table of Contents" xr:uid="{AFBABAA5-1A00-4521-96DC-F5267ABFCE1C}"/>
  </hyperlinks>
  <pageMargins left="0.5" right="0.5" top="0.5" bottom="0.5" header="0.25" footer="0.25"/>
  <pageSetup scale="54" orientation="landscape" r:id="rId1"/>
  <headerFooter>
    <oddFooter>&amp;L&amp;G&amp;C&amp;"Scotia,Regular"&amp;9Supplementary Financial Information (SFI)&amp;R20&amp;"Scotia,Regular"&amp;7</oddFooter>
  </headerFooter>
  <ignoredErrors>
    <ignoredError sqref="B3:L5" numberStoredAsText="1"/>
  </ignoredErrors>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CB29-3B0F-4716-BD1E-A397DA941362}">
  <sheetPr>
    <pageSetUpPr fitToPage="1"/>
  </sheetPr>
  <dimension ref="A1:L73"/>
  <sheetViews>
    <sheetView showGridLines="0" zoomScaleNormal="100" workbookViewId="0"/>
  </sheetViews>
  <sheetFormatPr defaultColWidth="8.77734375" defaultRowHeight="13.2" x14ac:dyDescent="0.25"/>
  <cols>
    <col min="1" max="1" width="73.77734375" style="22" customWidth="1"/>
    <col min="2" max="12" width="14.21875" style="22" customWidth="1"/>
    <col min="13" max="16384" width="8.77734375" style="22"/>
  </cols>
  <sheetData>
    <row r="1" spans="1:12" ht="19.95" customHeight="1" x14ac:dyDescent="0.25">
      <c r="A1" s="21" t="s">
        <v>12</v>
      </c>
    </row>
    <row r="2" spans="1:12" ht="24" customHeight="1" x14ac:dyDescent="0.25">
      <c r="A2" s="3621" t="s">
        <v>760</v>
      </c>
      <c r="B2" s="3621" t="s">
        <v>14</v>
      </c>
      <c r="C2" s="3621" t="s">
        <v>14</v>
      </c>
      <c r="D2" s="3621" t="s">
        <v>14</v>
      </c>
      <c r="E2" s="3621" t="s">
        <v>14</v>
      </c>
      <c r="F2" s="3621" t="s">
        <v>14</v>
      </c>
      <c r="G2" s="3621" t="s">
        <v>14</v>
      </c>
      <c r="H2" s="3621" t="s">
        <v>14</v>
      </c>
      <c r="I2" s="3621" t="s">
        <v>14</v>
      </c>
      <c r="J2" s="3621" t="s">
        <v>14</v>
      </c>
      <c r="K2" s="3621" t="s">
        <v>14</v>
      </c>
      <c r="L2" s="3621" t="s">
        <v>14</v>
      </c>
    </row>
    <row r="3" spans="1:12" ht="13.35" customHeight="1" x14ac:dyDescent="0.25">
      <c r="A3" s="2286"/>
      <c r="B3" s="3622" t="s">
        <v>172</v>
      </c>
      <c r="C3" s="3622" t="s">
        <v>14</v>
      </c>
      <c r="D3" s="3623" t="s">
        <v>14</v>
      </c>
      <c r="E3" s="3624" t="s">
        <v>343</v>
      </c>
      <c r="F3" s="3625" t="s">
        <v>14</v>
      </c>
      <c r="G3" s="3625" t="s">
        <v>14</v>
      </c>
      <c r="H3" s="3626" t="s">
        <v>14</v>
      </c>
      <c r="I3" s="3624" t="s">
        <v>344</v>
      </c>
      <c r="J3" s="3626" t="s">
        <v>14</v>
      </c>
      <c r="K3" s="3625" t="s">
        <v>174</v>
      </c>
      <c r="L3" s="3625" t="s">
        <v>14</v>
      </c>
    </row>
    <row r="4" spans="1:12" ht="13.35" customHeight="1" x14ac:dyDescent="0.25">
      <c r="A4" s="2287" t="s">
        <v>270</v>
      </c>
      <c r="B4" s="2288" t="s">
        <v>176</v>
      </c>
      <c r="C4" s="2289" t="s">
        <v>177</v>
      </c>
      <c r="D4" s="2290" t="s">
        <v>178</v>
      </c>
      <c r="E4" s="2291" t="s">
        <v>179</v>
      </c>
      <c r="F4" s="2289" t="s">
        <v>180</v>
      </c>
      <c r="G4" s="2292" t="s">
        <v>177</v>
      </c>
      <c r="H4" s="2293" t="s">
        <v>178</v>
      </c>
      <c r="I4" s="2291" t="s">
        <v>179</v>
      </c>
      <c r="J4" s="2294" t="s">
        <v>180</v>
      </c>
      <c r="K4" s="2292" t="s">
        <v>343</v>
      </c>
      <c r="L4" s="2292" t="s">
        <v>344</v>
      </c>
    </row>
    <row r="5" spans="1:12" ht="13.35" customHeight="1" x14ac:dyDescent="0.25">
      <c r="A5" s="2295" t="s">
        <v>761</v>
      </c>
      <c r="B5" s="2002"/>
      <c r="C5" s="2296"/>
      <c r="D5" s="2156"/>
      <c r="E5" s="2007"/>
      <c r="F5" s="2008"/>
      <c r="G5" s="2008"/>
      <c r="H5" s="2009"/>
      <c r="I5" s="2007"/>
      <c r="J5" s="2009"/>
      <c r="K5" s="2008"/>
      <c r="L5" s="2002"/>
    </row>
    <row r="6" spans="1:12" ht="13.35" customHeight="1" x14ac:dyDescent="0.25">
      <c r="A6" s="2297" t="s">
        <v>762</v>
      </c>
      <c r="B6" s="2298">
        <v>2201</v>
      </c>
      <c r="C6" s="2299">
        <v>2190</v>
      </c>
      <c r="D6" s="2300">
        <v>2054</v>
      </c>
      <c r="E6" s="2016">
        <v>2040</v>
      </c>
      <c r="F6" s="2017">
        <v>2000</v>
      </c>
      <c r="G6" s="2301">
        <v>1904</v>
      </c>
      <c r="H6" s="2023">
        <v>1881</v>
      </c>
      <c r="I6" s="2016">
        <v>1820</v>
      </c>
      <c r="J6" s="2023">
        <v>1751</v>
      </c>
      <c r="K6" s="2302">
        <v>1881</v>
      </c>
      <c r="L6" s="2302">
        <v>1635</v>
      </c>
    </row>
    <row r="7" spans="1:12" ht="13.35" customHeight="1" x14ac:dyDescent="0.25">
      <c r="A7" s="2303" t="s">
        <v>763</v>
      </c>
      <c r="B7" s="2298">
        <v>975</v>
      </c>
      <c r="C7" s="2299">
        <v>1052</v>
      </c>
      <c r="D7" s="2300">
        <v>1064</v>
      </c>
      <c r="E7" s="2016">
        <v>1043</v>
      </c>
      <c r="F7" s="2017">
        <v>970</v>
      </c>
      <c r="G7" s="2017">
        <v>979</v>
      </c>
      <c r="H7" s="2023">
        <v>942</v>
      </c>
      <c r="I7" s="2016">
        <v>802</v>
      </c>
      <c r="J7" s="2023">
        <v>738</v>
      </c>
      <c r="K7" s="2302">
        <v>3934</v>
      </c>
      <c r="L7" s="2302">
        <v>2723</v>
      </c>
    </row>
    <row r="8" spans="1:12" ht="13.35" customHeight="1" x14ac:dyDescent="0.25">
      <c r="A8" s="2297" t="s">
        <v>764</v>
      </c>
      <c r="B8" s="2298">
        <v>-1125</v>
      </c>
      <c r="C8" s="2299">
        <v>-1073</v>
      </c>
      <c r="D8" s="2304">
        <v>-1095</v>
      </c>
      <c r="E8" s="2016">
        <v>-1102</v>
      </c>
      <c r="F8" s="2017">
        <v>-1026</v>
      </c>
      <c r="G8" s="2017">
        <v>-1018</v>
      </c>
      <c r="H8" s="2023">
        <v>-939</v>
      </c>
      <c r="I8" s="2016">
        <v>-810</v>
      </c>
      <c r="J8" s="2023">
        <v>-800</v>
      </c>
      <c r="K8" s="2302">
        <v>-4085</v>
      </c>
      <c r="L8" s="2302">
        <v>-2982</v>
      </c>
    </row>
    <row r="9" spans="1:12" ht="13.35" customHeight="1" x14ac:dyDescent="0.25">
      <c r="A9" s="2297" t="s">
        <v>765</v>
      </c>
      <c r="B9" s="2298">
        <v>177</v>
      </c>
      <c r="C9" s="2299">
        <v>142</v>
      </c>
      <c r="D9" s="2304">
        <v>141</v>
      </c>
      <c r="E9" s="2016">
        <v>137</v>
      </c>
      <c r="F9" s="2017">
        <v>161</v>
      </c>
      <c r="G9" s="2017">
        <v>129</v>
      </c>
      <c r="H9" s="2023">
        <v>135</v>
      </c>
      <c r="I9" s="2016">
        <v>129</v>
      </c>
      <c r="J9" s="2023">
        <v>144</v>
      </c>
      <c r="K9" s="2302">
        <v>562</v>
      </c>
      <c r="L9" s="2302">
        <v>530</v>
      </c>
    </row>
    <row r="10" spans="1:12" ht="13.35" customHeight="1" x14ac:dyDescent="0.25">
      <c r="A10" s="2297" t="s">
        <v>766</v>
      </c>
      <c r="B10" s="2298">
        <v>6</v>
      </c>
      <c r="C10" s="2299">
        <v>-110</v>
      </c>
      <c r="D10" s="2300">
        <v>26</v>
      </c>
      <c r="E10" s="2016">
        <v>-64</v>
      </c>
      <c r="F10" s="2017">
        <v>-65</v>
      </c>
      <c r="G10" s="2017">
        <v>6</v>
      </c>
      <c r="H10" s="2023">
        <v>-115</v>
      </c>
      <c r="I10" s="2016">
        <v>-60</v>
      </c>
      <c r="J10" s="2023">
        <v>-13</v>
      </c>
      <c r="K10" s="2302">
        <v>-238</v>
      </c>
      <c r="L10" s="2302">
        <v>-25</v>
      </c>
    </row>
    <row r="11" spans="1:12" ht="13.35" customHeight="1" x14ac:dyDescent="0.25">
      <c r="A11" s="2297" t="s">
        <v>767</v>
      </c>
      <c r="B11" s="2298">
        <v>2234</v>
      </c>
      <c r="C11" s="2299">
        <v>2201</v>
      </c>
      <c r="D11" s="2300">
        <v>2190</v>
      </c>
      <c r="E11" s="2016">
        <v>2054</v>
      </c>
      <c r="F11" s="2017">
        <v>2040</v>
      </c>
      <c r="G11" s="2017">
        <v>2000</v>
      </c>
      <c r="H11" s="2023">
        <v>1904</v>
      </c>
      <c r="I11" s="2016">
        <v>1881</v>
      </c>
      <c r="J11" s="2023">
        <v>1820</v>
      </c>
      <c r="K11" s="2302">
        <v>2054</v>
      </c>
      <c r="L11" s="2302">
        <v>1881</v>
      </c>
    </row>
    <row r="12" spans="1:12" ht="13.35" customHeight="1" x14ac:dyDescent="0.25">
      <c r="A12" s="2305" t="s">
        <v>768</v>
      </c>
      <c r="B12" s="2298"/>
      <c r="C12" s="2299"/>
      <c r="D12" s="2300"/>
      <c r="E12" s="2016"/>
      <c r="F12" s="2017"/>
      <c r="G12" s="2017"/>
      <c r="H12" s="2023"/>
      <c r="I12" s="2016"/>
      <c r="J12" s="2023"/>
      <c r="K12" s="2302"/>
      <c r="L12" s="2302"/>
    </row>
    <row r="13" spans="1:12" ht="13.35" customHeight="1" x14ac:dyDescent="0.25">
      <c r="A13" s="2297" t="s">
        <v>762</v>
      </c>
      <c r="B13" s="2298">
        <v>4883</v>
      </c>
      <c r="C13" s="2299">
        <v>4667</v>
      </c>
      <c r="D13" s="2300">
        <v>4482</v>
      </c>
      <c r="E13" s="2016">
        <v>4542</v>
      </c>
      <c r="F13" s="2017">
        <v>4507</v>
      </c>
      <c r="G13" s="2017">
        <v>4424</v>
      </c>
      <c r="H13" s="2023">
        <v>4491</v>
      </c>
      <c r="I13" s="2016">
        <v>4073</v>
      </c>
      <c r="J13" s="2023">
        <v>3985</v>
      </c>
      <c r="K13" s="2302">
        <v>4491</v>
      </c>
      <c r="L13" s="2302">
        <v>3713</v>
      </c>
    </row>
    <row r="14" spans="1:12" ht="13.35" customHeight="1" x14ac:dyDescent="0.25">
      <c r="A14" s="2297" t="s">
        <v>769</v>
      </c>
      <c r="B14" s="2298">
        <v>62</v>
      </c>
      <c r="C14" s="2299">
        <v>346</v>
      </c>
      <c r="D14" s="2300">
        <v>116</v>
      </c>
      <c r="E14" s="2016">
        <v>-12</v>
      </c>
      <c r="F14" s="2017">
        <v>85</v>
      </c>
      <c r="G14" s="2017">
        <v>34</v>
      </c>
      <c r="H14" s="2023">
        <v>21</v>
      </c>
      <c r="I14" s="2016">
        <v>457</v>
      </c>
      <c r="J14" s="2023">
        <v>87</v>
      </c>
      <c r="K14" s="2302">
        <v>128</v>
      </c>
      <c r="L14" s="2302">
        <v>708</v>
      </c>
    </row>
    <row r="15" spans="1:12" ht="13.35" customHeight="1" x14ac:dyDescent="0.25">
      <c r="A15" s="2297" t="s">
        <v>766</v>
      </c>
      <c r="B15" s="2298">
        <v>18</v>
      </c>
      <c r="C15" s="2299">
        <v>-130</v>
      </c>
      <c r="D15" s="2300">
        <v>69</v>
      </c>
      <c r="E15" s="2016">
        <v>-48</v>
      </c>
      <c r="F15" s="2017">
        <v>-50</v>
      </c>
      <c r="G15" s="2017">
        <v>49</v>
      </c>
      <c r="H15" s="2023">
        <v>-88</v>
      </c>
      <c r="I15" s="2016">
        <v>-39</v>
      </c>
      <c r="J15" s="2023">
        <v>1</v>
      </c>
      <c r="K15" s="2302">
        <v>-137</v>
      </c>
      <c r="L15" s="2302">
        <v>70</v>
      </c>
    </row>
    <row r="16" spans="1:12" ht="13.35" customHeight="1" x14ac:dyDescent="0.25">
      <c r="A16" s="2297" t="s">
        <v>767</v>
      </c>
      <c r="B16" s="2298">
        <v>4963</v>
      </c>
      <c r="C16" s="2299">
        <v>4883</v>
      </c>
      <c r="D16" s="2300">
        <v>4667</v>
      </c>
      <c r="E16" s="2016">
        <v>4482</v>
      </c>
      <c r="F16" s="2017">
        <v>4542</v>
      </c>
      <c r="G16" s="2017">
        <v>4507</v>
      </c>
      <c r="H16" s="2023">
        <v>4424</v>
      </c>
      <c r="I16" s="2016">
        <v>4491</v>
      </c>
      <c r="J16" s="2023">
        <v>4073</v>
      </c>
      <c r="K16" s="2302">
        <v>4482</v>
      </c>
      <c r="L16" s="2302">
        <v>4491</v>
      </c>
    </row>
    <row r="17" spans="1:12" ht="13.35" customHeight="1" x14ac:dyDescent="0.25">
      <c r="A17" s="2297"/>
      <c r="B17" s="2298"/>
      <c r="C17" s="2299"/>
      <c r="D17" s="2300"/>
      <c r="E17" s="2016"/>
      <c r="F17" s="2017"/>
      <c r="G17" s="2017"/>
      <c r="H17" s="2023"/>
      <c r="I17" s="2016"/>
      <c r="J17" s="2023"/>
      <c r="K17" s="2302"/>
      <c r="L17" s="2302"/>
    </row>
    <row r="18" spans="1:12" ht="13.35" customHeight="1" x14ac:dyDescent="0.25">
      <c r="A18" s="2306" t="s">
        <v>770</v>
      </c>
      <c r="B18" s="2307">
        <v>7197</v>
      </c>
      <c r="C18" s="2299">
        <v>7084</v>
      </c>
      <c r="D18" s="2300">
        <v>6857</v>
      </c>
      <c r="E18" s="2016">
        <v>6536</v>
      </c>
      <c r="F18" s="2017">
        <v>6582</v>
      </c>
      <c r="G18" s="2017">
        <v>6507</v>
      </c>
      <c r="H18" s="2023">
        <v>6328</v>
      </c>
      <c r="I18" s="2016">
        <v>6372</v>
      </c>
      <c r="J18" s="2023">
        <v>5893</v>
      </c>
      <c r="K18" s="2302">
        <v>6536</v>
      </c>
      <c r="L18" s="2302">
        <v>6372</v>
      </c>
    </row>
    <row r="19" spans="1:12" ht="13.35" customHeight="1" x14ac:dyDescent="0.25">
      <c r="A19" s="2306" t="s">
        <v>771</v>
      </c>
      <c r="B19" s="2298">
        <v>173</v>
      </c>
      <c r="C19" s="2299">
        <v>175</v>
      </c>
      <c r="D19" s="2300">
        <v>207</v>
      </c>
      <c r="E19" s="2016">
        <v>186</v>
      </c>
      <c r="F19" s="2017">
        <v>215</v>
      </c>
      <c r="G19" s="2017">
        <v>158</v>
      </c>
      <c r="H19" s="2023">
        <v>156</v>
      </c>
      <c r="I19" s="2016">
        <v>149</v>
      </c>
      <c r="J19" s="2023">
        <v>133</v>
      </c>
      <c r="K19" s="2302">
        <v>186</v>
      </c>
      <c r="L19" s="2302">
        <v>149</v>
      </c>
    </row>
    <row r="20" spans="1:12" ht="13.35" customHeight="1" x14ac:dyDescent="0.25">
      <c r="A20" s="2306" t="s">
        <v>772</v>
      </c>
      <c r="B20" s="2298">
        <v>16</v>
      </c>
      <c r="C20" s="2299">
        <v>17</v>
      </c>
      <c r="D20" s="2300">
        <v>16</v>
      </c>
      <c r="E20" s="2016">
        <v>14</v>
      </c>
      <c r="F20" s="2017">
        <v>63</v>
      </c>
      <c r="G20" s="2017">
        <v>103</v>
      </c>
      <c r="H20" s="2023">
        <v>113</v>
      </c>
      <c r="I20" s="2016">
        <v>108</v>
      </c>
      <c r="J20" s="2023">
        <v>68</v>
      </c>
      <c r="K20" s="2302">
        <v>14</v>
      </c>
      <c r="L20" s="2302">
        <v>108</v>
      </c>
    </row>
    <row r="21" spans="1:12" ht="13.35" customHeight="1" x14ac:dyDescent="0.25">
      <c r="A21" s="2308" t="s">
        <v>773</v>
      </c>
      <c r="B21" s="2307">
        <v>7386</v>
      </c>
      <c r="C21" s="2299">
        <v>7276</v>
      </c>
      <c r="D21" s="2300">
        <v>7080</v>
      </c>
      <c r="E21" s="2016">
        <v>6736</v>
      </c>
      <c r="F21" s="2017">
        <v>6860</v>
      </c>
      <c r="G21" s="2017">
        <v>6768</v>
      </c>
      <c r="H21" s="2023">
        <v>6597</v>
      </c>
      <c r="I21" s="2016">
        <v>6629</v>
      </c>
      <c r="J21" s="2023">
        <v>6094</v>
      </c>
      <c r="K21" s="2302">
        <v>6736</v>
      </c>
      <c r="L21" s="2302">
        <v>6629</v>
      </c>
    </row>
    <row r="22" spans="1:12" ht="13.35" customHeight="1" x14ac:dyDescent="0.25">
      <c r="A22" s="2309"/>
      <c r="B22" s="2310"/>
      <c r="C22" s="2311"/>
      <c r="D22" s="2312"/>
      <c r="E22" s="2175"/>
      <c r="F22" s="2176"/>
      <c r="G22" s="2176"/>
      <c r="H22" s="2174"/>
      <c r="I22" s="2175"/>
      <c r="J22" s="2174"/>
      <c r="K22" s="2313"/>
      <c r="L22" s="2313"/>
    </row>
    <row r="23" spans="1:12" ht="13.35" customHeight="1" x14ac:dyDescent="0.25">
      <c r="A23" s="2314" t="s">
        <v>774</v>
      </c>
      <c r="B23" s="2315"/>
      <c r="C23" s="2316"/>
      <c r="D23" s="2317"/>
      <c r="E23" s="2318"/>
      <c r="F23" s="2319"/>
      <c r="G23" s="2319"/>
      <c r="H23" s="2320"/>
      <c r="I23" s="2318"/>
      <c r="J23" s="2320"/>
      <c r="K23" s="2321"/>
      <c r="L23" s="2321"/>
    </row>
    <row r="24" spans="1:12" ht="13.35" customHeight="1" x14ac:dyDescent="0.25">
      <c r="A24" s="2295" t="s">
        <v>716</v>
      </c>
      <c r="B24" s="2322">
        <v>3081</v>
      </c>
      <c r="C24" s="2323">
        <v>3097</v>
      </c>
      <c r="D24" s="2234">
        <v>2724</v>
      </c>
      <c r="E24" s="2056">
        <v>2624</v>
      </c>
      <c r="F24" s="2057">
        <v>2604</v>
      </c>
      <c r="G24" s="2057">
        <v>2500</v>
      </c>
      <c r="H24" s="2058">
        <v>2436</v>
      </c>
      <c r="I24" s="2056">
        <v>2453</v>
      </c>
      <c r="J24" s="2058">
        <v>2006</v>
      </c>
      <c r="K24" s="2324">
        <v>2624</v>
      </c>
      <c r="L24" s="2054">
        <v>2453</v>
      </c>
    </row>
    <row r="25" spans="1:12" ht="13.35" customHeight="1" x14ac:dyDescent="0.25">
      <c r="A25" s="2297" t="s">
        <v>714</v>
      </c>
      <c r="B25" s="2307">
        <v>2291</v>
      </c>
      <c r="C25" s="2299">
        <v>2314</v>
      </c>
      <c r="D25" s="2325">
        <v>2055</v>
      </c>
      <c r="E25" s="2016">
        <v>1977</v>
      </c>
      <c r="F25" s="2017">
        <v>1935</v>
      </c>
      <c r="G25" s="2017">
        <v>1860</v>
      </c>
      <c r="H25" s="2023">
        <v>1799</v>
      </c>
      <c r="I25" s="2016">
        <v>1865</v>
      </c>
      <c r="J25" s="2023">
        <v>1590</v>
      </c>
      <c r="K25" s="2302">
        <v>1977</v>
      </c>
      <c r="L25" s="2326">
        <v>1865</v>
      </c>
    </row>
    <row r="26" spans="1:12" ht="13.35" customHeight="1" x14ac:dyDescent="0.25">
      <c r="A26" s="2297" t="s">
        <v>775</v>
      </c>
      <c r="B26" s="2307">
        <v>790</v>
      </c>
      <c r="C26" s="2299">
        <v>783</v>
      </c>
      <c r="D26" s="2325">
        <v>669</v>
      </c>
      <c r="E26" s="2016">
        <v>647</v>
      </c>
      <c r="F26" s="2017">
        <v>669</v>
      </c>
      <c r="G26" s="2017">
        <v>640</v>
      </c>
      <c r="H26" s="2023">
        <v>637</v>
      </c>
      <c r="I26" s="2016">
        <v>588</v>
      </c>
      <c r="J26" s="2023">
        <v>416</v>
      </c>
      <c r="K26" s="2302">
        <v>647</v>
      </c>
      <c r="L26" s="2326">
        <v>588</v>
      </c>
    </row>
    <row r="27" spans="1:12" ht="13.35" customHeight="1" x14ac:dyDescent="0.25">
      <c r="A27" s="2305" t="s">
        <v>724</v>
      </c>
      <c r="B27" s="2307">
        <v>3909</v>
      </c>
      <c r="C27" s="2299">
        <v>3777</v>
      </c>
      <c r="D27" s="2325">
        <v>3947</v>
      </c>
      <c r="E27" s="2016">
        <v>3749</v>
      </c>
      <c r="F27" s="2017">
        <v>3855</v>
      </c>
      <c r="G27" s="2017">
        <v>3900</v>
      </c>
      <c r="H27" s="2023">
        <v>3811</v>
      </c>
      <c r="I27" s="2016">
        <v>3834</v>
      </c>
      <c r="J27" s="2023">
        <v>3806</v>
      </c>
      <c r="K27" s="2302">
        <v>3749</v>
      </c>
      <c r="L27" s="2326">
        <v>3834</v>
      </c>
    </row>
    <row r="28" spans="1:12" ht="13.35" customHeight="1" x14ac:dyDescent="0.25">
      <c r="A28" s="2327" t="s">
        <v>776</v>
      </c>
      <c r="B28" s="2307">
        <v>2756</v>
      </c>
      <c r="C28" s="2299">
        <v>2660</v>
      </c>
      <c r="D28" s="2325">
        <v>2817</v>
      </c>
      <c r="E28" s="2016">
        <v>2692</v>
      </c>
      <c r="F28" s="2017">
        <v>2817</v>
      </c>
      <c r="G28" s="2017">
        <v>2888</v>
      </c>
      <c r="H28" s="2023">
        <v>2832</v>
      </c>
      <c r="I28" s="2016">
        <v>2854</v>
      </c>
      <c r="J28" s="2023">
        <v>2872</v>
      </c>
      <c r="K28" s="2302">
        <v>2692</v>
      </c>
      <c r="L28" s="2326">
        <v>2854</v>
      </c>
    </row>
    <row r="29" spans="1:12" ht="13.35" customHeight="1" x14ac:dyDescent="0.25">
      <c r="A29" s="2328" t="s">
        <v>777</v>
      </c>
      <c r="B29" s="2307">
        <v>389</v>
      </c>
      <c r="C29" s="2299">
        <v>394</v>
      </c>
      <c r="D29" s="2329">
        <v>426</v>
      </c>
      <c r="E29" s="2016">
        <v>424</v>
      </c>
      <c r="F29" s="2017">
        <v>433</v>
      </c>
      <c r="G29" s="2017">
        <v>448</v>
      </c>
      <c r="H29" s="2023">
        <v>452</v>
      </c>
      <c r="I29" s="2016">
        <v>481</v>
      </c>
      <c r="J29" s="2023">
        <v>472</v>
      </c>
      <c r="K29" s="2302">
        <v>424</v>
      </c>
      <c r="L29" s="2326">
        <v>481</v>
      </c>
    </row>
    <row r="30" spans="1:12" ht="13.35" customHeight="1" x14ac:dyDescent="0.25">
      <c r="A30" s="2328" t="s">
        <v>778</v>
      </c>
      <c r="B30" s="2307">
        <v>749</v>
      </c>
      <c r="C30" s="2299">
        <v>693</v>
      </c>
      <c r="D30" s="2329">
        <v>640</v>
      </c>
      <c r="E30" s="2016">
        <v>598</v>
      </c>
      <c r="F30" s="2017">
        <v>617</v>
      </c>
      <c r="G30" s="2017">
        <v>649</v>
      </c>
      <c r="H30" s="2023">
        <v>635</v>
      </c>
      <c r="I30" s="2016">
        <v>622</v>
      </c>
      <c r="J30" s="2023">
        <v>651</v>
      </c>
      <c r="K30" s="2302">
        <v>598</v>
      </c>
      <c r="L30" s="2326">
        <v>622</v>
      </c>
    </row>
    <row r="31" spans="1:12" ht="13.35" customHeight="1" x14ac:dyDescent="0.25">
      <c r="A31" s="2328" t="s">
        <v>779</v>
      </c>
      <c r="B31" s="2307">
        <v>487</v>
      </c>
      <c r="C31" s="2299">
        <v>477</v>
      </c>
      <c r="D31" s="2329">
        <v>614</v>
      </c>
      <c r="E31" s="2016">
        <v>607</v>
      </c>
      <c r="F31" s="2017">
        <v>637</v>
      </c>
      <c r="G31" s="2017">
        <v>634</v>
      </c>
      <c r="H31" s="2023">
        <v>637</v>
      </c>
      <c r="I31" s="2016">
        <v>667</v>
      </c>
      <c r="J31" s="2023">
        <v>662</v>
      </c>
      <c r="K31" s="2302">
        <v>607</v>
      </c>
      <c r="L31" s="2326">
        <v>667</v>
      </c>
    </row>
    <row r="32" spans="1:12" ht="13.35" customHeight="1" x14ac:dyDescent="0.25">
      <c r="A32" s="2328" t="s">
        <v>720</v>
      </c>
      <c r="B32" s="2307">
        <v>693</v>
      </c>
      <c r="C32" s="2299">
        <v>671</v>
      </c>
      <c r="D32" s="2329">
        <v>667</v>
      </c>
      <c r="E32" s="2016">
        <v>617</v>
      </c>
      <c r="F32" s="2017">
        <v>629</v>
      </c>
      <c r="G32" s="2017">
        <v>638</v>
      </c>
      <c r="H32" s="2023">
        <v>614</v>
      </c>
      <c r="I32" s="2016">
        <v>635</v>
      </c>
      <c r="J32" s="2023">
        <v>637</v>
      </c>
      <c r="K32" s="2302">
        <v>617</v>
      </c>
      <c r="L32" s="2326">
        <v>635</v>
      </c>
    </row>
    <row r="33" spans="1:12" ht="13.35" customHeight="1" x14ac:dyDescent="0.25">
      <c r="A33" s="2328" t="s">
        <v>780</v>
      </c>
      <c r="B33" s="2307">
        <v>340</v>
      </c>
      <c r="C33" s="2299">
        <v>335</v>
      </c>
      <c r="D33" s="2329">
        <v>376</v>
      </c>
      <c r="E33" s="2016">
        <v>354</v>
      </c>
      <c r="F33" s="2017">
        <v>407</v>
      </c>
      <c r="G33" s="2017">
        <v>418</v>
      </c>
      <c r="H33" s="2023">
        <v>398</v>
      </c>
      <c r="I33" s="2016">
        <v>350</v>
      </c>
      <c r="J33" s="2023">
        <v>352</v>
      </c>
      <c r="K33" s="2302">
        <v>354</v>
      </c>
      <c r="L33" s="2326">
        <v>350</v>
      </c>
    </row>
    <row r="34" spans="1:12" ht="13.35" customHeight="1" x14ac:dyDescent="0.25">
      <c r="A34" s="2328" t="s">
        <v>781</v>
      </c>
      <c r="B34" s="2307">
        <v>98</v>
      </c>
      <c r="C34" s="2299">
        <v>90</v>
      </c>
      <c r="D34" s="2329">
        <v>94</v>
      </c>
      <c r="E34" s="2016">
        <v>92</v>
      </c>
      <c r="F34" s="2017">
        <v>94</v>
      </c>
      <c r="G34" s="2017">
        <v>101</v>
      </c>
      <c r="H34" s="2023">
        <v>96</v>
      </c>
      <c r="I34" s="2016">
        <v>99</v>
      </c>
      <c r="J34" s="2023">
        <v>98</v>
      </c>
      <c r="K34" s="2302">
        <v>92</v>
      </c>
      <c r="L34" s="2326">
        <v>99</v>
      </c>
    </row>
    <row r="35" spans="1:12" ht="13.35" customHeight="1" x14ac:dyDescent="0.25">
      <c r="A35" s="2327" t="s">
        <v>782</v>
      </c>
      <c r="B35" s="2307">
        <v>1153</v>
      </c>
      <c r="C35" s="2299">
        <v>1117</v>
      </c>
      <c r="D35" s="2325">
        <v>1130</v>
      </c>
      <c r="E35" s="2016">
        <v>1057</v>
      </c>
      <c r="F35" s="2017">
        <v>1038</v>
      </c>
      <c r="G35" s="2017">
        <v>1012</v>
      </c>
      <c r="H35" s="2023">
        <v>979</v>
      </c>
      <c r="I35" s="2016">
        <v>980</v>
      </c>
      <c r="J35" s="2023">
        <v>934</v>
      </c>
      <c r="K35" s="2302">
        <v>1057</v>
      </c>
      <c r="L35" s="2326">
        <v>980</v>
      </c>
    </row>
    <row r="36" spans="1:12" ht="13.35" customHeight="1" x14ac:dyDescent="0.25">
      <c r="A36" s="2328" t="s">
        <v>777</v>
      </c>
      <c r="B36" s="2307">
        <v>107</v>
      </c>
      <c r="C36" s="2299">
        <v>104</v>
      </c>
      <c r="D36" s="2329">
        <v>103</v>
      </c>
      <c r="E36" s="2016">
        <v>95</v>
      </c>
      <c r="F36" s="2017">
        <v>91</v>
      </c>
      <c r="G36" s="2017">
        <v>90</v>
      </c>
      <c r="H36" s="2023">
        <v>84</v>
      </c>
      <c r="I36" s="2016">
        <v>88</v>
      </c>
      <c r="J36" s="2023">
        <v>86</v>
      </c>
      <c r="K36" s="2302">
        <v>95</v>
      </c>
      <c r="L36" s="2326">
        <v>88</v>
      </c>
    </row>
    <row r="37" spans="1:12" ht="13.35" customHeight="1" x14ac:dyDescent="0.25">
      <c r="A37" s="2328" t="s">
        <v>778</v>
      </c>
      <c r="B37" s="2307">
        <v>285</v>
      </c>
      <c r="C37" s="2299">
        <v>270</v>
      </c>
      <c r="D37" s="2329">
        <v>275</v>
      </c>
      <c r="E37" s="2016">
        <v>275</v>
      </c>
      <c r="F37" s="2017">
        <v>264</v>
      </c>
      <c r="G37" s="2017">
        <v>263</v>
      </c>
      <c r="H37" s="2023">
        <v>252</v>
      </c>
      <c r="I37" s="2016">
        <v>264</v>
      </c>
      <c r="J37" s="2023">
        <v>251</v>
      </c>
      <c r="K37" s="2302">
        <v>275</v>
      </c>
      <c r="L37" s="2326">
        <v>264</v>
      </c>
    </row>
    <row r="38" spans="1:12" ht="13.35" customHeight="1" x14ac:dyDescent="0.25">
      <c r="A38" s="2328" t="s">
        <v>779</v>
      </c>
      <c r="B38" s="2307">
        <v>271</v>
      </c>
      <c r="C38" s="2299">
        <v>265</v>
      </c>
      <c r="D38" s="2329">
        <v>272</v>
      </c>
      <c r="E38" s="2016">
        <v>247</v>
      </c>
      <c r="F38" s="2017">
        <v>240</v>
      </c>
      <c r="G38" s="2017">
        <v>249</v>
      </c>
      <c r="H38" s="2023">
        <v>245</v>
      </c>
      <c r="I38" s="2016">
        <v>240</v>
      </c>
      <c r="J38" s="2023">
        <v>226</v>
      </c>
      <c r="K38" s="2302">
        <v>247</v>
      </c>
      <c r="L38" s="2326">
        <v>240</v>
      </c>
    </row>
    <row r="39" spans="1:12" ht="13.35" customHeight="1" x14ac:dyDescent="0.25">
      <c r="A39" s="2328" t="s">
        <v>720</v>
      </c>
      <c r="B39" s="2307">
        <v>295</v>
      </c>
      <c r="C39" s="2299">
        <v>291</v>
      </c>
      <c r="D39" s="2329">
        <v>284</v>
      </c>
      <c r="E39" s="2016">
        <v>268</v>
      </c>
      <c r="F39" s="2017">
        <v>268</v>
      </c>
      <c r="G39" s="2017">
        <v>250</v>
      </c>
      <c r="H39" s="2023">
        <v>242</v>
      </c>
      <c r="I39" s="2016">
        <v>238</v>
      </c>
      <c r="J39" s="2023">
        <v>227</v>
      </c>
      <c r="K39" s="2302">
        <v>268</v>
      </c>
      <c r="L39" s="2326">
        <v>238</v>
      </c>
    </row>
    <row r="40" spans="1:12" ht="13.35" customHeight="1" x14ac:dyDescent="0.25">
      <c r="A40" s="2328" t="s">
        <v>780</v>
      </c>
      <c r="B40" s="2307">
        <v>102</v>
      </c>
      <c r="C40" s="2299">
        <v>99</v>
      </c>
      <c r="D40" s="2329">
        <v>98</v>
      </c>
      <c r="E40" s="2016">
        <v>84</v>
      </c>
      <c r="F40" s="2017">
        <v>94</v>
      </c>
      <c r="G40" s="2017">
        <v>86</v>
      </c>
      <c r="H40" s="2023">
        <v>85</v>
      </c>
      <c r="I40" s="2016">
        <v>76</v>
      </c>
      <c r="J40" s="2023">
        <v>68</v>
      </c>
      <c r="K40" s="2302">
        <v>84</v>
      </c>
      <c r="L40" s="2326">
        <v>76</v>
      </c>
    </row>
    <row r="41" spans="1:12" ht="13.35" customHeight="1" x14ac:dyDescent="0.25">
      <c r="A41" s="2328" t="s">
        <v>783</v>
      </c>
      <c r="B41" s="2307">
        <v>93</v>
      </c>
      <c r="C41" s="2299">
        <v>88</v>
      </c>
      <c r="D41" s="2329">
        <v>98</v>
      </c>
      <c r="E41" s="2016">
        <v>88</v>
      </c>
      <c r="F41" s="2017">
        <v>81</v>
      </c>
      <c r="G41" s="2017">
        <v>74</v>
      </c>
      <c r="H41" s="2023">
        <v>71</v>
      </c>
      <c r="I41" s="2016">
        <v>74</v>
      </c>
      <c r="J41" s="2023">
        <v>76</v>
      </c>
      <c r="K41" s="2302">
        <v>88</v>
      </c>
      <c r="L41" s="2326">
        <v>74</v>
      </c>
    </row>
    <row r="42" spans="1:12" ht="13.35" customHeight="1" x14ac:dyDescent="0.25">
      <c r="A42" s="2305" t="s">
        <v>725</v>
      </c>
      <c r="B42" s="2307">
        <v>56</v>
      </c>
      <c r="C42" s="2299">
        <v>52</v>
      </c>
      <c r="D42" s="2325">
        <v>51</v>
      </c>
      <c r="E42" s="2016">
        <v>48</v>
      </c>
      <c r="F42" s="2017">
        <v>55</v>
      </c>
      <c r="G42" s="2017">
        <v>45</v>
      </c>
      <c r="H42" s="2023">
        <v>38</v>
      </c>
      <c r="I42" s="2016">
        <v>33</v>
      </c>
      <c r="J42" s="2023">
        <v>28</v>
      </c>
      <c r="K42" s="2302">
        <v>48</v>
      </c>
      <c r="L42" s="2326">
        <v>33</v>
      </c>
    </row>
    <row r="43" spans="1:12" ht="13.35" customHeight="1" x14ac:dyDescent="0.25">
      <c r="A43" s="2305" t="s">
        <v>729</v>
      </c>
      <c r="B43" s="2307">
        <v>335</v>
      </c>
      <c r="C43" s="2299">
        <v>345</v>
      </c>
      <c r="D43" s="2325">
        <v>353</v>
      </c>
      <c r="E43" s="2016">
        <v>310</v>
      </c>
      <c r="F43" s="2017">
        <v>341</v>
      </c>
      <c r="G43" s="2017">
        <v>318</v>
      </c>
      <c r="H43" s="2023">
        <v>306</v>
      </c>
      <c r="I43" s="2016">
        <v>303</v>
      </c>
      <c r="J43" s="2023">
        <v>248</v>
      </c>
      <c r="K43" s="2302">
        <v>310</v>
      </c>
      <c r="L43" s="2326">
        <v>303</v>
      </c>
    </row>
    <row r="44" spans="1:12" ht="13.35" customHeight="1" x14ac:dyDescent="0.25">
      <c r="A44" s="2305" t="s">
        <v>572</v>
      </c>
      <c r="B44" s="2307">
        <v>5</v>
      </c>
      <c r="C44" s="2299">
        <v>5</v>
      </c>
      <c r="D44" s="2325">
        <v>5</v>
      </c>
      <c r="E44" s="2016">
        <v>5</v>
      </c>
      <c r="F44" s="2017">
        <v>5</v>
      </c>
      <c r="G44" s="2017">
        <v>5</v>
      </c>
      <c r="H44" s="2023">
        <v>6</v>
      </c>
      <c r="I44" s="2016">
        <v>6</v>
      </c>
      <c r="J44" s="2023">
        <v>6</v>
      </c>
      <c r="K44" s="2302">
        <v>5</v>
      </c>
      <c r="L44" s="2326">
        <v>6</v>
      </c>
    </row>
    <row r="45" spans="1:12" ht="13.35" customHeight="1" x14ac:dyDescent="0.25">
      <c r="A45" s="2308" t="s">
        <v>784</v>
      </c>
      <c r="B45" s="2307">
        <v>7386</v>
      </c>
      <c r="C45" s="2299">
        <v>7276</v>
      </c>
      <c r="D45" s="2325">
        <v>7080</v>
      </c>
      <c r="E45" s="2016">
        <v>6736</v>
      </c>
      <c r="F45" s="2017">
        <v>6860</v>
      </c>
      <c r="G45" s="2017">
        <v>6768</v>
      </c>
      <c r="H45" s="2023">
        <v>6597</v>
      </c>
      <c r="I45" s="2016">
        <v>6629</v>
      </c>
      <c r="J45" s="2023">
        <v>6094</v>
      </c>
      <c r="K45" s="2302">
        <v>6736</v>
      </c>
      <c r="L45" s="2302">
        <v>6629</v>
      </c>
    </row>
    <row r="46" spans="1:12" ht="13.35" customHeight="1" x14ac:dyDescent="0.25">
      <c r="A46" s="2236"/>
      <c r="B46" s="2310"/>
      <c r="C46" s="2311"/>
      <c r="D46" s="2174"/>
      <c r="E46" s="2175"/>
      <c r="F46" s="2176"/>
      <c r="G46" s="2176"/>
      <c r="H46" s="2174"/>
      <c r="I46" s="2175"/>
      <c r="J46" s="2174"/>
      <c r="K46" s="2313"/>
      <c r="L46" s="2313"/>
    </row>
    <row r="47" spans="1:12" ht="13.35" customHeight="1" x14ac:dyDescent="0.25">
      <c r="A47" s="2314" t="s">
        <v>785</v>
      </c>
      <c r="B47" s="2315"/>
      <c r="C47" s="2316"/>
      <c r="D47" s="2317"/>
      <c r="E47" s="2318"/>
      <c r="F47" s="2319"/>
      <c r="G47" s="2319"/>
      <c r="H47" s="2320"/>
      <c r="I47" s="2318"/>
      <c r="J47" s="2320"/>
      <c r="K47" s="2321"/>
      <c r="L47" s="2330"/>
    </row>
    <row r="48" spans="1:12" ht="13.35" customHeight="1" x14ac:dyDescent="0.25">
      <c r="A48" s="2295" t="s">
        <v>761</v>
      </c>
      <c r="B48" s="2322">
        <v>2234</v>
      </c>
      <c r="C48" s="2323">
        <v>2201</v>
      </c>
      <c r="D48" s="2271">
        <v>2190</v>
      </c>
      <c r="E48" s="2056">
        <v>2054</v>
      </c>
      <c r="F48" s="2057">
        <v>2040</v>
      </c>
      <c r="G48" s="2057">
        <v>2000</v>
      </c>
      <c r="H48" s="2331">
        <v>1904</v>
      </c>
      <c r="I48" s="2056">
        <v>1881</v>
      </c>
      <c r="J48" s="2058">
        <v>1820</v>
      </c>
      <c r="K48" s="2324">
        <v>2054</v>
      </c>
      <c r="L48" s="2324">
        <v>1881</v>
      </c>
    </row>
    <row r="49" spans="1:12" ht="13.35" customHeight="1" x14ac:dyDescent="0.25">
      <c r="A49" s="2297" t="s">
        <v>321</v>
      </c>
      <c r="B49" s="2307">
        <v>798</v>
      </c>
      <c r="C49" s="2299">
        <v>748</v>
      </c>
      <c r="D49" s="2332">
        <v>711</v>
      </c>
      <c r="E49" s="2016">
        <v>645</v>
      </c>
      <c r="F49" s="2017">
        <v>593</v>
      </c>
      <c r="G49" s="2017">
        <v>580</v>
      </c>
      <c r="H49" s="2023">
        <v>533</v>
      </c>
      <c r="I49" s="2016">
        <v>498</v>
      </c>
      <c r="J49" s="2023">
        <v>483</v>
      </c>
      <c r="K49" s="2302">
        <v>645</v>
      </c>
      <c r="L49" s="2302">
        <v>498</v>
      </c>
    </row>
    <row r="50" spans="1:12" ht="13.35" customHeight="1" x14ac:dyDescent="0.25">
      <c r="A50" s="2297" t="s">
        <v>353</v>
      </c>
      <c r="B50" s="2307">
        <v>600</v>
      </c>
      <c r="C50" s="2299">
        <v>617</v>
      </c>
      <c r="D50" s="2332">
        <v>647</v>
      </c>
      <c r="E50" s="2016">
        <v>621</v>
      </c>
      <c r="F50" s="2017">
        <v>659</v>
      </c>
      <c r="G50" s="2017">
        <v>656</v>
      </c>
      <c r="H50" s="2023">
        <v>623</v>
      </c>
      <c r="I50" s="2016">
        <v>664</v>
      </c>
      <c r="J50" s="2023">
        <v>632</v>
      </c>
      <c r="K50" s="2302">
        <v>621</v>
      </c>
      <c r="L50" s="2302">
        <v>664</v>
      </c>
    </row>
    <row r="51" spans="1:12" ht="13.35" customHeight="1" x14ac:dyDescent="0.25">
      <c r="A51" s="2297" t="s">
        <v>354</v>
      </c>
      <c r="B51" s="2307">
        <v>0</v>
      </c>
      <c r="C51" s="2299">
        <v>0</v>
      </c>
      <c r="D51" s="2332">
        <v>0</v>
      </c>
      <c r="E51" s="2016">
        <v>0</v>
      </c>
      <c r="F51" s="2017">
        <v>0</v>
      </c>
      <c r="G51" s="2017">
        <v>0</v>
      </c>
      <c r="H51" s="2023">
        <v>0</v>
      </c>
      <c r="I51" s="2016">
        <v>0</v>
      </c>
      <c r="J51" s="2023">
        <v>0</v>
      </c>
      <c r="K51" s="2302">
        <v>0</v>
      </c>
      <c r="L51" s="2302">
        <v>0</v>
      </c>
    </row>
    <row r="52" spans="1:12" ht="13.35" customHeight="1" x14ac:dyDescent="0.25">
      <c r="A52" s="2297" t="s">
        <v>568</v>
      </c>
      <c r="B52" s="2307">
        <v>836</v>
      </c>
      <c r="C52" s="2299">
        <v>836</v>
      </c>
      <c r="D52" s="2332">
        <v>832</v>
      </c>
      <c r="E52" s="2016">
        <v>788</v>
      </c>
      <c r="F52" s="2017">
        <v>788</v>
      </c>
      <c r="G52" s="2017">
        <v>764</v>
      </c>
      <c r="H52" s="2023">
        <v>748</v>
      </c>
      <c r="I52" s="2016">
        <v>719</v>
      </c>
      <c r="J52" s="2023">
        <v>705</v>
      </c>
      <c r="K52" s="2302">
        <v>788</v>
      </c>
      <c r="L52" s="2302">
        <v>719</v>
      </c>
    </row>
    <row r="53" spans="1:12" ht="13.35" customHeight="1" x14ac:dyDescent="0.25">
      <c r="A53" s="2327"/>
      <c r="B53" s="2307"/>
      <c r="C53" s="2299"/>
      <c r="D53" s="2333"/>
      <c r="E53" s="2016"/>
      <c r="F53" s="2017"/>
      <c r="G53" s="2017"/>
      <c r="H53" s="2023"/>
      <c r="I53" s="2016"/>
      <c r="J53" s="2023"/>
      <c r="K53" s="2302"/>
      <c r="L53" s="2302"/>
    </row>
    <row r="54" spans="1:12" ht="13.35" customHeight="1" x14ac:dyDescent="0.25">
      <c r="A54" s="2305" t="s">
        <v>768</v>
      </c>
      <c r="B54" s="2334">
        <v>4963</v>
      </c>
      <c r="C54" s="2299">
        <v>4883</v>
      </c>
      <c r="D54" s="2333">
        <v>4667</v>
      </c>
      <c r="E54" s="2016">
        <v>4482</v>
      </c>
      <c r="F54" s="2017">
        <v>4542</v>
      </c>
      <c r="G54" s="2017">
        <v>4507</v>
      </c>
      <c r="H54" s="2023">
        <v>4424</v>
      </c>
      <c r="I54" s="2016">
        <v>4491</v>
      </c>
      <c r="J54" s="2023">
        <v>4073</v>
      </c>
      <c r="K54" s="2302">
        <v>4482</v>
      </c>
      <c r="L54" s="2302">
        <v>4491</v>
      </c>
    </row>
    <row r="55" spans="1:12" ht="13.35" customHeight="1" x14ac:dyDescent="0.25">
      <c r="A55" s="2297" t="s">
        <v>321</v>
      </c>
      <c r="B55" s="2307">
        <v>632</v>
      </c>
      <c r="C55" s="2299">
        <v>630</v>
      </c>
      <c r="D55" s="2332">
        <v>569</v>
      </c>
      <c r="E55" s="2016">
        <v>563</v>
      </c>
      <c r="F55" s="2017">
        <v>617</v>
      </c>
      <c r="G55" s="2017">
        <v>608</v>
      </c>
      <c r="H55" s="2023">
        <v>582</v>
      </c>
      <c r="I55" s="2016">
        <v>586</v>
      </c>
      <c r="J55" s="2023">
        <v>526</v>
      </c>
      <c r="K55" s="2302">
        <v>563</v>
      </c>
      <c r="L55" s="2302">
        <v>586</v>
      </c>
    </row>
    <row r="56" spans="1:12" ht="13.35" customHeight="1" x14ac:dyDescent="0.25">
      <c r="A56" s="2297" t="s">
        <v>353</v>
      </c>
      <c r="B56" s="2307">
        <v>1787</v>
      </c>
      <c r="C56" s="2299">
        <v>1762</v>
      </c>
      <c r="D56" s="2332">
        <v>1779</v>
      </c>
      <c r="E56" s="2016">
        <v>1698</v>
      </c>
      <c r="F56" s="2017">
        <v>1713</v>
      </c>
      <c r="G56" s="2017">
        <v>1684</v>
      </c>
      <c r="H56" s="2023">
        <v>1679</v>
      </c>
      <c r="I56" s="2016">
        <v>1750</v>
      </c>
      <c r="J56" s="2023">
        <v>1659</v>
      </c>
      <c r="K56" s="2302">
        <v>1698</v>
      </c>
      <c r="L56" s="2302">
        <v>1750</v>
      </c>
    </row>
    <row r="57" spans="1:12" ht="13.35" customHeight="1" x14ac:dyDescent="0.25">
      <c r="A57" s="2297" t="s">
        <v>354</v>
      </c>
      <c r="B57" s="2307">
        <v>1250</v>
      </c>
      <c r="C57" s="2299">
        <v>1235</v>
      </c>
      <c r="D57" s="2332">
        <v>1185</v>
      </c>
      <c r="E57" s="2016">
        <v>1160</v>
      </c>
      <c r="F57" s="2017">
        <v>1190</v>
      </c>
      <c r="G57" s="2017">
        <v>1239</v>
      </c>
      <c r="H57" s="2023">
        <v>1232</v>
      </c>
      <c r="I57" s="2016">
        <v>1237</v>
      </c>
      <c r="J57" s="2023">
        <v>1176</v>
      </c>
      <c r="K57" s="2302">
        <v>1160</v>
      </c>
      <c r="L57" s="2302">
        <v>1237</v>
      </c>
    </row>
    <row r="58" spans="1:12" ht="13.35" customHeight="1" x14ac:dyDescent="0.25">
      <c r="A58" s="2297" t="s">
        <v>568</v>
      </c>
      <c r="B58" s="2307">
        <v>1294</v>
      </c>
      <c r="C58" s="2299">
        <v>1256</v>
      </c>
      <c r="D58" s="2333">
        <v>1134</v>
      </c>
      <c r="E58" s="2016">
        <v>1061</v>
      </c>
      <c r="F58" s="2017">
        <v>1022</v>
      </c>
      <c r="G58" s="2017">
        <v>976</v>
      </c>
      <c r="H58" s="2023">
        <v>931</v>
      </c>
      <c r="I58" s="2016">
        <v>918</v>
      </c>
      <c r="J58" s="2023">
        <v>712</v>
      </c>
      <c r="K58" s="2302">
        <v>1061</v>
      </c>
      <c r="L58" s="2302">
        <v>918</v>
      </c>
    </row>
    <row r="59" spans="1:12" ht="13.35" customHeight="1" x14ac:dyDescent="0.25">
      <c r="A59" s="2327"/>
      <c r="B59" s="2307"/>
      <c r="C59" s="2299"/>
      <c r="D59" s="2333"/>
      <c r="E59" s="2016"/>
      <c r="F59" s="2017"/>
      <c r="G59" s="2017"/>
      <c r="H59" s="2023"/>
      <c r="I59" s="2016"/>
      <c r="J59" s="2023"/>
      <c r="K59" s="2302"/>
      <c r="L59" s="2302"/>
    </row>
    <row r="60" spans="1:12" ht="13.35" customHeight="1" x14ac:dyDescent="0.25">
      <c r="A60" s="2335" t="s">
        <v>786</v>
      </c>
      <c r="B60" s="2336">
        <v>7197</v>
      </c>
      <c r="C60" s="2337">
        <v>7084</v>
      </c>
      <c r="D60" s="2338">
        <v>6857</v>
      </c>
      <c r="E60" s="2339">
        <v>6536</v>
      </c>
      <c r="F60" s="2340">
        <v>6582</v>
      </c>
      <c r="G60" s="2340">
        <v>6507</v>
      </c>
      <c r="H60" s="2341">
        <v>6328</v>
      </c>
      <c r="I60" s="2339">
        <v>6372</v>
      </c>
      <c r="J60" s="2341">
        <v>5893</v>
      </c>
      <c r="K60" s="2342">
        <v>6536</v>
      </c>
      <c r="L60" s="2342">
        <v>6372</v>
      </c>
    </row>
    <row r="61" spans="1:12" ht="12" customHeight="1" x14ac:dyDescent="0.25">
      <c r="A61" s="2343"/>
      <c r="B61" s="2215"/>
      <c r="C61" s="2344"/>
      <c r="D61" s="2216"/>
      <c r="E61" s="2344"/>
      <c r="F61" s="2344"/>
      <c r="G61" s="2344"/>
      <c r="H61" s="2344"/>
      <c r="I61" s="2344"/>
      <c r="J61" s="2344"/>
      <c r="K61" s="2344"/>
      <c r="L61" s="2344"/>
    </row>
    <row r="62" spans="1:12" ht="12" customHeight="1" x14ac:dyDescent="0.25">
      <c r="A62" s="3510" t="s">
        <v>787</v>
      </c>
      <c r="B62" s="3455" t="s">
        <v>14</v>
      </c>
      <c r="C62" s="3455" t="s">
        <v>14</v>
      </c>
      <c r="D62" s="3455" t="s">
        <v>14</v>
      </c>
      <c r="E62" s="3455" t="s">
        <v>14</v>
      </c>
      <c r="F62" s="3455" t="s">
        <v>14</v>
      </c>
      <c r="G62" s="3455" t="s">
        <v>14</v>
      </c>
      <c r="H62" s="3455" t="s">
        <v>14</v>
      </c>
      <c r="I62" s="3455" t="s">
        <v>14</v>
      </c>
      <c r="J62" s="3455" t="s">
        <v>14</v>
      </c>
      <c r="K62" s="3455" t="s">
        <v>14</v>
      </c>
      <c r="L62" s="3455" t="s">
        <v>14</v>
      </c>
    </row>
    <row r="63" spans="1:12" ht="12" customHeight="1" x14ac:dyDescent="0.25">
      <c r="A63" s="3510" t="s">
        <v>788</v>
      </c>
      <c r="B63" s="3455" t="s">
        <v>14</v>
      </c>
      <c r="C63" s="3455" t="s">
        <v>14</v>
      </c>
      <c r="D63" s="3455" t="s">
        <v>14</v>
      </c>
      <c r="E63" s="3455" t="s">
        <v>14</v>
      </c>
      <c r="F63" s="3455" t="s">
        <v>14</v>
      </c>
      <c r="G63" s="3455" t="s">
        <v>14</v>
      </c>
      <c r="H63" s="3455" t="s">
        <v>14</v>
      </c>
      <c r="I63" s="3455" t="s">
        <v>14</v>
      </c>
      <c r="J63" s="3455" t="s">
        <v>14</v>
      </c>
      <c r="K63" s="3455" t="s">
        <v>14</v>
      </c>
      <c r="L63" s="3455" t="s">
        <v>14</v>
      </c>
    </row>
    <row r="64" spans="1:12" ht="24.75" customHeight="1" x14ac:dyDescent="0.25">
      <c r="A64" s="3510" t="s">
        <v>789</v>
      </c>
      <c r="B64" s="3455" t="s">
        <v>14</v>
      </c>
      <c r="C64" s="3455" t="s">
        <v>14</v>
      </c>
      <c r="D64" s="3455" t="s">
        <v>14</v>
      </c>
      <c r="E64" s="3455" t="s">
        <v>14</v>
      </c>
      <c r="F64" s="3455" t="s">
        <v>14</v>
      </c>
      <c r="G64" s="3455" t="s">
        <v>14</v>
      </c>
      <c r="H64" s="3455" t="s">
        <v>14</v>
      </c>
      <c r="I64" s="3455" t="s">
        <v>14</v>
      </c>
      <c r="J64" s="3455" t="s">
        <v>14</v>
      </c>
      <c r="K64" s="3455" t="s">
        <v>14</v>
      </c>
      <c r="L64" s="3455" t="s">
        <v>14</v>
      </c>
    </row>
    <row r="65" spans="1:12" ht="12" customHeight="1" x14ac:dyDescent="0.25">
      <c r="A65" s="3510" t="s">
        <v>790</v>
      </c>
      <c r="B65" s="3455" t="s">
        <v>14</v>
      </c>
      <c r="C65" s="3455" t="s">
        <v>14</v>
      </c>
      <c r="D65" s="3455" t="s">
        <v>14</v>
      </c>
      <c r="E65" s="3455" t="s">
        <v>14</v>
      </c>
      <c r="F65" s="3455" t="s">
        <v>14</v>
      </c>
      <c r="G65" s="3455" t="s">
        <v>14</v>
      </c>
      <c r="H65" s="3455" t="s">
        <v>14</v>
      </c>
      <c r="I65" s="3455" t="s">
        <v>14</v>
      </c>
      <c r="J65" s="3455" t="s">
        <v>14</v>
      </c>
      <c r="K65" s="3455" t="s">
        <v>14</v>
      </c>
      <c r="L65" s="3455" t="s">
        <v>14</v>
      </c>
    </row>
    <row r="66" spans="1:12" ht="12" customHeight="1" x14ac:dyDescent="0.25">
      <c r="A66" s="3510" t="s">
        <v>791</v>
      </c>
      <c r="B66" s="3455" t="s">
        <v>14</v>
      </c>
      <c r="C66" s="3455" t="s">
        <v>14</v>
      </c>
      <c r="D66" s="3455" t="s">
        <v>14</v>
      </c>
      <c r="E66" s="3455" t="s">
        <v>14</v>
      </c>
      <c r="F66" s="3455" t="s">
        <v>14</v>
      </c>
      <c r="G66" s="3455" t="s">
        <v>14</v>
      </c>
      <c r="H66" s="3455" t="s">
        <v>14</v>
      </c>
      <c r="I66" s="3455" t="s">
        <v>14</v>
      </c>
      <c r="J66" s="3455" t="s">
        <v>14</v>
      </c>
      <c r="K66" s="3455" t="s">
        <v>14</v>
      </c>
      <c r="L66" s="3455" t="s">
        <v>14</v>
      </c>
    </row>
    <row r="67" spans="1:12" ht="12" customHeight="1" x14ac:dyDescent="0.25">
      <c r="A67" s="3510" t="s">
        <v>792</v>
      </c>
      <c r="B67" s="3455" t="s">
        <v>14</v>
      </c>
      <c r="C67" s="3455" t="s">
        <v>14</v>
      </c>
      <c r="D67" s="3455" t="s">
        <v>14</v>
      </c>
      <c r="E67" s="3455" t="s">
        <v>14</v>
      </c>
      <c r="F67" s="3455" t="s">
        <v>14</v>
      </c>
      <c r="G67" s="3455" t="s">
        <v>14</v>
      </c>
      <c r="H67" s="3455" t="s">
        <v>14</v>
      </c>
      <c r="I67" s="3455" t="s">
        <v>14</v>
      </c>
      <c r="J67" s="3455" t="s">
        <v>14</v>
      </c>
      <c r="K67" s="3455" t="s">
        <v>14</v>
      </c>
      <c r="L67" s="3455" t="s">
        <v>14</v>
      </c>
    </row>
    <row r="68" spans="1:12" ht="10.35" customHeight="1" x14ac:dyDescent="0.25">
      <c r="A68" s="3510" t="s">
        <v>793</v>
      </c>
      <c r="B68" s="3455" t="s">
        <v>14</v>
      </c>
      <c r="C68" s="3455" t="s">
        <v>14</v>
      </c>
      <c r="D68" s="3455" t="s">
        <v>14</v>
      </c>
      <c r="E68" s="3455" t="s">
        <v>14</v>
      </c>
      <c r="F68" s="3455" t="s">
        <v>14</v>
      </c>
      <c r="G68" s="3455" t="s">
        <v>14</v>
      </c>
      <c r="H68" s="3455" t="s">
        <v>14</v>
      </c>
      <c r="I68" s="3455" t="s">
        <v>14</v>
      </c>
      <c r="J68" s="3455" t="s">
        <v>14</v>
      </c>
      <c r="K68" s="3455" t="s">
        <v>14</v>
      </c>
      <c r="L68" s="3455" t="s">
        <v>14</v>
      </c>
    </row>
    <row r="69" spans="1:12" ht="10.35" customHeight="1" x14ac:dyDescent="0.25">
      <c r="A69" s="3510" t="s">
        <v>794</v>
      </c>
      <c r="B69" s="3455" t="s">
        <v>14</v>
      </c>
      <c r="C69" s="3455" t="s">
        <v>14</v>
      </c>
      <c r="D69" s="3455" t="s">
        <v>14</v>
      </c>
      <c r="E69" s="3455" t="s">
        <v>14</v>
      </c>
      <c r="F69" s="3455" t="s">
        <v>14</v>
      </c>
      <c r="G69" s="3455" t="s">
        <v>14</v>
      </c>
      <c r="H69" s="3455" t="s">
        <v>14</v>
      </c>
      <c r="I69" s="3455" t="s">
        <v>14</v>
      </c>
      <c r="J69" s="3455" t="s">
        <v>14</v>
      </c>
      <c r="K69" s="3455" t="s">
        <v>14</v>
      </c>
      <c r="L69" s="3455" t="s">
        <v>14</v>
      </c>
    </row>
    <row r="70" spans="1:12" ht="10.35" customHeight="1" x14ac:dyDescent="0.25">
      <c r="A70" s="3510"/>
      <c r="B70" s="3455" t="s">
        <v>14</v>
      </c>
      <c r="C70" s="3455" t="s">
        <v>14</v>
      </c>
      <c r="D70" s="3455" t="s">
        <v>14</v>
      </c>
      <c r="E70" s="3455" t="s">
        <v>14</v>
      </c>
      <c r="F70" s="3455" t="s">
        <v>14</v>
      </c>
      <c r="G70" s="3455" t="s">
        <v>14</v>
      </c>
      <c r="H70" s="3455" t="s">
        <v>14</v>
      </c>
      <c r="I70" s="3455" t="s">
        <v>14</v>
      </c>
      <c r="J70" s="3455" t="s">
        <v>14</v>
      </c>
      <c r="K70" s="3455" t="s">
        <v>14</v>
      </c>
      <c r="L70" s="3455" t="s">
        <v>14</v>
      </c>
    </row>
    <row r="71" spans="1:12" ht="10.35" customHeight="1" x14ac:dyDescent="0.25">
      <c r="A71" s="2220"/>
      <c r="B71" s="2218"/>
      <c r="C71" s="2218"/>
      <c r="D71" s="2218"/>
      <c r="E71" s="3607"/>
      <c r="F71" s="3607" t="s">
        <v>14</v>
      </c>
      <c r="G71" s="3607" t="s">
        <v>14</v>
      </c>
      <c r="H71" s="3607" t="s">
        <v>14</v>
      </c>
      <c r="I71" s="3607" t="s">
        <v>14</v>
      </c>
      <c r="J71" s="3607" t="s">
        <v>14</v>
      </c>
      <c r="K71" s="3607" t="s">
        <v>14</v>
      </c>
      <c r="L71" s="3607" t="s">
        <v>14</v>
      </c>
    </row>
    <row r="72" spans="1:12" ht="10.35" customHeight="1" x14ac:dyDescent="0.25">
      <c r="A72" s="3607"/>
      <c r="B72" s="3607" t="s">
        <v>14</v>
      </c>
      <c r="C72" s="3607" t="s">
        <v>14</v>
      </c>
      <c r="D72" s="3607" t="s">
        <v>14</v>
      </c>
      <c r="E72" s="3607" t="s">
        <v>14</v>
      </c>
      <c r="F72" s="3607" t="s">
        <v>14</v>
      </c>
      <c r="G72" s="3607" t="s">
        <v>14</v>
      </c>
      <c r="H72" s="3607" t="s">
        <v>14</v>
      </c>
      <c r="I72" s="3607" t="s">
        <v>14</v>
      </c>
      <c r="J72" s="3607" t="s">
        <v>14</v>
      </c>
      <c r="K72" s="3607" t="s">
        <v>14</v>
      </c>
      <c r="L72" s="3607" t="s">
        <v>14</v>
      </c>
    </row>
    <row r="73" spans="1:12" ht="12" customHeight="1" x14ac:dyDescent="0.25">
      <c r="A73" s="3607"/>
      <c r="B73" s="3607" t="s">
        <v>14</v>
      </c>
      <c r="C73" s="3607" t="s">
        <v>14</v>
      </c>
      <c r="D73" s="3607" t="s">
        <v>14</v>
      </c>
      <c r="E73" s="3607" t="s">
        <v>14</v>
      </c>
      <c r="F73" s="3607" t="s">
        <v>14</v>
      </c>
      <c r="G73" s="3607" t="s">
        <v>14</v>
      </c>
      <c r="H73" s="3607" t="s">
        <v>14</v>
      </c>
      <c r="I73" s="3607" t="s">
        <v>14</v>
      </c>
      <c r="J73" s="3607" t="s">
        <v>14</v>
      </c>
      <c r="K73" s="3607" t="s">
        <v>14</v>
      </c>
      <c r="L73" s="3607" t="s">
        <v>14</v>
      </c>
    </row>
  </sheetData>
  <mergeCells count="17">
    <mergeCell ref="A68:L68"/>
    <mergeCell ref="A2:L2"/>
    <mergeCell ref="B3:D3"/>
    <mergeCell ref="E3:H3"/>
    <mergeCell ref="I3:J3"/>
    <mergeCell ref="K3:L3"/>
    <mergeCell ref="A62:L62"/>
    <mergeCell ref="A63:L63"/>
    <mergeCell ref="A64:L64"/>
    <mergeCell ref="A65:L65"/>
    <mergeCell ref="A66:L66"/>
    <mergeCell ref="A67:L67"/>
    <mergeCell ref="A69:L69"/>
    <mergeCell ref="A70:L70"/>
    <mergeCell ref="E71:L71"/>
    <mergeCell ref="A72:L72"/>
    <mergeCell ref="A73:L73"/>
  </mergeCells>
  <hyperlinks>
    <hyperlink ref="A1" location="ToC!A2" display="Back to Table of Contents" xr:uid="{96F563CC-30C1-423B-8695-5E8C77D4F5E8}"/>
  </hyperlinks>
  <pageMargins left="0.5" right="0.5" top="0.5" bottom="0.5" header="0.25" footer="0.25"/>
  <pageSetup scale="55" orientation="landscape" r:id="rId1"/>
  <headerFooter>
    <oddFooter>&amp;L&amp;G&amp;C&amp;"Scotia,Regular"&amp;9Supplementary Financial Information (SFI)&amp;R21&amp;"Scotia,Regular"&amp;7</oddFooter>
  </headerFooter>
  <ignoredErrors>
    <ignoredError sqref="B3:L4" numberStoredAsText="1"/>
  </ignoredErrors>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6380-0868-4C6B-A812-BABF1F229E91}">
  <sheetPr>
    <pageSetUpPr fitToPage="1"/>
  </sheetPr>
  <dimension ref="A1:P37"/>
  <sheetViews>
    <sheetView showGridLines="0" zoomScaleNormal="100" workbookViewId="0"/>
  </sheetViews>
  <sheetFormatPr defaultColWidth="8.77734375" defaultRowHeight="13.2" x14ac:dyDescent="0.25"/>
  <cols>
    <col min="1" max="1" width="32.5546875" style="22" customWidth="1"/>
    <col min="2" max="16" width="11.77734375" style="22" customWidth="1"/>
    <col min="17" max="16384" width="8.77734375" style="22"/>
  </cols>
  <sheetData>
    <row r="1" spans="1:16" ht="19.95" customHeight="1" x14ac:dyDescent="0.25">
      <c r="A1" s="21" t="s">
        <v>12</v>
      </c>
    </row>
    <row r="2" spans="1:16" ht="24.9" customHeight="1" x14ac:dyDescent="0.25">
      <c r="A2" s="3627" t="s">
        <v>795</v>
      </c>
      <c r="B2" s="3627" t="s">
        <v>14</v>
      </c>
      <c r="C2" s="3627" t="s">
        <v>14</v>
      </c>
      <c r="D2" s="3627" t="s">
        <v>14</v>
      </c>
      <c r="E2" s="3627" t="s">
        <v>14</v>
      </c>
      <c r="F2" s="3627" t="s">
        <v>14</v>
      </c>
      <c r="G2" s="3627" t="s">
        <v>14</v>
      </c>
      <c r="H2" s="3627" t="s">
        <v>14</v>
      </c>
      <c r="I2" s="3627" t="s">
        <v>14</v>
      </c>
      <c r="J2" s="3627" t="s">
        <v>14</v>
      </c>
      <c r="K2" s="3627" t="s">
        <v>14</v>
      </c>
      <c r="L2" s="3627" t="s">
        <v>14</v>
      </c>
      <c r="M2" s="3627" t="s">
        <v>14</v>
      </c>
      <c r="N2" s="3627" t="s">
        <v>14</v>
      </c>
      <c r="O2" s="3627" t="s">
        <v>14</v>
      </c>
      <c r="P2" s="3627" t="s">
        <v>14</v>
      </c>
    </row>
    <row r="3" spans="1:16" ht="20.100000000000001" customHeight="1" x14ac:dyDescent="0.25">
      <c r="A3" s="2345"/>
      <c r="B3" s="3628" t="s">
        <v>676</v>
      </c>
      <c r="C3" s="3629" t="s">
        <v>14</v>
      </c>
      <c r="D3" s="3630" t="s">
        <v>14</v>
      </c>
      <c r="E3" s="3631" t="s">
        <v>677</v>
      </c>
      <c r="F3" s="3632" t="s">
        <v>14</v>
      </c>
      <c r="G3" s="3633" t="s">
        <v>14</v>
      </c>
      <c r="H3" s="3631" t="s">
        <v>678</v>
      </c>
      <c r="I3" s="3632" t="s">
        <v>14</v>
      </c>
      <c r="J3" s="3633" t="s">
        <v>14</v>
      </c>
      <c r="K3" s="3631" t="s">
        <v>679</v>
      </c>
      <c r="L3" s="3632" t="s">
        <v>14</v>
      </c>
      <c r="M3" s="3633" t="s">
        <v>14</v>
      </c>
      <c r="N3" s="3631" t="s">
        <v>680</v>
      </c>
      <c r="O3" s="3632" t="s">
        <v>14</v>
      </c>
      <c r="P3" s="3632" t="s">
        <v>14</v>
      </c>
    </row>
    <row r="4" spans="1:16" ht="47.25" customHeight="1" x14ac:dyDescent="0.25">
      <c r="A4" s="2346"/>
      <c r="B4" s="2347"/>
      <c r="C4" s="2348" t="s">
        <v>796</v>
      </c>
      <c r="D4" s="2349"/>
      <c r="E4" s="2350"/>
      <c r="F4" s="2351" t="s">
        <v>797</v>
      </c>
      <c r="G4" s="2352"/>
      <c r="H4" s="2350"/>
      <c r="I4" s="2353" t="s">
        <v>797</v>
      </c>
      <c r="J4" s="2352"/>
      <c r="K4" s="2350"/>
      <c r="L4" s="2353" t="s">
        <v>797</v>
      </c>
      <c r="M4" s="2352"/>
      <c r="N4" s="2350"/>
      <c r="O4" s="2351" t="s">
        <v>797</v>
      </c>
      <c r="P4" s="2354"/>
    </row>
    <row r="5" spans="1:16" ht="20.100000000000001" customHeight="1" x14ac:dyDescent="0.25">
      <c r="A5" s="2355" t="s">
        <v>270</v>
      </c>
      <c r="B5" s="2356" t="s">
        <v>798</v>
      </c>
      <c r="C5" s="2357" t="s">
        <v>799</v>
      </c>
      <c r="D5" s="2358" t="s">
        <v>800</v>
      </c>
      <c r="E5" s="2359" t="s">
        <v>801</v>
      </c>
      <c r="F5" s="2360" t="s">
        <v>802</v>
      </c>
      <c r="G5" s="2361" t="s">
        <v>803</v>
      </c>
      <c r="H5" s="2359" t="s">
        <v>801</v>
      </c>
      <c r="I5" s="2362" t="s">
        <v>802</v>
      </c>
      <c r="J5" s="2361" t="s">
        <v>803</v>
      </c>
      <c r="K5" s="2359" t="s">
        <v>801</v>
      </c>
      <c r="L5" s="2362" t="s">
        <v>802</v>
      </c>
      <c r="M5" s="2361" t="s">
        <v>803</v>
      </c>
      <c r="N5" s="2359" t="s">
        <v>801</v>
      </c>
      <c r="O5" s="2360" t="s">
        <v>802</v>
      </c>
      <c r="P5" s="2363" t="s">
        <v>803</v>
      </c>
    </row>
    <row r="6" spans="1:16" ht="20.100000000000001" customHeight="1" x14ac:dyDescent="0.25">
      <c r="A6" s="2184" t="s">
        <v>321</v>
      </c>
      <c r="B6" s="2364">
        <v>2659</v>
      </c>
      <c r="C6" s="2365">
        <v>798</v>
      </c>
      <c r="D6" s="2366">
        <v>1861</v>
      </c>
      <c r="E6" s="2367">
        <v>2579</v>
      </c>
      <c r="F6" s="2368">
        <v>748</v>
      </c>
      <c r="G6" s="2369">
        <v>1831</v>
      </c>
      <c r="H6" s="2367">
        <v>2563</v>
      </c>
      <c r="I6" s="2368">
        <v>711</v>
      </c>
      <c r="J6" s="2369">
        <v>1852</v>
      </c>
      <c r="K6" s="2370">
        <v>2372</v>
      </c>
      <c r="L6" s="2371">
        <v>645</v>
      </c>
      <c r="M6" s="2372">
        <v>1727</v>
      </c>
      <c r="N6" s="2373">
        <v>2197</v>
      </c>
      <c r="O6" s="2374">
        <v>593</v>
      </c>
      <c r="P6" s="2375">
        <v>1604</v>
      </c>
    </row>
    <row r="7" spans="1:16" ht="20.100000000000001" customHeight="1" x14ac:dyDescent="0.25">
      <c r="A7" s="2376" t="s">
        <v>353</v>
      </c>
      <c r="B7" s="2377">
        <v>1048</v>
      </c>
      <c r="C7" s="2378">
        <v>600</v>
      </c>
      <c r="D7" s="2379">
        <v>448</v>
      </c>
      <c r="E7" s="2380">
        <v>1060</v>
      </c>
      <c r="F7" s="2381">
        <v>617</v>
      </c>
      <c r="G7" s="2382">
        <v>443</v>
      </c>
      <c r="H7" s="2380">
        <v>1169</v>
      </c>
      <c r="I7" s="2381">
        <v>647</v>
      </c>
      <c r="J7" s="2382">
        <v>522</v>
      </c>
      <c r="K7" s="2383">
        <v>1117</v>
      </c>
      <c r="L7" s="2384">
        <v>621</v>
      </c>
      <c r="M7" s="2385">
        <v>496</v>
      </c>
      <c r="N7" s="2386">
        <v>1139</v>
      </c>
      <c r="O7" s="2387">
        <v>659</v>
      </c>
      <c r="P7" s="2388">
        <v>480</v>
      </c>
    </row>
    <row r="8" spans="1:16" ht="20.100000000000001" customHeight="1" x14ac:dyDescent="0.25">
      <c r="A8" s="2376" t="s">
        <v>804</v>
      </c>
      <c r="B8" s="2377">
        <v>0</v>
      </c>
      <c r="C8" s="2378">
        <v>0</v>
      </c>
      <c r="D8" s="2379">
        <v>0</v>
      </c>
      <c r="E8" s="2380">
        <v>0</v>
      </c>
      <c r="F8" s="2381">
        <v>0</v>
      </c>
      <c r="G8" s="2382">
        <v>0</v>
      </c>
      <c r="H8" s="2380">
        <v>0</v>
      </c>
      <c r="I8" s="2381">
        <v>0</v>
      </c>
      <c r="J8" s="2382">
        <v>0</v>
      </c>
      <c r="K8" s="2383">
        <v>0</v>
      </c>
      <c r="L8" s="2384">
        <v>0</v>
      </c>
      <c r="M8" s="2385">
        <v>0</v>
      </c>
      <c r="N8" s="2386">
        <v>0</v>
      </c>
      <c r="O8" s="2387">
        <v>0</v>
      </c>
      <c r="P8" s="2388">
        <v>0</v>
      </c>
    </row>
    <row r="9" spans="1:16" ht="20.100000000000001" customHeight="1" x14ac:dyDescent="0.25">
      <c r="A9" s="2389" t="s">
        <v>684</v>
      </c>
      <c r="B9" s="2377">
        <v>3707</v>
      </c>
      <c r="C9" s="2378">
        <v>1398</v>
      </c>
      <c r="D9" s="2379">
        <v>2309</v>
      </c>
      <c r="E9" s="2380">
        <v>3639</v>
      </c>
      <c r="F9" s="2381">
        <v>1365</v>
      </c>
      <c r="G9" s="2382">
        <v>2274</v>
      </c>
      <c r="H9" s="2380">
        <v>3732</v>
      </c>
      <c r="I9" s="2381">
        <v>1358</v>
      </c>
      <c r="J9" s="2382">
        <v>2374</v>
      </c>
      <c r="K9" s="2383">
        <v>3489</v>
      </c>
      <c r="L9" s="2384">
        <v>1266</v>
      </c>
      <c r="M9" s="2385">
        <v>2223</v>
      </c>
      <c r="N9" s="2386">
        <v>3336</v>
      </c>
      <c r="O9" s="2387">
        <v>1252</v>
      </c>
      <c r="P9" s="2388">
        <v>2084</v>
      </c>
    </row>
    <row r="10" spans="1:16" ht="20.100000000000001" customHeight="1" x14ac:dyDescent="0.25">
      <c r="A10" s="2389"/>
      <c r="B10" s="2390"/>
      <c r="C10" s="2391"/>
      <c r="D10" s="2392"/>
      <c r="E10" s="2393"/>
      <c r="F10" s="2394"/>
      <c r="G10" s="2395"/>
      <c r="H10" s="2393"/>
      <c r="I10" s="2394"/>
      <c r="J10" s="2395"/>
      <c r="K10" s="2396"/>
      <c r="L10" s="2397"/>
      <c r="M10" s="2398"/>
      <c r="N10" s="2399"/>
      <c r="O10" s="2400"/>
      <c r="P10" s="2401"/>
    </row>
    <row r="11" spans="1:16" ht="20.100000000000001" customHeight="1" x14ac:dyDescent="0.25">
      <c r="A11" s="2376" t="s">
        <v>685</v>
      </c>
      <c r="B11" s="2390"/>
      <c r="C11" s="2391"/>
      <c r="D11" s="2392"/>
      <c r="E11" s="2393"/>
      <c r="F11" s="2394"/>
      <c r="G11" s="2395"/>
      <c r="H11" s="2393"/>
      <c r="I11" s="2394"/>
      <c r="J11" s="2395"/>
      <c r="K11" s="2396"/>
      <c r="L11" s="2397"/>
      <c r="M11" s="2398"/>
      <c r="N11" s="2399"/>
      <c r="O11" s="2400"/>
      <c r="P11" s="2401"/>
    </row>
    <row r="12" spans="1:16" ht="20.100000000000001" customHeight="1" x14ac:dyDescent="0.25">
      <c r="A12" s="2402" t="s">
        <v>686</v>
      </c>
      <c r="B12" s="2377">
        <v>107</v>
      </c>
      <c r="C12" s="2378">
        <v>42</v>
      </c>
      <c r="D12" s="2379">
        <v>65</v>
      </c>
      <c r="E12" s="2380">
        <v>106</v>
      </c>
      <c r="F12" s="2381">
        <v>37</v>
      </c>
      <c r="G12" s="2382">
        <v>69</v>
      </c>
      <c r="H12" s="2380">
        <v>135</v>
      </c>
      <c r="I12" s="2381">
        <v>60</v>
      </c>
      <c r="J12" s="2382">
        <v>75</v>
      </c>
      <c r="K12" s="2383">
        <v>141</v>
      </c>
      <c r="L12" s="2384">
        <v>57</v>
      </c>
      <c r="M12" s="2385">
        <v>84</v>
      </c>
      <c r="N12" s="2386">
        <v>172</v>
      </c>
      <c r="O12" s="2387">
        <v>63</v>
      </c>
      <c r="P12" s="2388">
        <v>109</v>
      </c>
    </row>
    <row r="13" spans="1:16" ht="20.100000000000001" customHeight="1" x14ac:dyDescent="0.25">
      <c r="A13" s="2402" t="s">
        <v>805</v>
      </c>
      <c r="B13" s="2403">
        <v>0</v>
      </c>
      <c r="C13" s="2404">
        <v>0</v>
      </c>
      <c r="D13" s="2405">
        <v>0</v>
      </c>
      <c r="E13" s="2380">
        <v>0</v>
      </c>
      <c r="F13" s="2381">
        <v>0</v>
      </c>
      <c r="G13" s="2382">
        <v>0</v>
      </c>
      <c r="H13" s="2380">
        <v>0</v>
      </c>
      <c r="I13" s="2381">
        <v>0</v>
      </c>
      <c r="J13" s="2382">
        <v>0</v>
      </c>
      <c r="K13" s="2383">
        <v>0</v>
      </c>
      <c r="L13" s="2384">
        <v>0</v>
      </c>
      <c r="M13" s="2385">
        <v>0</v>
      </c>
      <c r="N13" s="2386">
        <v>1</v>
      </c>
      <c r="O13" s="2387">
        <v>0</v>
      </c>
      <c r="P13" s="2388">
        <v>1</v>
      </c>
    </row>
    <row r="14" spans="1:16" ht="20.100000000000001" customHeight="1" x14ac:dyDescent="0.25">
      <c r="A14" s="2376" t="s">
        <v>688</v>
      </c>
      <c r="B14" s="2377">
        <v>545</v>
      </c>
      <c r="C14" s="2378">
        <v>235</v>
      </c>
      <c r="D14" s="2379">
        <v>310</v>
      </c>
      <c r="E14" s="2380">
        <v>558</v>
      </c>
      <c r="F14" s="2381">
        <v>223</v>
      </c>
      <c r="G14" s="2382">
        <v>335</v>
      </c>
      <c r="H14" s="2380">
        <v>536</v>
      </c>
      <c r="I14" s="2381">
        <v>195</v>
      </c>
      <c r="J14" s="2382">
        <v>341</v>
      </c>
      <c r="K14" s="2383">
        <v>487</v>
      </c>
      <c r="L14" s="2384">
        <v>189</v>
      </c>
      <c r="M14" s="2385">
        <v>298</v>
      </c>
      <c r="N14" s="2386">
        <v>505</v>
      </c>
      <c r="O14" s="2387">
        <v>202</v>
      </c>
      <c r="P14" s="2388">
        <v>303</v>
      </c>
    </row>
    <row r="15" spans="1:16" ht="20.100000000000001" customHeight="1" x14ac:dyDescent="0.25">
      <c r="A15" s="2376" t="s">
        <v>806</v>
      </c>
      <c r="B15" s="2377">
        <v>858</v>
      </c>
      <c r="C15" s="2378">
        <v>163</v>
      </c>
      <c r="D15" s="2379">
        <v>695</v>
      </c>
      <c r="E15" s="2380">
        <v>814</v>
      </c>
      <c r="F15" s="2381">
        <v>160</v>
      </c>
      <c r="G15" s="2382">
        <v>654</v>
      </c>
      <c r="H15" s="2380">
        <v>806</v>
      </c>
      <c r="I15" s="2381">
        <v>146</v>
      </c>
      <c r="J15" s="2382">
        <v>660</v>
      </c>
      <c r="K15" s="2383">
        <v>768</v>
      </c>
      <c r="L15" s="2384">
        <v>147</v>
      </c>
      <c r="M15" s="2385">
        <v>621</v>
      </c>
      <c r="N15" s="2386">
        <v>799</v>
      </c>
      <c r="O15" s="2387">
        <v>149</v>
      </c>
      <c r="P15" s="2388">
        <v>650</v>
      </c>
    </row>
    <row r="16" spans="1:16" ht="20.100000000000001" customHeight="1" x14ac:dyDescent="0.25">
      <c r="A16" s="2376" t="s">
        <v>690</v>
      </c>
      <c r="B16" s="2377">
        <v>10</v>
      </c>
      <c r="C16" s="2378">
        <v>2</v>
      </c>
      <c r="D16" s="2379">
        <v>8</v>
      </c>
      <c r="E16" s="2380">
        <v>7</v>
      </c>
      <c r="F16" s="2381">
        <v>2</v>
      </c>
      <c r="G16" s="2382">
        <v>5</v>
      </c>
      <c r="H16" s="2380">
        <v>7</v>
      </c>
      <c r="I16" s="2381">
        <v>2</v>
      </c>
      <c r="J16" s="2382">
        <v>5</v>
      </c>
      <c r="K16" s="2383">
        <v>30</v>
      </c>
      <c r="L16" s="2384">
        <v>5</v>
      </c>
      <c r="M16" s="2385">
        <v>25</v>
      </c>
      <c r="N16" s="2386">
        <v>28</v>
      </c>
      <c r="O16" s="2387">
        <v>4</v>
      </c>
      <c r="P16" s="2388">
        <v>24</v>
      </c>
    </row>
    <row r="17" spans="1:16" ht="20.100000000000001" customHeight="1" x14ac:dyDescent="0.25">
      <c r="A17" s="2376" t="s">
        <v>691</v>
      </c>
      <c r="B17" s="2377">
        <v>289</v>
      </c>
      <c r="C17" s="2378">
        <v>72</v>
      </c>
      <c r="D17" s="2379">
        <v>217</v>
      </c>
      <c r="E17" s="2380">
        <v>344</v>
      </c>
      <c r="F17" s="2381">
        <v>77</v>
      </c>
      <c r="G17" s="2382">
        <v>267</v>
      </c>
      <c r="H17" s="2380">
        <v>365</v>
      </c>
      <c r="I17" s="2381">
        <v>76</v>
      </c>
      <c r="J17" s="2382">
        <v>289</v>
      </c>
      <c r="K17" s="2383">
        <v>351</v>
      </c>
      <c r="L17" s="2384">
        <v>75</v>
      </c>
      <c r="M17" s="2385">
        <v>276</v>
      </c>
      <c r="N17" s="2386">
        <v>312</v>
      </c>
      <c r="O17" s="2387">
        <v>69</v>
      </c>
      <c r="P17" s="2388">
        <v>243</v>
      </c>
    </row>
    <row r="18" spans="1:16" ht="20.100000000000001" customHeight="1" x14ac:dyDescent="0.25">
      <c r="A18" s="2376" t="s">
        <v>692</v>
      </c>
      <c r="B18" s="2377">
        <v>34</v>
      </c>
      <c r="C18" s="2378">
        <v>11</v>
      </c>
      <c r="D18" s="2379">
        <v>23</v>
      </c>
      <c r="E18" s="2380">
        <v>34</v>
      </c>
      <c r="F18" s="2381">
        <v>11</v>
      </c>
      <c r="G18" s="2382">
        <v>23</v>
      </c>
      <c r="H18" s="2380">
        <v>33</v>
      </c>
      <c r="I18" s="2381">
        <v>8</v>
      </c>
      <c r="J18" s="2382">
        <v>25</v>
      </c>
      <c r="K18" s="2383">
        <v>33</v>
      </c>
      <c r="L18" s="2384">
        <v>9</v>
      </c>
      <c r="M18" s="2385">
        <v>24</v>
      </c>
      <c r="N18" s="2386">
        <v>27</v>
      </c>
      <c r="O18" s="2387">
        <v>9</v>
      </c>
      <c r="P18" s="2388">
        <v>18</v>
      </c>
    </row>
    <row r="19" spans="1:16" ht="20.100000000000001" customHeight="1" x14ac:dyDescent="0.25">
      <c r="A19" s="2376" t="s">
        <v>693</v>
      </c>
      <c r="B19" s="2377">
        <v>279</v>
      </c>
      <c r="C19" s="2378">
        <v>78</v>
      </c>
      <c r="D19" s="2379">
        <v>201</v>
      </c>
      <c r="E19" s="2380">
        <v>363</v>
      </c>
      <c r="F19" s="2381">
        <v>91</v>
      </c>
      <c r="G19" s="2382">
        <v>272</v>
      </c>
      <c r="H19" s="2380">
        <v>348</v>
      </c>
      <c r="I19" s="2381">
        <v>94</v>
      </c>
      <c r="J19" s="2382">
        <v>254</v>
      </c>
      <c r="K19" s="2383">
        <v>338</v>
      </c>
      <c r="L19" s="2384">
        <v>82</v>
      </c>
      <c r="M19" s="2385">
        <v>256</v>
      </c>
      <c r="N19" s="2386">
        <v>361</v>
      </c>
      <c r="O19" s="2387">
        <v>85</v>
      </c>
      <c r="P19" s="2388">
        <v>276</v>
      </c>
    </row>
    <row r="20" spans="1:16" ht="20.100000000000001" customHeight="1" x14ac:dyDescent="0.25">
      <c r="A20" s="2376" t="s">
        <v>694</v>
      </c>
      <c r="B20" s="2377">
        <v>68</v>
      </c>
      <c r="C20" s="2378">
        <v>9</v>
      </c>
      <c r="D20" s="2379">
        <v>59</v>
      </c>
      <c r="E20" s="2380">
        <v>68</v>
      </c>
      <c r="F20" s="2381">
        <v>9</v>
      </c>
      <c r="G20" s="2382">
        <v>59</v>
      </c>
      <c r="H20" s="2380">
        <v>68</v>
      </c>
      <c r="I20" s="2381">
        <v>9</v>
      </c>
      <c r="J20" s="2382">
        <v>59</v>
      </c>
      <c r="K20" s="2383">
        <v>71</v>
      </c>
      <c r="L20" s="2384">
        <v>7</v>
      </c>
      <c r="M20" s="2385">
        <v>64</v>
      </c>
      <c r="N20" s="2386">
        <v>76</v>
      </c>
      <c r="O20" s="2387">
        <v>9</v>
      </c>
      <c r="P20" s="2388">
        <v>67</v>
      </c>
    </row>
    <row r="21" spans="1:16" ht="20.100000000000001" customHeight="1" x14ac:dyDescent="0.25">
      <c r="A21" s="2376" t="s">
        <v>695</v>
      </c>
      <c r="B21" s="2377">
        <v>5</v>
      </c>
      <c r="C21" s="2378">
        <v>2</v>
      </c>
      <c r="D21" s="2379">
        <v>3</v>
      </c>
      <c r="E21" s="2380">
        <v>7</v>
      </c>
      <c r="F21" s="2381">
        <v>2</v>
      </c>
      <c r="G21" s="2382">
        <v>5</v>
      </c>
      <c r="H21" s="2380">
        <v>6</v>
      </c>
      <c r="I21" s="2381">
        <v>2</v>
      </c>
      <c r="J21" s="2382">
        <v>4</v>
      </c>
      <c r="K21" s="2383">
        <v>6</v>
      </c>
      <c r="L21" s="2384">
        <v>3</v>
      </c>
      <c r="M21" s="2385">
        <v>3</v>
      </c>
      <c r="N21" s="2386">
        <v>7</v>
      </c>
      <c r="O21" s="2387">
        <v>3</v>
      </c>
      <c r="P21" s="2388">
        <v>4</v>
      </c>
    </row>
    <row r="22" spans="1:16" ht="20.100000000000001" customHeight="1" x14ac:dyDescent="0.25">
      <c r="A22" s="2376" t="s">
        <v>696</v>
      </c>
      <c r="B22" s="2377">
        <v>36</v>
      </c>
      <c r="C22" s="2378">
        <v>11</v>
      </c>
      <c r="D22" s="2379">
        <v>25</v>
      </c>
      <c r="E22" s="2380">
        <v>45</v>
      </c>
      <c r="F22" s="2381">
        <v>11</v>
      </c>
      <c r="G22" s="2382">
        <v>34</v>
      </c>
      <c r="H22" s="2380">
        <v>57</v>
      </c>
      <c r="I22" s="2381">
        <v>19</v>
      </c>
      <c r="J22" s="2382">
        <v>38</v>
      </c>
      <c r="K22" s="2383">
        <v>53</v>
      </c>
      <c r="L22" s="2384">
        <v>19</v>
      </c>
      <c r="M22" s="2385">
        <v>34</v>
      </c>
      <c r="N22" s="2386">
        <v>50</v>
      </c>
      <c r="O22" s="2387">
        <v>14</v>
      </c>
      <c r="P22" s="2388">
        <v>36</v>
      </c>
    </row>
    <row r="23" spans="1:16" ht="20.100000000000001" customHeight="1" x14ac:dyDescent="0.25">
      <c r="A23" s="2376" t="s">
        <v>697</v>
      </c>
      <c r="B23" s="2377">
        <v>84</v>
      </c>
      <c r="C23" s="2378">
        <v>8</v>
      </c>
      <c r="D23" s="2379">
        <v>76</v>
      </c>
      <c r="E23" s="2380">
        <v>2</v>
      </c>
      <c r="F23" s="2381">
        <v>0</v>
      </c>
      <c r="G23" s="2382">
        <v>2</v>
      </c>
      <c r="H23" s="2380">
        <v>2</v>
      </c>
      <c r="I23" s="2381">
        <v>1</v>
      </c>
      <c r="J23" s="2382">
        <v>1</v>
      </c>
      <c r="K23" s="2383">
        <v>1</v>
      </c>
      <c r="L23" s="2384">
        <v>1</v>
      </c>
      <c r="M23" s="2385">
        <v>0</v>
      </c>
      <c r="N23" s="2386">
        <v>2</v>
      </c>
      <c r="O23" s="2387">
        <v>2</v>
      </c>
      <c r="P23" s="2388">
        <v>0</v>
      </c>
    </row>
    <row r="24" spans="1:16" ht="20.100000000000001" customHeight="1" x14ac:dyDescent="0.25">
      <c r="A24" s="2376" t="s">
        <v>698</v>
      </c>
      <c r="B24" s="2377">
        <v>80</v>
      </c>
      <c r="C24" s="2378">
        <v>20</v>
      </c>
      <c r="D24" s="2379">
        <v>60</v>
      </c>
      <c r="E24" s="2380">
        <v>53</v>
      </c>
      <c r="F24" s="2381">
        <v>18</v>
      </c>
      <c r="G24" s="2382">
        <v>35</v>
      </c>
      <c r="H24" s="2380">
        <v>67</v>
      </c>
      <c r="I24" s="2381">
        <v>17</v>
      </c>
      <c r="J24" s="2382">
        <v>50</v>
      </c>
      <c r="K24" s="2383">
        <v>56</v>
      </c>
      <c r="L24" s="2384">
        <v>16</v>
      </c>
      <c r="M24" s="2385">
        <v>40</v>
      </c>
      <c r="N24" s="2386">
        <v>65</v>
      </c>
      <c r="O24" s="2387">
        <v>23</v>
      </c>
      <c r="P24" s="2388">
        <v>42</v>
      </c>
    </row>
    <row r="25" spans="1:16" ht="20.100000000000001" customHeight="1" x14ac:dyDescent="0.25">
      <c r="A25" s="2376" t="s">
        <v>699</v>
      </c>
      <c r="B25" s="2377">
        <v>129</v>
      </c>
      <c r="C25" s="2378">
        <v>30</v>
      </c>
      <c r="D25" s="2379">
        <v>99</v>
      </c>
      <c r="E25" s="2380">
        <v>140</v>
      </c>
      <c r="F25" s="2381">
        <v>44</v>
      </c>
      <c r="G25" s="2382">
        <v>96</v>
      </c>
      <c r="H25" s="2380">
        <v>136</v>
      </c>
      <c r="I25" s="2381">
        <v>33</v>
      </c>
      <c r="J25" s="2382">
        <v>103</v>
      </c>
      <c r="K25" s="2383">
        <v>133</v>
      </c>
      <c r="L25" s="2384">
        <v>32</v>
      </c>
      <c r="M25" s="2385">
        <v>101</v>
      </c>
      <c r="N25" s="2386">
        <v>27</v>
      </c>
      <c r="O25" s="2387">
        <v>13</v>
      </c>
      <c r="P25" s="2388">
        <v>14</v>
      </c>
    </row>
    <row r="26" spans="1:16" ht="20.100000000000001" customHeight="1" x14ac:dyDescent="0.25">
      <c r="A26" s="2376" t="s">
        <v>700</v>
      </c>
      <c r="B26" s="2377">
        <v>77</v>
      </c>
      <c r="C26" s="2378">
        <v>26</v>
      </c>
      <c r="D26" s="2379">
        <v>51</v>
      </c>
      <c r="E26" s="2380">
        <v>78</v>
      </c>
      <c r="F26" s="2381">
        <v>26</v>
      </c>
      <c r="G26" s="2382">
        <v>52</v>
      </c>
      <c r="H26" s="2380">
        <v>83</v>
      </c>
      <c r="I26" s="2381">
        <v>28</v>
      </c>
      <c r="J26" s="2382">
        <v>55</v>
      </c>
      <c r="K26" s="2383">
        <v>81</v>
      </c>
      <c r="L26" s="2384">
        <v>20</v>
      </c>
      <c r="M26" s="2385">
        <v>61</v>
      </c>
      <c r="N26" s="2386">
        <v>82</v>
      </c>
      <c r="O26" s="2387">
        <v>21</v>
      </c>
      <c r="P26" s="2388">
        <v>61</v>
      </c>
    </row>
    <row r="27" spans="1:16" ht="20.100000000000001" customHeight="1" x14ac:dyDescent="0.25">
      <c r="A27" s="2376" t="s">
        <v>701</v>
      </c>
      <c r="B27" s="2377">
        <v>131</v>
      </c>
      <c r="C27" s="2378">
        <v>45</v>
      </c>
      <c r="D27" s="2379">
        <v>86</v>
      </c>
      <c r="E27" s="2380">
        <v>138</v>
      </c>
      <c r="F27" s="2381">
        <v>43</v>
      </c>
      <c r="G27" s="2382">
        <v>95</v>
      </c>
      <c r="H27" s="2380">
        <v>169</v>
      </c>
      <c r="I27" s="2381">
        <v>65</v>
      </c>
      <c r="J27" s="2382">
        <v>104</v>
      </c>
      <c r="K27" s="2383">
        <v>198</v>
      </c>
      <c r="L27" s="2384">
        <v>49</v>
      </c>
      <c r="M27" s="2385">
        <v>149</v>
      </c>
      <c r="N27" s="2386">
        <v>133</v>
      </c>
      <c r="O27" s="2387">
        <v>30</v>
      </c>
      <c r="P27" s="2388">
        <v>103</v>
      </c>
    </row>
    <row r="28" spans="1:16" ht="20.100000000000001" customHeight="1" x14ac:dyDescent="0.25">
      <c r="A28" s="2376" t="s">
        <v>702</v>
      </c>
      <c r="B28" s="2377">
        <v>85</v>
      </c>
      <c r="C28" s="2378">
        <v>18</v>
      </c>
      <c r="D28" s="2379">
        <v>67</v>
      </c>
      <c r="E28" s="2380">
        <v>84</v>
      </c>
      <c r="F28" s="2381">
        <v>18</v>
      </c>
      <c r="G28" s="2382">
        <v>66</v>
      </c>
      <c r="H28" s="2380">
        <v>88</v>
      </c>
      <c r="I28" s="2381">
        <v>13</v>
      </c>
      <c r="J28" s="2382">
        <v>75</v>
      </c>
      <c r="K28" s="2383">
        <v>81</v>
      </c>
      <c r="L28" s="2384">
        <v>14</v>
      </c>
      <c r="M28" s="2385">
        <v>67</v>
      </c>
      <c r="N28" s="2386">
        <v>80</v>
      </c>
      <c r="O28" s="2387">
        <v>16</v>
      </c>
      <c r="P28" s="2388">
        <v>64</v>
      </c>
    </row>
    <row r="29" spans="1:16" ht="20.100000000000001" customHeight="1" x14ac:dyDescent="0.25">
      <c r="A29" s="2376" t="s">
        <v>483</v>
      </c>
      <c r="B29" s="2377">
        <v>166</v>
      </c>
      <c r="C29" s="2378">
        <v>61</v>
      </c>
      <c r="D29" s="2379">
        <v>105</v>
      </c>
      <c r="E29" s="2380">
        <v>166</v>
      </c>
      <c r="F29" s="2381">
        <v>61</v>
      </c>
      <c r="G29" s="2382">
        <v>105</v>
      </c>
      <c r="H29" s="2380">
        <v>169</v>
      </c>
      <c r="I29" s="2381">
        <v>62</v>
      </c>
      <c r="J29" s="2382">
        <v>107</v>
      </c>
      <c r="K29" s="2383">
        <v>172</v>
      </c>
      <c r="L29" s="2384">
        <v>61</v>
      </c>
      <c r="M29" s="2385">
        <v>111</v>
      </c>
      <c r="N29" s="2386">
        <v>173</v>
      </c>
      <c r="O29" s="2387">
        <v>73</v>
      </c>
      <c r="P29" s="2388">
        <v>100</v>
      </c>
    </row>
    <row r="30" spans="1:16" ht="20.100000000000001" customHeight="1" x14ac:dyDescent="0.25">
      <c r="A30" s="2376" t="s">
        <v>807</v>
      </c>
      <c r="B30" s="2377">
        <v>200</v>
      </c>
      <c r="C30" s="2378">
        <v>3</v>
      </c>
      <c r="D30" s="2379">
        <v>197</v>
      </c>
      <c r="E30" s="2380">
        <v>203</v>
      </c>
      <c r="F30" s="2381">
        <v>3</v>
      </c>
      <c r="G30" s="2382">
        <v>200</v>
      </c>
      <c r="H30" s="2380">
        <v>257</v>
      </c>
      <c r="I30" s="2381">
        <v>2</v>
      </c>
      <c r="J30" s="2382">
        <v>255</v>
      </c>
      <c r="K30" s="2383">
        <v>250</v>
      </c>
      <c r="L30" s="2384">
        <v>2</v>
      </c>
      <c r="M30" s="2385">
        <v>248</v>
      </c>
      <c r="N30" s="2386">
        <v>253</v>
      </c>
      <c r="O30" s="2387">
        <v>3</v>
      </c>
      <c r="P30" s="2388">
        <v>250</v>
      </c>
    </row>
    <row r="31" spans="1:16" ht="20.100000000000001" customHeight="1" x14ac:dyDescent="0.25">
      <c r="A31" s="2389" t="s">
        <v>808</v>
      </c>
      <c r="B31" s="2377">
        <v>3183</v>
      </c>
      <c r="C31" s="2378">
        <v>836</v>
      </c>
      <c r="D31" s="2379">
        <v>2347</v>
      </c>
      <c r="E31" s="2380">
        <v>3210</v>
      </c>
      <c r="F31" s="2381">
        <v>836</v>
      </c>
      <c r="G31" s="2382">
        <v>2374</v>
      </c>
      <c r="H31" s="2380">
        <v>3332</v>
      </c>
      <c r="I31" s="2381">
        <v>832</v>
      </c>
      <c r="J31" s="2382">
        <v>2500</v>
      </c>
      <c r="K31" s="2383">
        <v>3250</v>
      </c>
      <c r="L31" s="2384">
        <v>788</v>
      </c>
      <c r="M31" s="2385">
        <v>2462</v>
      </c>
      <c r="N31" s="2386">
        <v>3153</v>
      </c>
      <c r="O31" s="2387">
        <v>788</v>
      </c>
      <c r="P31" s="2388">
        <v>2365</v>
      </c>
    </row>
    <row r="32" spans="1:16" ht="20.100000000000001" customHeight="1" x14ac:dyDescent="0.25">
      <c r="A32" s="2406"/>
      <c r="B32" s="2407"/>
      <c r="C32" s="2408"/>
      <c r="D32" s="2409"/>
      <c r="E32" s="2410"/>
      <c r="F32" s="2411"/>
      <c r="G32" s="2412"/>
      <c r="H32" s="2410"/>
      <c r="I32" s="2411"/>
      <c r="J32" s="2412"/>
      <c r="K32" s="2413"/>
      <c r="L32" s="2414"/>
      <c r="M32" s="2415"/>
      <c r="N32" s="2416"/>
      <c r="O32" s="2417"/>
      <c r="P32" s="2418"/>
    </row>
    <row r="33" spans="1:16" ht="30" customHeight="1" x14ac:dyDescent="0.25">
      <c r="A33" s="2419" t="s">
        <v>809</v>
      </c>
      <c r="B33" s="2420">
        <v>6890</v>
      </c>
      <c r="C33" s="2421">
        <v>2234</v>
      </c>
      <c r="D33" s="2422">
        <v>4656</v>
      </c>
      <c r="E33" s="2423">
        <v>6849</v>
      </c>
      <c r="F33" s="2424">
        <v>2201</v>
      </c>
      <c r="G33" s="2425">
        <v>4648</v>
      </c>
      <c r="H33" s="2423">
        <v>7064</v>
      </c>
      <c r="I33" s="2424">
        <v>2190</v>
      </c>
      <c r="J33" s="2425">
        <v>4874</v>
      </c>
      <c r="K33" s="2426">
        <v>6739</v>
      </c>
      <c r="L33" s="2427">
        <v>2054</v>
      </c>
      <c r="M33" s="2428">
        <v>4685</v>
      </c>
      <c r="N33" s="2429">
        <v>6489</v>
      </c>
      <c r="O33" s="2430">
        <v>2040</v>
      </c>
      <c r="P33" s="2431">
        <v>4449</v>
      </c>
    </row>
    <row r="34" spans="1:16" ht="15" customHeight="1" x14ac:dyDescent="0.25">
      <c r="A34" s="1721"/>
      <c r="B34" s="2284"/>
      <c r="C34" s="2284"/>
      <c r="D34" s="2284"/>
      <c r="E34" s="2432"/>
      <c r="F34" s="2432"/>
      <c r="G34" s="2432"/>
      <c r="H34" s="2432"/>
      <c r="I34" s="2432"/>
      <c r="J34" s="2432"/>
      <c r="K34" s="2433"/>
      <c r="L34" s="2433"/>
      <c r="M34" s="2433"/>
      <c r="N34" s="2432"/>
      <c r="O34" s="2432"/>
      <c r="P34" s="2432"/>
    </row>
    <row r="35" spans="1:16" ht="14.55" customHeight="1" x14ac:dyDescent="0.25">
      <c r="A35" s="3511" t="s">
        <v>810</v>
      </c>
      <c r="B35" s="3511" t="s">
        <v>14</v>
      </c>
      <c r="C35" s="3511" t="s">
        <v>14</v>
      </c>
      <c r="D35" s="3511" t="s">
        <v>14</v>
      </c>
      <c r="E35" s="3511" t="s">
        <v>14</v>
      </c>
      <c r="F35" s="3511" t="s">
        <v>14</v>
      </c>
      <c r="G35" s="3511" t="s">
        <v>14</v>
      </c>
      <c r="H35" s="3511" t="s">
        <v>14</v>
      </c>
      <c r="I35" s="3511" t="s">
        <v>14</v>
      </c>
      <c r="J35" s="3511" t="s">
        <v>14</v>
      </c>
      <c r="K35" s="3511" t="s">
        <v>14</v>
      </c>
      <c r="L35" s="3511" t="s">
        <v>14</v>
      </c>
      <c r="M35" s="3511" t="s">
        <v>14</v>
      </c>
      <c r="N35" s="3511" t="s">
        <v>14</v>
      </c>
      <c r="O35" s="3511" t="s">
        <v>14</v>
      </c>
      <c r="P35" s="3511" t="s">
        <v>14</v>
      </c>
    </row>
    <row r="36" spans="1:16" ht="10.35" customHeight="1" x14ac:dyDescent="0.25">
      <c r="A36" s="2434"/>
      <c r="B36" s="333"/>
      <c r="C36" s="333"/>
      <c r="D36" s="333"/>
      <c r="E36" s="333"/>
      <c r="F36" s="333"/>
      <c r="G36" s="333"/>
      <c r="H36" s="333"/>
      <c r="I36" s="333"/>
      <c r="J36" s="333"/>
      <c r="K36" s="333"/>
      <c r="L36" s="333"/>
      <c r="M36" s="333"/>
      <c r="N36" s="333"/>
      <c r="O36" s="333"/>
      <c r="P36" s="333"/>
    </row>
    <row r="37" spans="1:16" ht="10.35" customHeight="1" x14ac:dyDescent="0.25">
      <c r="A37" s="2435"/>
      <c r="B37" s="2435"/>
      <c r="C37" s="2435"/>
      <c r="D37" s="2435"/>
      <c r="E37" s="2435"/>
      <c r="F37" s="2435"/>
      <c r="G37" s="2435"/>
      <c r="H37" s="2435"/>
      <c r="I37" s="2435"/>
      <c r="J37" s="2435"/>
      <c r="K37" s="2435"/>
      <c r="L37" s="2435"/>
      <c r="M37" s="2435"/>
      <c r="N37" s="2435"/>
      <c r="O37" s="2435"/>
      <c r="P37" s="2435"/>
    </row>
  </sheetData>
  <mergeCells count="7">
    <mergeCell ref="A35:P35"/>
    <mergeCell ref="A2:P2"/>
    <mergeCell ref="B3:D3"/>
    <mergeCell ref="E3:G3"/>
    <mergeCell ref="H3:J3"/>
    <mergeCell ref="K3:M3"/>
    <mergeCell ref="N3:P3"/>
  </mergeCells>
  <hyperlinks>
    <hyperlink ref="A1" location="ToC!A2" display="Back to Table of Contents" xr:uid="{628E9109-B8B7-4B4B-BDA9-9FCCC2D7468D}"/>
  </hyperlinks>
  <pageMargins left="0.5" right="0.5" top="0.5" bottom="0.5" header="0.25" footer="0.25"/>
  <pageSetup scale="61" orientation="landscape" r:id="rId1"/>
  <headerFooter>
    <oddFooter>&amp;L&amp;G&amp;C&amp;"Scotia,Regular"&amp;9Supplementary Financial Information (SFI)&amp;R22&amp;"Scotia,Regular"&amp;7</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6255-80EA-450D-A801-DCF896802502}">
  <sheetPr>
    <pageSetUpPr fitToPage="1"/>
  </sheetPr>
  <dimension ref="A1:P53"/>
  <sheetViews>
    <sheetView showGridLines="0" zoomScaleNormal="100" workbookViewId="0"/>
  </sheetViews>
  <sheetFormatPr defaultColWidth="8.77734375" defaultRowHeight="13.2" x14ac:dyDescent="0.25"/>
  <cols>
    <col min="1" max="1" width="77.77734375" style="22" customWidth="1"/>
    <col min="2" max="2" width="7.21875" style="22" customWidth="1"/>
    <col min="3" max="4" width="8.77734375" style="22" customWidth="1"/>
    <col min="5" max="6" width="7.21875" style="22" customWidth="1"/>
    <col min="7" max="7" width="7.77734375" style="22" customWidth="1"/>
    <col min="8" max="8" width="7.21875" style="22" customWidth="1"/>
    <col min="9" max="9" width="7.77734375" style="22" bestFit="1" customWidth="1"/>
    <col min="10" max="11" width="7.21875" style="22" customWidth="1"/>
    <col min="12" max="12" width="7.6640625" style="22" bestFit="1" customWidth="1"/>
    <col min="13" max="13" width="7.77734375" style="22" bestFit="1" customWidth="1"/>
    <col min="14" max="16" width="7.21875" style="22" customWidth="1"/>
    <col min="17" max="16384" width="8.77734375" style="22"/>
  </cols>
  <sheetData>
    <row r="1" spans="1:16" ht="19.95" customHeight="1" x14ac:dyDescent="0.25">
      <c r="A1" s="21" t="s">
        <v>12</v>
      </c>
    </row>
    <row r="2" spans="1:16" ht="25.35" customHeight="1" x14ac:dyDescent="0.25">
      <c r="A2" s="3634" t="s">
        <v>811</v>
      </c>
      <c r="B2" s="3634" t="s">
        <v>14</v>
      </c>
      <c r="C2" s="3634" t="s">
        <v>14</v>
      </c>
      <c r="D2" s="3634" t="s">
        <v>14</v>
      </c>
      <c r="E2" s="3634" t="s">
        <v>14</v>
      </c>
      <c r="F2" s="3634" t="s">
        <v>14</v>
      </c>
      <c r="G2" s="3634" t="s">
        <v>14</v>
      </c>
      <c r="H2" s="3634" t="s">
        <v>14</v>
      </c>
      <c r="I2" s="3634" t="s">
        <v>14</v>
      </c>
      <c r="J2" s="3634" t="s">
        <v>14</v>
      </c>
      <c r="K2" s="3634" t="s">
        <v>14</v>
      </c>
      <c r="L2" s="3634" t="s">
        <v>14</v>
      </c>
      <c r="M2" s="3634" t="s">
        <v>14</v>
      </c>
      <c r="N2" s="3634" t="s">
        <v>14</v>
      </c>
      <c r="O2" s="3634" t="s">
        <v>14</v>
      </c>
      <c r="P2" s="3634" t="s">
        <v>14</v>
      </c>
    </row>
    <row r="3" spans="1:16" ht="15" customHeight="1" x14ac:dyDescent="0.25">
      <c r="A3" s="2436"/>
      <c r="B3" s="2437" t="s">
        <v>812</v>
      </c>
      <c r="C3" s="2438"/>
      <c r="D3" s="2439"/>
      <c r="E3" s="2440" t="s">
        <v>813</v>
      </c>
      <c r="F3" s="2441"/>
      <c r="G3" s="2442"/>
      <c r="H3" s="2440" t="s">
        <v>814</v>
      </c>
      <c r="I3" s="2441"/>
      <c r="J3" s="2442"/>
      <c r="K3" s="2440" t="s">
        <v>815</v>
      </c>
      <c r="L3" s="2441"/>
      <c r="M3" s="2442"/>
      <c r="N3" s="2440" t="s">
        <v>816</v>
      </c>
      <c r="O3" s="2441"/>
      <c r="P3" s="2441"/>
    </row>
    <row r="4" spans="1:16" ht="15" customHeight="1" x14ac:dyDescent="0.25">
      <c r="A4" s="2443"/>
      <c r="B4" s="2444" t="s">
        <v>817</v>
      </c>
      <c r="C4" s="2445" t="s">
        <v>817</v>
      </c>
      <c r="D4" s="2446" t="s">
        <v>508</v>
      </c>
      <c r="E4" s="2447" t="s">
        <v>818</v>
      </c>
      <c r="F4" s="2448" t="s">
        <v>818</v>
      </c>
      <c r="G4" s="2449" t="s">
        <v>410</v>
      </c>
      <c r="H4" s="2447" t="s">
        <v>818</v>
      </c>
      <c r="I4" s="2448" t="s">
        <v>818</v>
      </c>
      <c r="J4" s="2449" t="s">
        <v>410</v>
      </c>
      <c r="K4" s="2447" t="s">
        <v>818</v>
      </c>
      <c r="L4" s="2448" t="s">
        <v>818</v>
      </c>
      <c r="M4" s="2449" t="s">
        <v>410</v>
      </c>
      <c r="N4" s="2447" t="s">
        <v>818</v>
      </c>
      <c r="O4" s="2448" t="s">
        <v>818</v>
      </c>
      <c r="P4" s="2450" t="s">
        <v>410</v>
      </c>
    </row>
    <row r="5" spans="1:16" ht="15" customHeight="1" x14ac:dyDescent="0.25">
      <c r="A5" s="2451"/>
      <c r="B5" s="2452" t="s">
        <v>819</v>
      </c>
      <c r="C5" s="2453">
        <v>3</v>
      </c>
      <c r="D5" s="2454" t="s">
        <v>820</v>
      </c>
      <c r="E5" s="2455" t="s">
        <v>821</v>
      </c>
      <c r="F5" s="2456">
        <v>3</v>
      </c>
      <c r="G5" s="2457" t="s">
        <v>822</v>
      </c>
      <c r="H5" s="2455" t="s">
        <v>821</v>
      </c>
      <c r="I5" s="2456">
        <v>3</v>
      </c>
      <c r="J5" s="2457" t="s">
        <v>822</v>
      </c>
      <c r="K5" s="2455" t="s">
        <v>821</v>
      </c>
      <c r="L5" s="2456">
        <v>3</v>
      </c>
      <c r="M5" s="2457" t="s">
        <v>822</v>
      </c>
      <c r="N5" s="2455" t="s">
        <v>821</v>
      </c>
      <c r="O5" s="2456">
        <v>3</v>
      </c>
      <c r="P5" s="2458" t="s">
        <v>822</v>
      </c>
    </row>
    <row r="6" spans="1:16" ht="15" customHeight="1" x14ac:dyDescent="0.25">
      <c r="A6" s="2459" t="s">
        <v>823</v>
      </c>
      <c r="B6" s="2460"/>
      <c r="C6" s="2461"/>
      <c r="D6" s="2462"/>
      <c r="E6" s="2463"/>
      <c r="F6" s="2464"/>
      <c r="G6" s="2465"/>
      <c r="H6" s="2463"/>
      <c r="I6" s="2464"/>
      <c r="J6" s="2465"/>
      <c r="K6" s="2463"/>
      <c r="L6" s="2464"/>
      <c r="M6" s="2465"/>
      <c r="N6" s="2463"/>
      <c r="O6" s="2464"/>
      <c r="P6" s="2466"/>
    </row>
    <row r="7" spans="1:16" ht="15" customHeight="1" x14ac:dyDescent="0.25">
      <c r="A7" s="2467" t="s">
        <v>714</v>
      </c>
      <c r="B7" s="2468">
        <v>5</v>
      </c>
      <c r="C7" s="2469">
        <v>315</v>
      </c>
      <c r="D7" s="2470">
        <v>320</v>
      </c>
      <c r="E7" s="2471">
        <v>220</v>
      </c>
      <c r="F7" s="2472">
        <v>393</v>
      </c>
      <c r="G7" s="2473">
        <v>613</v>
      </c>
      <c r="H7" s="2471">
        <v>45</v>
      </c>
      <c r="I7" s="2472">
        <v>378</v>
      </c>
      <c r="J7" s="2473">
        <v>423</v>
      </c>
      <c r="K7" s="2471">
        <v>0</v>
      </c>
      <c r="L7" s="2472">
        <v>355</v>
      </c>
      <c r="M7" s="2473">
        <v>355</v>
      </c>
      <c r="N7" s="2471">
        <v>84</v>
      </c>
      <c r="O7" s="2472">
        <v>281</v>
      </c>
      <c r="P7" s="2474">
        <v>365</v>
      </c>
    </row>
    <row r="8" spans="1:16" ht="15" customHeight="1" x14ac:dyDescent="0.25">
      <c r="A8" s="2467" t="s">
        <v>715</v>
      </c>
      <c r="B8" s="2468">
        <v>4</v>
      </c>
      <c r="C8" s="2469">
        <v>132</v>
      </c>
      <c r="D8" s="2470">
        <v>136</v>
      </c>
      <c r="E8" s="2471">
        <v>97</v>
      </c>
      <c r="F8" s="2472">
        <v>95</v>
      </c>
      <c r="G8" s="2473">
        <v>192</v>
      </c>
      <c r="H8" s="2471">
        <v>6</v>
      </c>
      <c r="I8" s="2472">
        <v>109</v>
      </c>
      <c r="J8" s="2473">
        <v>115</v>
      </c>
      <c r="K8" s="2471">
        <v>-11</v>
      </c>
      <c r="L8" s="2472">
        <v>106</v>
      </c>
      <c r="M8" s="2473">
        <v>95</v>
      </c>
      <c r="N8" s="2471">
        <v>13</v>
      </c>
      <c r="O8" s="2472">
        <v>57</v>
      </c>
      <c r="P8" s="2474">
        <v>70</v>
      </c>
    </row>
    <row r="9" spans="1:16" ht="15" customHeight="1" x14ac:dyDescent="0.25">
      <c r="A9" s="2475" t="s">
        <v>716</v>
      </c>
      <c r="B9" s="2468">
        <v>9</v>
      </c>
      <c r="C9" s="2469">
        <v>447</v>
      </c>
      <c r="D9" s="2470">
        <v>456</v>
      </c>
      <c r="E9" s="2476">
        <v>317</v>
      </c>
      <c r="F9" s="2477">
        <v>488</v>
      </c>
      <c r="G9" s="2478">
        <v>805</v>
      </c>
      <c r="H9" s="2476">
        <v>51</v>
      </c>
      <c r="I9" s="2477">
        <v>487</v>
      </c>
      <c r="J9" s="2478">
        <v>538</v>
      </c>
      <c r="K9" s="2476">
        <v>-11</v>
      </c>
      <c r="L9" s="2477">
        <v>461</v>
      </c>
      <c r="M9" s="2478">
        <v>450</v>
      </c>
      <c r="N9" s="2476">
        <v>97</v>
      </c>
      <c r="O9" s="2477">
        <v>338</v>
      </c>
      <c r="P9" s="2479">
        <v>435</v>
      </c>
    </row>
    <row r="10" spans="1:16" ht="15" customHeight="1" x14ac:dyDescent="0.25">
      <c r="A10" s="2467" t="s">
        <v>714</v>
      </c>
      <c r="B10" s="2468">
        <v>28</v>
      </c>
      <c r="C10" s="2469">
        <v>441</v>
      </c>
      <c r="D10" s="2470">
        <v>469</v>
      </c>
      <c r="E10" s="2471">
        <v>2</v>
      </c>
      <c r="F10" s="2472">
        <v>455</v>
      </c>
      <c r="G10" s="2473">
        <v>457</v>
      </c>
      <c r="H10" s="2471">
        <v>4</v>
      </c>
      <c r="I10" s="2472">
        <v>508</v>
      </c>
      <c r="J10" s="2473">
        <v>512</v>
      </c>
      <c r="K10" s="2471">
        <v>-40</v>
      </c>
      <c r="L10" s="2472">
        <v>494</v>
      </c>
      <c r="M10" s="2473">
        <v>454</v>
      </c>
      <c r="N10" s="2471">
        <v>-62</v>
      </c>
      <c r="O10" s="2472">
        <v>543</v>
      </c>
      <c r="P10" s="2474">
        <v>481</v>
      </c>
    </row>
    <row r="11" spans="1:16" ht="15" customHeight="1" x14ac:dyDescent="0.25">
      <c r="A11" s="2467" t="s">
        <v>824</v>
      </c>
      <c r="B11" s="2468">
        <v>10</v>
      </c>
      <c r="C11" s="2469">
        <v>84</v>
      </c>
      <c r="D11" s="2470">
        <v>94</v>
      </c>
      <c r="E11" s="2471">
        <v>24</v>
      </c>
      <c r="F11" s="2472">
        <v>68</v>
      </c>
      <c r="G11" s="2473">
        <v>92</v>
      </c>
      <c r="H11" s="2471">
        <v>23</v>
      </c>
      <c r="I11" s="2472">
        <v>67</v>
      </c>
      <c r="J11" s="2473">
        <v>90</v>
      </c>
      <c r="K11" s="2471">
        <v>21</v>
      </c>
      <c r="L11" s="2472">
        <v>82</v>
      </c>
      <c r="M11" s="2473">
        <v>103</v>
      </c>
      <c r="N11" s="2471">
        <v>33</v>
      </c>
      <c r="O11" s="2472">
        <v>74</v>
      </c>
      <c r="P11" s="2474">
        <v>107</v>
      </c>
    </row>
    <row r="12" spans="1:16" ht="15" customHeight="1" x14ac:dyDescent="0.25">
      <c r="A12" s="2475" t="s">
        <v>724</v>
      </c>
      <c r="B12" s="2468">
        <v>38</v>
      </c>
      <c r="C12" s="2469">
        <v>525</v>
      </c>
      <c r="D12" s="2470">
        <v>563</v>
      </c>
      <c r="E12" s="2471">
        <v>26</v>
      </c>
      <c r="F12" s="2472">
        <v>523</v>
      </c>
      <c r="G12" s="2480">
        <v>549</v>
      </c>
      <c r="H12" s="2471">
        <v>27</v>
      </c>
      <c r="I12" s="2472">
        <v>575</v>
      </c>
      <c r="J12" s="2480">
        <v>602</v>
      </c>
      <c r="K12" s="2471">
        <v>-19</v>
      </c>
      <c r="L12" s="2472">
        <v>576</v>
      </c>
      <c r="M12" s="2480">
        <v>557</v>
      </c>
      <c r="N12" s="2471">
        <v>-29</v>
      </c>
      <c r="O12" s="2472">
        <v>617</v>
      </c>
      <c r="P12" s="2481">
        <v>588</v>
      </c>
    </row>
    <row r="13" spans="1:16" ht="15" customHeight="1" x14ac:dyDescent="0.25">
      <c r="A13" s="2475" t="s">
        <v>725</v>
      </c>
      <c r="B13" s="2468">
        <v>4</v>
      </c>
      <c r="C13" s="2469">
        <v>0</v>
      </c>
      <c r="D13" s="2470">
        <v>4</v>
      </c>
      <c r="E13" s="2471">
        <v>2</v>
      </c>
      <c r="F13" s="2472">
        <v>0</v>
      </c>
      <c r="G13" s="2480">
        <v>2</v>
      </c>
      <c r="H13" s="2471">
        <v>2</v>
      </c>
      <c r="I13" s="2472">
        <v>2</v>
      </c>
      <c r="J13" s="2480">
        <v>4</v>
      </c>
      <c r="K13" s="2471">
        <v>5</v>
      </c>
      <c r="L13" s="2472">
        <v>0</v>
      </c>
      <c r="M13" s="2480">
        <v>5</v>
      </c>
      <c r="N13" s="2471">
        <v>-2</v>
      </c>
      <c r="O13" s="2472">
        <v>12</v>
      </c>
      <c r="P13" s="2481">
        <v>10</v>
      </c>
    </row>
    <row r="14" spans="1:16" ht="15" customHeight="1" x14ac:dyDescent="0.25">
      <c r="A14" s="2475" t="s">
        <v>729</v>
      </c>
      <c r="B14" s="2468">
        <v>16</v>
      </c>
      <c r="C14" s="2469">
        <v>3</v>
      </c>
      <c r="D14" s="2470">
        <v>19</v>
      </c>
      <c r="E14" s="2471">
        <v>-1</v>
      </c>
      <c r="F14" s="2472">
        <v>41</v>
      </c>
      <c r="G14" s="2480">
        <v>40</v>
      </c>
      <c r="H14" s="2471">
        <v>18</v>
      </c>
      <c r="I14" s="2472">
        <v>0</v>
      </c>
      <c r="J14" s="2480">
        <v>18</v>
      </c>
      <c r="K14" s="2471">
        <v>13</v>
      </c>
      <c r="L14" s="2472">
        <v>6</v>
      </c>
      <c r="M14" s="2480">
        <v>19</v>
      </c>
      <c r="N14" s="2471">
        <v>16</v>
      </c>
      <c r="O14" s="2472">
        <v>3</v>
      </c>
      <c r="P14" s="2481">
        <v>19</v>
      </c>
    </row>
    <row r="15" spans="1:16" ht="15" customHeight="1" x14ac:dyDescent="0.25">
      <c r="A15" s="2475" t="s">
        <v>572</v>
      </c>
      <c r="B15" s="2468">
        <v>-1</v>
      </c>
      <c r="C15" s="2469">
        <v>0</v>
      </c>
      <c r="D15" s="2470">
        <v>-1</v>
      </c>
      <c r="E15" s="2471">
        <v>1</v>
      </c>
      <c r="F15" s="2472">
        <v>0</v>
      </c>
      <c r="G15" s="2480">
        <v>1</v>
      </c>
      <c r="H15" s="2471">
        <v>0</v>
      </c>
      <c r="I15" s="2472">
        <v>0</v>
      </c>
      <c r="J15" s="2480">
        <v>0</v>
      </c>
      <c r="K15" s="2471">
        <v>-1</v>
      </c>
      <c r="L15" s="2472">
        <v>0</v>
      </c>
      <c r="M15" s="2480">
        <v>-1</v>
      </c>
      <c r="N15" s="2471">
        <v>0</v>
      </c>
      <c r="O15" s="2472">
        <v>0</v>
      </c>
      <c r="P15" s="2481">
        <v>0</v>
      </c>
    </row>
    <row r="16" spans="1:16" ht="15" customHeight="1" x14ac:dyDescent="0.25">
      <c r="A16" s="2475" t="s">
        <v>825</v>
      </c>
      <c r="B16" s="2482">
        <v>66</v>
      </c>
      <c r="C16" s="2483">
        <v>975</v>
      </c>
      <c r="D16" s="2470">
        <v>1041</v>
      </c>
      <c r="E16" s="2471">
        <v>345</v>
      </c>
      <c r="F16" s="2472">
        <v>1052</v>
      </c>
      <c r="G16" s="2480">
        <v>1397</v>
      </c>
      <c r="H16" s="2471">
        <v>98</v>
      </c>
      <c r="I16" s="2472">
        <v>1064</v>
      </c>
      <c r="J16" s="2480">
        <v>1162</v>
      </c>
      <c r="K16" s="2471">
        <v>-13</v>
      </c>
      <c r="L16" s="2472">
        <v>1043</v>
      </c>
      <c r="M16" s="2480">
        <v>1030</v>
      </c>
      <c r="N16" s="2471">
        <v>82</v>
      </c>
      <c r="O16" s="2472">
        <v>970</v>
      </c>
      <c r="P16" s="2481">
        <v>1052</v>
      </c>
    </row>
    <row r="17" spans="1:16" ht="15" customHeight="1" x14ac:dyDescent="0.25">
      <c r="A17" s="2467" t="s">
        <v>826</v>
      </c>
      <c r="B17" s="2468">
        <v>0</v>
      </c>
      <c r="C17" s="2469">
        <v>0</v>
      </c>
      <c r="D17" s="2470">
        <v>0</v>
      </c>
      <c r="E17" s="2471">
        <v>0</v>
      </c>
      <c r="F17" s="2472">
        <v>0</v>
      </c>
      <c r="G17" s="2473">
        <v>0</v>
      </c>
      <c r="H17" s="2471">
        <v>0</v>
      </c>
      <c r="I17" s="2472">
        <v>0</v>
      </c>
      <c r="J17" s="2473">
        <v>0</v>
      </c>
      <c r="K17" s="2471">
        <v>0</v>
      </c>
      <c r="L17" s="2472">
        <v>0</v>
      </c>
      <c r="M17" s="2473">
        <v>0</v>
      </c>
      <c r="N17" s="2471">
        <v>0</v>
      </c>
      <c r="O17" s="2472">
        <v>0</v>
      </c>
      <c r="P17" s="2474">
        <v>0</v>
      </c>
    </row>
    <row r="18" spans="1:16" ht="15" customHeight="1" x14ac:dyDescent="0.25">
      <c r="A18" s="2467" t="s">
        <v>827</v>
      </c>
      <c r="B18" s="2468">
        <v>-1</v>
      </c>
      <c r="C18" s="2469">
        <v>0</v>
      </c>
      <c r="D18" s="2470">
        <v>-1</v>
      </c>
      <c r="E18" s="2471">
        <v>1</v>
      </c>
      <c r="F18" s="2472">
        <v>0</v>
      </c>
      <c r="G18" s="2473">
        <v>1</v>
      </c>
      <c r="H18" s="2471">
        <v>0</v>
      </c>
      <c r="I18" s="2472">
        <v>0</v>
      </c>
      <c r="J18" s="2473">
        <v>0</v>
      </c>
      <c r="K18" s="2471">
        <v>-1</v>
      </c>
      <c r="L18" s="2472">
        <v>0</v>
      </c>
      <c r="M18" s="2473">
        <v>-1</v>
      </c>
      <c r="N18" s="2471">
        <v>1</v>
      </c>
      <c r="O18" s="2472">
        <v>0</v>
      </c>
      <c r="P18" s="2474">
        <v>1</v>
      </c>
    </row>
    <row r="19" spans="1:16" ht="15" customHeight="1" x14ac:dyDescent="0.25">
      <c r="A19" s="2467" t="s">
        <v>755</v>
      </c>
      <c r="B19" s="2468">
        <v>0</v>
      </c>
      <c r="C19" s="2469">
        <v>0</v>
      </c>
      <c r="D19" s="2470">
        <v>0</v>
      </c>
      <c r="E19" s="2471">
        <v>0</v>
      </c>
      <c r="F19" s="2472">
        <v>0</v>
      </c>
      <c r="G19" s="2473">
        <v>0</v>
      </c>
      <c r="H19" s="2471">
        <v>0</v>
      </c>
      <c r="I19" s="2472">
        <v>0</v>
      </c>
      <c r="J19" s="2473">
        <v>0</v>
      </c>
      <c r="K19" s="2471">
        <v>0</v>
      </c>
      <c r="L19" s="2472">
        <v>0</v>
      </c>
      <c r="M19" s="2473">
        <v>0</v>
      </c>
      <c r="N19" s="2471">
        <v>-1</v>
      </c>
      <c r="O19" s="2472">
        <v>0</v>
      </c>
      <c r="P19" s="2474">
        <v>-1</v>
      </c>
    </row>
    <row r="20" spans="1:16" ht="15" customHeight="1" x14ac:dyDescent="0.25">
      <c r="A20" s="2467" t="s">
        <v>828</v>
      </c>
      <c r="B20" s="2468">
        <v>0</v>
      </c>
      <c r="C20" s="2469">
        <v>0</v>
      </c>
      <c r="D20" s="2470">
        <v>0</v>
      </c>
      <c r="E20" s="2471">
        <v>0</v>
      </c>
      <c r="F20" s="2472">
        <v>0</v>
      </c>
      <c r="G20" s="2473">
        <v>0</v>
      </c>
      <c r="H20" s="2471">
        <v>0</v>
      </c>
      <c r="I20" s="2472">
        <v>0</v>
      </c>
      <c r="J20" s="2473">
        <v>0</v>
      </c>
      <c r="K20" s="2471">
        <v>0</v>
      </c>
      <c r="L20" s="2472">
        <v>0</v>
      </c>
      <c r="M20" s="2473">
        <v>0</v>
      </c>
      <c r="N20" s="2471">
        <v>0</v>
      </c>
      <c r="O20" s="2472">
        <v>0</v>
      </c>
      <c r="P20" s="2474">
        <v>0</v>
      </c>
    </row>
    <row r="21" spans="1:16" ht="15" customHeight="1" x14ac:dyDescent="0.25">
      <c r="A21" s="2467" t="s">
        <v>652</v>
      </c>
      <c r="B21" s="2484">
        <v>1</v>
      </c>
      <c r="C21" s="2469">
        <v>0</v>
      </c>
      <c r="D21" s="2485">
        <v>1</v>
      </c>
      <c r="E21" s="2476">
        <v>0</v>
      </c>
      <c r="F21" s="2477">
        <v>0</v>
      </c>
      <c r="G21" s="2478">
        <v>0</v>
      </c>
      <c r="H21" s="2476">
        <v>0</v>
      </c>
      <c r="I21" s="2477">
        <v>0</v>
      </c>
      <c r="J21" s="2478">
        <v>0</v>
      </c>
      <c r="K21" s="2476">
        <v>1</v>
      </c>
      <c r="L21" s="2477">
        <v>0</v>
      </c>
      <c r="M21" s="2478">
        <v>1</v>
      </c>
      <c r="N21" s="2476">
        <v>0</v>
      </c>
      <c r="O21" s="2477">
        <v>0</v>
      </c>
      <c r="P21" s="2479">
        <v>0</v>
      </c>
    </row>
    <row r="22" spans="1:16" ht="15" customHeight="1" x14ac:dyDescent="0.25">
      <c r="A22" s="2486" t="s">
        <v>829</v>
      </c>
      <c r="B22" s="2487">
        <v>0</v>
      </c>
      <c r="C22" s="2488">
        <v>0</v>
      </c>
      <c r="D22" s="2489">
        <v>0</v>
      </c>
      <c r="E22" s="2490">
        <v>1</v>
      </c>
      <c r="F22" s="2491">
        <v>0</v>
      </c>
      <c r="G22" s="2492">
        <v>1</v>
      </c>
      <c r="H22" s="2490">
        <v>0</v>
      </c>
      <c r="I22" s="2491">
        <v>0</v>
      </c>
      <c r="J22" s="2492">
        <v>0</v>
      </c>
      <c r="K22" s="2490">
        <v>0</v>
      </c>
      <c r="L22" s="2491">
        <v>0</v>
      </c>
      <c r="M22" s="2492">
        <v>0</v>
      </c>
      <c r="N22" s="2490">
        <v>0</v>
      </c>
      <c r="O22" s="2491">
        <v>0</v>
      </c>
      <c r="P22" s="2493">
        <v>0</v>
      </c>
    </row>
    <row r="23" spans="1:16" ht="15" customHeight="1" x14ac:dyDescent="0.25">
      <c r="A23" s="2494" t="s">
        <v>830</v>
      </c>
      <c r="B23" s="2495">
        <v>66</v>
      </c>
      <c r="C23" s="2496">
        <v>975</v>
      </c>
      <c r="D23" s="2497">
        <v>1041</v>
      </c>
      <c r="E23" s="2498">
        <v>346</v>
      </c>
      <c r="F23" s="2499">
        <v>1052</v>
      </c>
      <c r="G23" s="2500">
        <v>1398</v>
      </c>
      <c r="H23" s="2498">
        <v>98</v>
      </c>
      <c r="I23" s="2499">
        <v>1064</v>
      </c>
      <c r="J23" s="2500">
        <v>1162</v>
      </c>
      <c r="K23" s="2498">
        <v>-13</v>
      </c>
      <c r="L23" s="2499">
        <v>1043</v>
      </c>
      <c r="M23" s="2500">
        <v>1030</v>
      </c>
      <c r="N23" s="2498">
        <v>82</v>
      </c>
      <c r="O23" s="2499">
        <v>970</v>
      </c>
      <c r="P23" s="2501">
        <v>1052</v>
      </c>
    </row>
    <row r="24" spans="1:16" ht="15" customHeight="1" x14ac:dyDescent="0.25">
      <c r="A24" s="2459"/>
      <c r="B24" s="2502"/>
      <c r="C24" s="2503"/>
      <c r="D24" s="2504"/>
      <c r="E24" s="2505"/>
      <c r="F24" s="2506"/>
      <c r="G24" s="2507"/>
      <c r="H24" s="2463"/>
      <c r="I24" s="2464"/>
      <c r="J24" s="2465"/>
      <c r="K24" s="2463"/>
      <c r="L24" s="2464"/>
      <c r="M24" s="2465"/>
      <c r="N24" s="2463"/>
      <c r="O24" s="2464"/>
      <c r="P24" s="2466"/>
    </row>
    <row r="25" spans="1:16" ht="15" customHeight="1" x14ac:dyDescent="0.25">
      <c r="A25" s="2508" t="s">
        <v>831</v>
      </c>
      <c r="B25" s="2509"/>
      <c r="C25" s="2510"/>
      <c r="D25" s="2511"/>
      <c r="E25" s="2512"/>
      <c r="F25" s="2513"/>
      <c r="G25" s="2514"/>
      <c r="H25" s="2515"/>
      <c r="I25" s="2516"/>
      <c r="J25" s="2517"/>
      <c r="K25" s="2515"/>
      <c r="L25" s="2516"/>
      <c r="M25" s="2517"/>
      <c r="N25" s="2515"/>
      <c r="O25" s="2516"/>
      <c r="P25" s="2518"/>
    </row>
    <row r="26" spans="1:16" ht="15" customHeight="1" x14ac:dyDescent="0.25">
      <c r="A26" s="2467" t="s">
        <v>714</v>
      </c>
      <c r="B26" s="2468">
        <v>1</v>
      </c>
      <c r="C26" s="2519">
        <v>34</v>
      </c>
      <c r="D26" s="2520">
        <v>35</v>
      </c>
      <c r="E26" s="2521">
        <v>24</v>
      </c>
      <c r="F26" s="2522">
        <v>45</v>
      </c>
      <c r="G26" s="2523">
        <v>69</v>
      </c>
      <c r="H26" s="2471">
        <v>5</v>
      </c>
      <c r="I26" s="2472">
        <v>42</v>
      </c>
      <c r="J26" s="2473">
        <v>47</v>
      </c>
      <c r="K26" s="2471">
        <v>0</v>
      </c>
      <c r="L26" s="2472">
        <v>40</v>
      </c>
      <c r="M26" s="2473">
        <v>40</v>
      </c>
      <c r="N26" s="2471">
        <v>9</v>
      </c>
      <c r="O26" s="2472">
        <v>32</v>
      </c>
      <c r="P26" s="2474">
        <v>41</v>
      </c>
    </row>
    <row r="27" spans="1:16" ht="15" customHeight="1" x14ac:dyDescent="0.25">
      <c r="A27" s="2467" t="s">
        <v>715</v>
      </c>
      <c r="B27" s="2468">
        <v>2</v>
      </c>
      <c r="C27" s="2469">
        <v>56</v>
      </c>
      <c r="D27" s="2520">
        <v>58</v>
      </c>
      <c r="E27" s="2521">
        <v>43</v>
      </c>
      <c r="F27" s="2522">
        <v>42</v>
      </c>
      <c r="G27" s="2523">
        <v>85</v>
      </c>
      <c r="H27" s="2471">
        <v>2</v>
      </c>
      <c r="I27" s="2472">
        <v>46</v>
      </c>
      <c r="J27" s="2473">
        <v>48</v>
      </c>
      <c r="K27" s="2471">
        <v>-4</v>
      </c>
      <c r="L27" s="2472">
        <v>44</v>
      </c>
      <c r="M27" s="2473">
        <v>40</v>
      </c>
      <c r="N27" s="2471">
        <v>6</v>
      </c>
      <c r="O27" s="2472">
        <v>24</v>
      </c>
      <c r="P27" s="2474">
        <v>30</v>
      </c>
    </row>
    <row r="28" spans="1:16" ht="15" customHeight="1" x14ac:dyDescent="0.25">
      <c r="A28" s="2475" t="s">
        <v>716</v>
      </c>
      <c r="B28" s="2468">
        <v>1</v>
      </c>
      <c r="C28" s="2469">
        <v>39</v>
      </c>
      <c r="D28" s="2520">
        <v>40</v>
      </c>
      <c r="E28" s="2521">
        <v>28</v>
      </c>
      <c r="F28" s="2522">
        <v>44</v>
      </c>
      <c r="G28" s="2523">
        <v>72</v>
      </c>
      <c r="H28" s="2476">
        <v>4</v>
      </c>
      <c r="I28" s="2477">
        <v>43</v>
      </c>
      <c r="J28" s="2478">
        <v>47</v>
      </c>
      <c r="K28" s="2476">
        <v>-1</v>
      </c>
      <c r="L28" s="2477">
        <v>41</v>
      </c>
      <c r="M28" s="2478">
        <v>40</v>
      </c>
      <c r="N28" s="2476">
        <v>9</v>
      </c>
      <c r="O28" s="2477">
        <v>30</v>
      </c>
      <c r="P28" s="2479">
        <v>39</v>
      </c>
    </row>
    <row r="29" spans="1:16" ht="15" customHeight="1" x14ac:dyDescent="0.25">
      <c r="A29" s="2467" t="s">
        <v>714</v>
      </c>
      <c r="B29" s="2468">
        <v>14</v>
      </c>
      <c r="C29" s="2469">
        <v>217</v>
      </c>
      <c r="D29" s="2520">
        <v>231</v>
      </c>
      <c r="E29" s="2521">
        <v>1</v>
      </c>
      <c r="F29" s="2522">
        <v>231</v>
      </c>
      <c r="G29" s="2523">
        <v>232</v>
      </c>
      <c r="H29" s="2471">
        <v>2</v>
      </c>
      <c r="I29" s="2472">
        <v>255</v>
      </c>
      <c r="J29" s="2473">
        <v>257</v>
      </c>
      <c r="K29" s="2471">
        <v>-21</v>
      </c>
      <c r="L29" s="2472">
        <v>254</v>
      </c>
      <c r="M29" s="2473">
        <v>233</v>
      </c>
      <c r="N29" s="2471">
        <v>-31</v>
      </c>
      <c r="O29" s="2472">
        <v>271</v>
      </c>
      <c r="P29" s="2474">
        <v>240</v>
      </c>
    </row>
    <row r="30" spans="1:16" ht="15" customHeight="1" x14ac:dyDescent="0.25">
      <c r="A30" s="2467" t="s">
        <v>824</v>
      </c>
      <c r="B30" s="2468">
        <v>4</v>
      </c>
      <c r="C30" s="2469">
        <v>42</v>
      </c>
      <c r="D30" s="2520">
        <v>46</v>
      </c>
      <c r="E30" s="2521">
        <v>11</v>
      </c>
      <c r="F30" s="2522">
        <v>34</v>
      </c>
      <c r="G30" s="2523">
        <v>45</v>
      </c>
      <c r="H30" s="2471">
        <v>11</v>
      </c>
      <c r="I30" s="2472">
        <v>31</v>
      </c>
      <c r="J30" s="2473">
        <v>42</v>
      </c>
      <c r="K30" s="2471">
        <v>10</v>
      </c>
      <c r="L30" s="2472">
        <v>39</v>
      </c>
      <c r="M30" s="2473">
        <v>49</v>
      </c>
      <c r="N30" s="2471">
        <v>15</v>
      </c>
      <c r="O30" s="2472">
        <v>33</v>
      </c>
      <c r="P30" s="2474">
        <v>48</v>
      </c>
    </row>
    <row r="31" spans="1:16" ht="15" customHeight="1" x14ac:dyDescent="0.25">
      <c r="A31" s="2475" t="s">
        <v>724</v>
      </c>
      <c r="B31" s="2468">
        <v>10</v>
      </c>
      <c r="C31" s="2469">
        <v>129</v>
      </c>
      <c r="D31" s="2520">
        <v>139</v>
      </c>
      <c r="E31" s="2521">
        <v>6</v>
      </c>
      <c r="F31" s="2522">
        <v>131</v>
      </c>
      <c r="G31" s="2523">
        <v>137</v>
      </c>
      <c r="H31" s="2471">
        <v>7</v>
      </c>
      <c r="I31" s="2472">
        <v>139</v>
      </c>
      <c r="J31" s="2480">
        <v>146</v>
      </c>
      <c r="K31" s="2471">
        <v>-5</v>
      </c>
      <c r="L31" s="2472">
        <v>142</v>
      </c>
      <c r="M31" s="2480">
        <v>137</v>
      </c>
      <c r="N31" s="2471">
        <v>-7</v>
      </c>
      <c r="O31" s="2472">
        <v>146</v>
      </c>
      <c r="P31" s="2481">
        <v>139</v>
      </c>
    </row>
    <row r="32" spans="1:16" ht="15" customHeight="1" x14ac:dyDescent="0.25">
      <c r="A32" s="2475" t="s">
        <v>725</v>
      </c>
      <c r="B32" s="2468">
        <v>5</v>
      </c>
      <c r="C32" s="2469">
        <v>0</v>
      </c>
      <c r="D32" s="2520">
        <v>5</v>
      </c>
      <c r="E32" s="2521">
        <v>3</v>
      </c>
      <c r="F32" s="2522">
        <v>0</v>
      </c>
      <c r="G32" s="2523">
        <v>3</v>
      </c>
      <c r="H32" s="2471">
        <v>2</v>
      </c>
      <c r="I32" s="2472">
        <v>4</v>
      </c>
      <c r="J32" s="2480">
        <v>6</v>
      </c>
      <c r="K32" s="2471">
        <v>7</v>
      </c>
      <c r="L32" s="2472">
        <v>0</v>
      </c>
      <c r="M32" s="2480">
        <v>7</v>
      </c>
      <c r="N32" s="2471">
        <v>-3</v>
      </c>
      <c r="O32" s="2472">
        <v>19</v>
      </c>
      <c r="P32" s="2481">
        <v>16</v>
      </c>
    </row>
    <row r="33" spans="1:16" ht="15" customHeight="1" x14ac:dyDescent="0.25">
      <c r="A33" s="2475" t="s">
        <v>729</v>
      </c>
      <c r="B33" s="2468">
        <v>6</v>
      </c>
      <c r="C33" s="2469">
        <v>1</v>
      </c>
      <c r="D33" s="2524">
        <v>7</v>
      </c>
      <c r="E33" s="2521">
        <v>-1</v>
      </c>
      <c r="F33" s="2522">
        <v>15</v>
      </c>
      <c r="G33" s="2525">
        <v>14</v>
      </c>
      <c r="H33" s="2471">
        <v>6</v>
      </c>
      <c r="I33" s="2472">
        <v>0</v>
      </c>
      <c r="J33" s="2480">
        <v>6</v>
      </c>
      <c r="K33" s="2471">
        <v>4</v>
      </c>
      <c r="L33" s="2472">
        <v>2</v>
      </c>
      <c r="M33" s="2480">
        <v>6</v>
      </c>
      <c r="N33" s="2471">
        <v>5</v>
      </c>
      <c r="O33" s="2472">
        <v>1</v>
      </c>
      <c r="P33" s="2481">
        <v>6</v>
      </c>
    </row>
    <row r="34" spans="1:16" ht="15" customHeight="1" x14ac:dyDescent="0.25">
      <c r="A34" s="2486" t="s">
        <v>572</v>
      </c>
      <c r="B34" s="2487">
        <v>0</v>
      </c>
      <c r="C34" s="2488">
        <v>0</v>
      </c>
      <c r="D34" s="2526">
        <v>0</v>
      </c>
      <c r="E34" s="2490">
        <v>0</v>
      </c>
      <c r="F34" s="2491">
        <v>0</v>
      </c>
      <c r="G34" s="2527">
        <v>0</v>
      </c>
      <c r="H34" s="2490">
        <v>0</v>
      </c>
      <c r="I34" s="2491">
        <v>0</v>
      </c>
      <c r="J34" s="2527">
        <v>0</v>
      </c>
      <c r="K34" s="2490">
        <v>0</v>
      </c>
      <c r="L34" s="2491">
        <v>0</v>
      </c>
      <c r="M34" s="2527">
        <v>0</v>
      </c>
      <c r="N34" s="2490">
        <v>0</v>
      </c>
      <c r="O34" s="2491">
        <v>0</v>
      </c>
      <c r="P34" s="2528">
        <v>0</v>
      </c>
    </row>
    <row r="35" spans="1:16" ht="15" customHeight="1" x14ac:dyDescent="0.25">
      <c r="A35" s="2529" t="s">
        <v>832</v>
      </c>
      <c r="B35" s="2530">
        <v>4</v>
      </c>
      <c r="C35" s="2531">
        <v>51</v>
      </c>
      <c r="D35" s="2532">
        <v>55</v>
      </c>
      <c r="E35" s="2533">
        <v>18</v>
      </c>
      <c r="F35" s="2534">
        <v>57</v>
      </c>
      <c r="G35" s="2535">
        <v>75</v>
      </c>
      <c r="H35" s="2498">
        <v>5</v>
      </c>
      <c r="I35" s="2499">
        <v>55</v>
      </c>
      <c r="J35" s="2536">
        <v>60</v>
      </c>
      <c r="K35" s="2498">
        <v>-1</v>
      </c>
      <c r="L35" s="2499">
        <v>55</v>
      </c>
      <c r="M35" s="2536">
        <v>54</v>
      </c>
      <c r="N35" s="2498">
        <v>4</v>
      </c>
      <c r="O35" s="2499">
        <v>51</v>
      </c>
      <c r="P35" s="2537">
        <v>55</v>
      </c>
    </row>
    <row r="36" spans="1:16" ht="15" customHeight="1" x14ac:dyDescent="0.25">
      <c r="A36" s="2459"/>
      <c r="B36" s="2460"/>
      <c r="C36" s="2461"/>
      <c r="D36" s="2538"/>
      <c r="E36" s="2463"/>
      <c r="F36" s="2464"/>
      <c r="G36" s="2539"/>
      <c r="H36" s="2463"/>
      <c r="I36" s="2464"/>
      <c r="J36" s="2465"/>
      <c r="K36" s="2463"/>
      <c r="L36" s="2464"/>
      <c r="M36" s="2465"/>
      <c r="N36" s="2463"/>
      <c r="O36" s="2464"/>
      <c r="P36" s="2466"/>
    </row>
    <row r="37" spans="1:16" ht="15" customHeight="1" x14ac:dyDescent="0.25">
      <c r="A37" s="2508" t="s">
        <v>833</v>
      </c>
      <c r="B37" s="2540"/>
      <c r="C37" s="2541"/>
      <c r="D37" s="2542"/>
      <c r="E37" s="2515"/>
      <c r="F37" s="2516"/>
      <c r="G37" s="2543"/>
      <c r="H37" s="2515"/>
      <c r="I37" s="2516"/>
      <c r="J37" s="2517"/>
      <c r="K37" s="2515"/>
      <c r="L37" s="2516"/>
      <c r="M37" s="2517"/>
      <c r="N37" s="2515"/>
      <c r="O37" s="2516"/>
      <c r="P37" s="2518"/>
    </row>
    <row r="38" spans="1:16" ht="15" customHeight="1" x14ac:dyDescent="0.25">
      <c r="A38" s="2467" t="s">
        <v>714</v>
      </c>
      <c r="B38" s="2544"/>
      <c r="C38" s="2545"/>
      <c r="D38" s="2520">
        <v>37</v>
      </c>
      <c r="E38" s="2546"/>
      <c r="F38" s="2547"/>
      <c r="G38" s="2523">
        <v>40</v>
      </c>
      <c r="H38" s="2548"/>
      <c r="I38" s="2549"/>
      <c r="J38" s="2473">
        <v>38</v>
      </c>
      <c r="K38" s="2548"/>
      <c r="L38" s="2549"/>
      <c r="M38" s="2473">
        <v>35</v>
      </c>
      <c r="N38" s="2548"/>
      <c r="O38" s="2549"/>
      <c r="P38" s="2474">
        <v>32</v>
      </c>
    </row>
    <row r="39" spans="1:16" ht="15" customHeight="1" x14ac:dyDescent="0.25">
      <c r="A39" s="2467" t="s">
        <v>715</v>
      </c>
      <c r="B39" s="2544"/>
      <c r="C39" s="2545"/>
      <c r="D39" s="2520">
        <v>53</v>
      </c>
      <c r="E39" s="2546"/>
      <c r="F39" s="2547"/>
      <c r="G39" s="2523">
        <v>30</v>
      </c>
      <c r="H39" s="2548"/>
      <c r="I39" s="2549"/>
      <c r="J39" s="2473">
        <v>36</v>
      </c>
      <c r="K39" s="2548"/>
      <c r="L39" s="2549"/>
      <c r="M39" s="2473">
        <v>46</v>
      </c>
      <c r="N39" s="2548"/>
      <c r="O39" s="2549"/>
      <c r="P39" s="2474">
        <v>17</v>
      </c>
    </row>
    <row r="40" spans="1:16" ht="15" customHeight="1" x14ac:dyDescent="0.25">
      <c r="A40" s="2475" t="s">
        <v>716</v>
      </c>
      <c r="B40" s="2550"/>
      <c r="C40" s="2551"/>
      <c r="D40" s="2552">
        <v>40</v>
      </c>
      <c r="E40" s="2553"/>
      <c r="F40" s="2554"/>
      <c r="G40" s="2555">
        <v>38</v>
      </c>
      <c r="H40" s="2553"/>
      <c r="I40" s="2554"/>
      <c r="J40" s="2478">
        <v>37</v>
      </c>
      <c r="K40" s="2553"/>
      <c r="L40" s="2554"/>
      <c r="M40" s="2478">
        <v>37</v>
      </c>
      <c r="N40" s="2553"/>
      <c r="O40" s="2554"/>
      <c r="P40" s="2479">
        <v>29</v>
      </c>
    </row>
    <row r="41" spans="1:16" ht="15" customHeight="1" x14ac:dyDescent="0.25">
      <c r="A41" s="2467" t="s">
        <v>714</v>
      </c>
      <c r="B41" s="2544"/>
      <c r="C41" s="2545"/>
      <c r="D41" s="2520">
        <v>202</v>
      </c>
      <c r="E41" s="2546"/>
      <c r="F41" s="2547"/>
      <c r="G41" s="2523">
        <v>221</v>
      </c>
      <c r="H41" s="2548"/>
      <c r="I41" s="2549"/>
      <c r="J41" s="2473">
        <v>245</v>
      </c>
      <c r="K41" s="2548"/>
      <c r="L41" s="2549"/>
      <c r="M41" s="2473">
        <v>254</v>
      </c>
      <c r="N41" s="2548"/>
      <c r="O41" s="2549"/>
      <c r="P41" s="2474">
        <v>248</v>
      </c>
    </row>
    <row r="42" spans="1:16" ht="15" customHeight="1" x14ac:dyDescent="0.25">
      <c r="A42" s="2467" t="s">
        <v>824</v>
      </c>
      <c r="B42" s="2544"/>
      <c r="C42" s="2545"/>
      <c r="D42" s="2520">
        <v>23</v>
      </c>
      <c r="E42" s="2546"/>
      <c r="F42" s="2547"/>
      <c r="G42" s="2523">
        <v>21</v>
      </c>
      <c r="H42" s="2548"/>
      <c r="I42" s="2549"/>
      <c r="J42" s="2473">
        <v>17</v>
      </c>
      <c r="K42" s="2548"/>
      <c r="L42" s="2549"/>
      <c r="M42" s="2473">
        <v>19</v>
      </c>
      <c r="N42" s="2548"/>
      <c r="O42" s="2549"/>
      <c r="P42" s="2474">
        <v>19</v>
      </c>
    </row>
    <row r="43" spans="1:16" ht="15" customHeight="1" x14ac:dyDescent="0.25">
      <c r="A43" s="2475" t="s">
        <v>724</v>
      </c>
      <c r="B43" s="2544"/>
      <c r="C43" s="2545"/>
      <c r="D43" s="2524">
        <v>112</v>
      </c>
      <c r="E43" s="2546"/>
      <c r="F43" s="2547"/>
      <c r="G43" s="2525">
        <v>119</v>
      </c>
      <c r="H43" s="2548"/>
      <c r="I43" s="2549"/>
      <c r="J43" s="2480">
        <v>127</v>
      </c>
      <c r="K43" s="2548"/>
      <c r="L43" s="2549"/>
      <c r="M43" s="2480">
        <v>131</v>
      </c>
      <c r="N43" s="2548"/>
      <c r="O43" s="2549"/>
      <c r="P43" s="2481">
        <v>127</v>
      </c>
    </row>
    <row r="44" spans="1:16" ht="15" customHeight="1" x14ac:dyDescent="0.25">
      <c r="A44" s="2475" t="s">
        <v>725</v>
      </c>
      <c r="B44" s="2544"/>
      <c r="C44" s="2545"/>
      <c r="D44" s="2524">
        <v>0</v>
      </c>
      <c r="E44" s="2546"/>
      <c r="F44" s="2547"/>
      <c r="G44" s="2525">
        <v>0</v>
      </c>
      <c r="H44" s="2548"/>
      <c r="I44" s="2549"/>
      <c r="J44" s="2480">
        <v>2</v>
      </c>
      <c r="K44" s="2548"/>
      <c r="L44" s="2549"/>
      <c r="M44" s="2480">
        <v>16</v>
      </c>
      <c r="N44" s="2548"/>
      <c r="O44" s="2549"/>
      <c r="P44" s="2481">
        <v>0</v>
      </c>
    </row>
    <row r="45" spans="1:16" ht="15" customHeight="1" x14ac:dyDescent="0.25">
      <c r="A45" s="2475" t="s">
        <v>729</v>
      </c>
      <c r="B45" s="2544"/>
      <c r="C45" s="2545"/>
      <c r="D45" s="2524">
        <v>9</v>
      </c>
      <c r="E45" s="2546"/>
      <c r="F45" s="2547"/>
      <c r="G45" s="2525">
        <v>13</v>
      </c>
      <c r="H45" s="2548"/>
      <c r="I45" s="2549"/>
      <c r="J45" s="2480">
        <v>0</v>
      </c>
      <c r="K45" s="2548"/>
      <c r="L45" s="2549"/>
      <c r="M45" s="2480">
        <v>0</v>
      </c>
      <c r="N45" s="2548"/>
      <c r="O45" s="2549"/>
      <c r="P45" s="2481">
        <v>0</v>
      </c>
    </row>
    <row r="46" spans="1:16" ht="15" customHeight="1" x14ac:dyDescent="0.25">
      <c r="A46" s="2486" t="s">
        <v>572</v>
      </c>
      <c r="B46" s="2556"/>
      <c r="C46" s="2557"/>
      <c r="D46" s="2526">
        <v>0</v>
      </c>
      <c r="E46" s="2558"/>
      <c r="F46" s="2559"/>
      <c r="G46" s="2527">
        <v>0</v>
      </c>
      <c r="H46" s="2558"/>
      <c r="I46" s="2559"/>
      <c r="J46" s="2527">
        <v>0</v>
      </c>
      <c r="K46" s="2558"/>
      <c r="L46" s="2559"/>
      <c r="M46" s="2527">
        <v>0</v>
      </c>
      <c r="N46" s="2558"/>
      <c r="O46" s="2559"/>
      <c r="P46" s="2528">
        <v>0</v>
      </c>
    </row>
    <row r="47" spans="1:16" ht="15" customHeight="1" x14ac:dyDescent="0.25">
      <c r="A47" s="2529" t="s">
        <v>834</v>
      </c>
      <c r="B47" s="2560"/>
      <c r="C47" s="2561"/>
      <c r="D47" s="2532">
        <v>50</v>
      </c>
      <c r="E47" s="2562"/>
      <c r="F47" s="2563"/>
      <c r="G47" s="2535">
        <v>50</v>
      </c>
      <c r="H47" s="2564"/>
      <c r="I47" s="2565"/>
      <c r="J47" s="2536">
        <v>49</v>
      </c>
      <c r="K47" s="2564"/>
      <c r="L47" s="2565"/>
      <c r="M47" s="2536">
        <v>51</v>
      </c>
      <c r="N47" s="2564"/>
      <c r="O47" s="2565"/>
      <c r="P47" s="2537">
        <v>45</v>
      </c>
    </row>
    <row r="48" spans="1:16" ht="15" customHeight="1" x14ac:dyDescent="0.25">
      <c r="A48" s="2566"/>
      <c r="B48" s="2566"/>
      <c r="C48" s="2566"/>
      <c r="D48" s="2566"/>
      <c r="E48" s="2567"/>
      <c r="F48" s="2567"/>
      <c r="G48" s="2567"/>
      <c r="H48" s="2567"/>
      <c r="I48" s="2567"/>
      <c r="J48" s="2567"/>
      <c r="K48" s="2567"/>
      <c r="L48" s="2567"/>
      <c r="M48" s="2567"/>
      <c r="N48" s="2567"/>
      <c r="O48" s="2567"/>
      <c r="P48" s="2567"/>
    </row>
    <row r="49" spans="1:16" ht="12" customHeight="1" x14ac:dyDescent="0.25">
      <c r="A49" s="3511" t="s">
        <v>733</v>
      </c>
      <c r="B49" s="3511" t="s">
        <v>14</v>
      </c>
      <c r="C49" s="3511" t="s">
        <v>14</v>
      </c>
      <c r="D49" s="3511" t="s">
        <v>14</v>
      </c>
      <c r="E49" s="3511" t="s">
        <v>14</v>
      </c>
      <c r="F49" s="3511" t="s">
        <v>14</v>
      </c>
      <c r="G49" s="3511" t="s">
        <v>14</v>
      </c>
      <c r="H49" s="3511" t="s">
        <v>14</v>
      </c>
      <c r="I49" s="3511" t="s">
        <v>14</v>
      </c>
      <c r="J49" s="3511" t="s">
        <v>14</v>
      </c>
      <c r="K49" s="3511" t="s">
        <v>14</v>
      </c>
      <c r="L49" s="3511" t="s">
        <v>14</v>
      </c>
      <c r="M49" s="3511" t="s">
        <v>14</v>
      </c>
      <c r="N49" s="3511" t="s">
        <v>14</v>
      </c>
      <c r="O49" s="3511" t="s">
        <v>14</v>
      </c>
      <c r="P49" s="3511" t="s">
        <v>14</v>
      </c>
    </row>
    <row r="50" spans="1:16" ht="12" customHeight="1" x14ac:dyDescent="0.25">
      <c r="A50" s="3511" t="s">
        <v>758</v>
      </c>
      <c r="B50" s="3511" t="s">
        <v>14</v>
      </c>
      <c r="C50" s="3511" t="s">
        <v>14</v>
      </c>
      <c r="D50" s="3511" t="s">
        <v>14</v>
      </c>
      <c r="E50" s="3511" t="s">
        <v>14</v>
      </c>
      <c r="F50" s="3511" t="s">
        <v>14</v>
      </c>
      <c r="G50" s="3511" t="s">
        <v>14</v>
      </c>
      <c r="H50" s="3511" t="s">
        <v>14</v>
      </c>
      <c r="I50" s="3511" t="s">
        <v>14</v>
      </c>
      <c r="J50" s="3511" t="s">
        <v>14</v>
      </c>
      <c r="K50" s="3511" t="s">
        <v>14</v>
      </c>
      <c r="L50" s="3511" t="s">
        <v>14</v>
      </c>
      <c r="M50" s="3511" t="s">
        <v>14</v>
      </c>
      <c r="N50" s="3511" t="s">
        <v>14</v>
      </c>
      <c r="O50" s="3511" t="s">
        <v>14</v>
      </c>
      <c r="P50" s="3511" t="s">
        <v>14</v>
      </c>
    </row>
    <row r="51" spans="1:16" ht="12" customHeight="1" x14ac:dyDescent="0.25">
      <c r="A51" s="3511" t="s">
        <v>835</v>
      </c>
      <c r="B51" s="3511" t="s">
        <v>14</v>
      </c>
      <c r="C51" s="3511" t="s">
        <v>14</v>
      </c>
      <c r="D51" s="3511" t="s">
        <v>14</v>
      </c>
      <c r="E51" s="3511" t="s">
        <v>14</v>
      </c>
      <c r="F51" s="3511" t="s">
        <v>14</v>
      </c>
      <c r="G51" s="3511" t="s">
        <v>14</v>
      </c>
      <c r="H51" s="3511" t="s">
        <v>14</v>
      </c>
      <c r="I51" s="3511" t="s">
        <v>14</v>
      </c>
      <c r="J51" s="3511" t="s">
        <v>14</v>
      </c>
      <c r="K51" s="3511" t="s">
        <v>14</v>
      </c>
      <c r="L51" s="3511" t="s">
        <v>14</v>
      </c>
      <c r="M51" s="3511" t="s">
        <v>14</v>
      </c>
      <c r="N51" s="3511" t="s">
        <v>14</v>
      </c>
      <c r="O51" s="3511" t="s">
        <v>14</v>
      </c>
      <c r="P51" s="3511" t="s">
        <v>14</v>
      </c>
    </row>
    <row r="52" spans="1:16" ht="12" customHeight="1" x14ac:dyDescent="0.25">
      <c r="A52" s="3511" t="s">
        <v>836</v>
      </c>
      <c r="B52" s="3511" t="s">
        <v>14</v>
      </c>
      <c r="C52" s="3511" t="s">
        <v>14</v>
      </c>
      <c r="D52" s="3511" t="s">
        <v>14</v>
      </c>
      <c r="E52" s="3511" t="s">
        <v>14</v>
      </c>
      <c r="F52" s="3511" t="s">
        <v>14</v>
      </c>
      <c r="G52" s="3511" t="s">
        <v>14</v>
      </c>
      <c r="H52" s="3511" t="s">
        <v>14</v>
      </c>
      <c r="I52" s="3511" t="s">
        <v>14</v>
      </c>
      <c r="J52" s="3511" t="s">
        <v>14</v>
      </c>
      <c r="K52" s="3511" t="s">
        <v>14</v>
      </c>
      <c r="L52" s="3511" t="s">
        <v>14</v>
      </c>
      <c r="M52" s="3511" t="s">
        <v>14</v>
      </c>
      <c r="N52" s="3511" t="s">
        <v>14</v>
      </c>
      <c r="O52" s="3511" t="s">
        <v>14</v>
      </c>
      <c r="P52" s="3511" t="s">
        <v>14</v>
      </c>
    </row>
    <row r="53" spans="1:16" ht="10.35" customHeight="1" x14ac:dyDescent="0.25">
      <c r="A53" s="2568"/>
      <c r="B53" s="2569"/>
      <c r="C53" s="2569"/>
      <c r="D53" s="2569"/>
      <c r="E53" s="2569"/>
      <c r="F53" s="2569"/>
      <c r="G53" s="2569"/>
      <c r="H53" s="2569"/>
      <c r="I53" s="2569"/>
      <c r="J53" s="2569"/>
      <c r="K53" s="2569"/>
      <c r="L53" s="2569"/>
      <c r="M53" s="2569"/>
      <c r="N53" s="2569"/>
      <c r="O53" s="2569"/>
      <c r="P53" s="2569"/>
    </row>
  </sheetData>
  <mergeCells count="5">
    <mergeCell ref="A2:P2"/>
    <mergeCell ref="A49:P49"/>
    <mergeCell ref="A50:P50"/>
    <mergeCell ref="A51:P51"/>
    <mergeCell ref="A52:P52"/>
  </mergeCells>
  <hyperlinks>
    <hyperlink ref="A1" location="ToC!A2" display="Back to Table of Contents" xr:uid="{26D47609-D082-40C2-8738-95B0D019737B}"/>
  </hyperlinks>
  <pageMargins left="0.5" right="0.5" top="0.5" bottom="0.5" header="0.25" footer="0.25"/>
  <pageSetup scale="67" orientation="landscape" r:id="rId1"/>
  <headerFooter>
    <oddFooter>&amp;L&amp;G&amp;C&amp;"Scotia,Regular"&amp;9Supplementary Financial Information (SFI)&amp;R23&amp;"Scotia,Regular"&amp;7</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DAB5-1DDE-44FE-A1B6-0878B78C0A20}">
  <sheetPr>
    <pageSetUpPr fitToPage="1"/>
  </sheetPr>
  <dimension ref="A1:L46"/>
  <sheetViews>
    <sheetView showGridLines="0" zoomScaleNormal="100" workbookViewId="0"/>
  </sheetViews>
  <sheetFormatPr defaultColWidth="8.77734375" defaultRowHeight="13.2" x14ac:dyDescent="0.25"/>
  <cols>
    <col min="1" max="1" width="48.5546875" style="22" customWidth="1"/>
    <col min="2" max="12" width="10.77734375" style="22" customWidth="1"/>
    <col min="13" max="16384" width="8.77734375" style="22"/>
  </cols>
  <sheetData>
    <row r="1" spans="1:12" ht="19.95" customHeight="1" x14ac:dyDescent="0.25">
      <c r="A1" s="21" t="s">
        <v>12</v>
      </c>
    </row>
    <row r="2" spans="1:12" ht="25.35" customHeight="1" x14ac:dyDescent="0.25">
      <c r="A2" s="3636" t="s">
        <v>837</v>
      </c>
      <c r="B2" s="3636" t="s">
        <v>14</v>
      </c>
      <c r="C2" s="3636" t="s">
        <v>14</v>
      </c>
      <c r="D2" s="3636" t="s">
        <v>14</v>
      </c>
      <c r="E2" s="3636" t="s">
        <v>14</v>
      </c>
      <c r="F2" s="3636" t="s">
        <v>14</v>
      </c>
      <c r="G2" s="3636" t="s">
        <v>14</v>
      </c>
      <c r="H2" s="3636" t="s">
        <v>14</v>
      </c>
      <c r="I2" s="3636" t="s">
        <v>14</v>
      </c>
      <c r="J2" s="3636" t="s">
        <v>14</v>
      </c>
      <c r="K2" s="3636" t="s">
        <v>14</v>
      </c>
      <c r="L2" s="3636" t="s">
        <v>14</v>
      </c>
    </row>
    <row r="3" spans="1:12" ht="15" customHeight="1" x14ac:dyDescent="0.25">
      <c r="A3" s="2570" t="s">
        <v>270</v>
      </c>
      <c r="B3" s="3637" t="s">
        <v>172</v>
      </c>
      <c r="C3" s="3637" t="s">
        <v>14</v>
      </c>
      <c r="D3" s="3638" t="s">
        <v>14</v>
      </c>
      <c r="E3" s="3639" t="s">
        <v>343</v>
      </c>
      <c r="F3" s="3637" t="s">
        <v>14</v>
      </c>
      <c r="G3" s="3637" t="s">
        <v>14</v>
      </c>
      <c r="H3" s="3640" t="s">
        <v>14</v>
      </c>
      <c r="I3" s="3641" t="s">
        <v>344</v>
      </c>
      <c r="J3" s="3642" t="s">
        <v>14</v>
      </c>
      <c r="K3" s="3643" t="s">
        <v>174</v>
      </c>
      <c r="L3" s="3643" t="s">
        <v>14</v>
      </c>
    </row>
    <row r="4" spans="1:12" ht="15" customHeight="1" x14ac:dyDescent="0.25">
      <c r="A4" s="2571"/>
      <c r="B4" s="2572" t="s">
        <v>176</v>
      </c>
      <c r="C4" s="2573" t="s">
        <v>177</v>
      </c>
      <c r="D4" s="2574" t="s">
        <v>178</v>
      </c>
      <c r="E4" s="2575" t="s">
        <v>179</v>
      </c>
      <c r="F4" s="2576" t="s">
        <v>180</v>
      </c>
      <c r="G4" s="2573" t="s">
        <v>177</v>
      </c>
      <c r="H4" s="2577" t="s">
        <v>178</v>
      </c>
      <c r="I4" s="2578" t="s">
        <v>179</v>
      </c>
      <c r="J4" s="2579" t="s">
        <v>180</v>
      </c>
      <c r="K4" s="2573" t="s">
        <v>343</v>
      </c>
      <c r="L4" s="2573">
        <v>2023</v>
      </c>
    </row>
    <row r="5" spans="1:12" ht="15" customHeight="1" x14ac:dyDescent="0.25">
      <c r="A5" s="2580" t="s">
        <v>838</v>
      </c>
      <c r="B5" s="2581"/>
      <c r="C5" s="2582"/>
      <c r="D5" s="2583"/>
      <c r="E5" s="2584"/>
      <c r="F5" s="2585"/>
      <c r="G5" s="2585"/>
      <c r="H5" s="2586"/>
      <c r="I5" s="2587"/>
      <c r="J5" s="2586"/>
      <c r="K5" s="2582"/>
      <c r="L5" s="2582"/>
    </row>
    <row r="6" spans="1:12" ht="15" customHeight="1" x14ac:dyDescent="0.25">
      <c r="A6" s="2588"/>
      <c r="B6" s="2589"/>
      <c r="C6" s="2590"/>
      <c r="D6" s="2591"/>
      <c r="E6" s="2592"/>
      <c r="F6" s="2593"/>
      <c r="G6" s="2593"/>
      <c r="H6" s="2594"/>
      <c r="I6" s="2595"/>
      <c r="J6" s="2594"/>
      <c r="K6" s="2590"/>
      <c r="L6" s="2590"/>
    </row>
    <row r="7" spans="1:12" ht="15" customHeight="1" x14ac:dyDescent="0.25">
      <c r="A7" s="2596" t="s">
        <v>321</v>
      </c>
      <c r="B7" s="2597">
        <v>69</v>
      </c>
      <c r="C7" s="2598">
        <v>70</v>
      </c>
      <c r="D7" s="1502">
        <v>68</v>
      </c>
      <c r="E7" s="2599">
        <v>83</v>
      </c>
      <c r="F7" s="2598">
        <v>46</v>
      </c>
      <c r="G7" s="2598">
        <v>63</v>
      </c>
      <c r="H7" s="2600">
        <v>58</v>
      </c>
      <c r="I7" s="2601">
        <v>52</v>
      </c>
      <c r="J7" s="2600">
        <v>48</v>
      </c>
      <c r="K7" s="2598">
        <v>250</v>
      </c>
      <c r="L7" s="2598">
        <v>156</v>
      </c>
    </row>
    <row r="8" spans="1:12" ht="15" customHeight="1" x14ac:dyDescent="0.25">
      <c r="A8" s="2596" t="s">
        <v>353</v>
      </c>
      <c r="B8" s="2597">
        <v>398</v>
      </c>
      <c r="C8" s="2598">
        <v>459</v>
      </c>
      <c r="D8" s="1502">
        <v>493</v>
      </c>
      <c r="E8" s="2599">
        <v>454</v>
      </c>
      <c r="F8" s="2598">
        <v>472</v>
      </c>
      <c r="G8" s="2598">
        <v>505</v>
      </c>
      <c r="H8" s="2600">
        <v>454</v>
      </c>
      <c r="I8" s="2601">
        <v>370</v>
      </c>
      <c r="J8" s="2600">
        <v>335</v>
      </c>
      <c r="K8" s="2598">
        <v>1885</v>
      </c>
      <c r="L8" s="2598">
        <v>1266</v>
      </c>
    </row>
    <row r="9" spans="1:12" ht="15" customHeight="1" x14ac:dyDescent="0.25">
      <c r="A9" s="2596" t="s">
        <v>354</v>
      </c>
      <c r="B9" s="2597">
        <v>290</v>
      </c>
      <c r="C9" s="2598">
        <v>319</v>
      </c>
      <c r="D9" s="1502">
        <v>327</v>
      </c>
      <c r="E9" s="2599">
        <v>311</v>
      </c>
      <c r="F9" s="2598">
        <v>309</v>
      </c>
      <c r="G9" s="2598">
        <v>278</v>
      </c>
      <c r="H9" s="2600">
        <v>267</v>
      </c>
      <c r="I9" s="2601">
        <v>253</v>
      </c>
      <c r="J9" s="2600">
        <v>258</v>
      </c>
      <c r="K9" s="2598">
        <v>1165</v>
      </c>
      <c r="L9" s="2598">
        <v>908</v>
      </c>
    </row>
    <row r="10" spans="1:12" ht="15" customHeight="1" x14ac:dyDescent="0.25">
      <c r="A10" s="2602" t="s">
        <v>684</v>
      </c>
      <c r="B10" s="2603">
        <v>757</v>
      </c>
      <c r="C10" s="2598">
        <v>848</v>
      </c>
      <c r="D10" s="1502">
        <v>888</v>
      </c>
      <c r="E10" s="2599">
        <v>848</v>
      </c>
      <c r="F10" s="2598">
        <v>827</v>
      </c>
      <c r="G10" s="2598">
        <v>846</v>
      </c>
      <c r="H10" s="2600">
        <v>779</v>
      </c>
      <c r="I10" s="2601">
        <v>675</v>
      </c>
      <c r="J10" s="2600">
        <v>641</v>
      </c>
      <c r="K10" s="2598">
        <v>3300</v>
      </c>
      <c r="L10" s="2598">
        <v>2330</v>
      </c>
    </row>
    <row r="11" spans="1:12" ht="15" customHeight="1" x14ac:dyDescent="0.25">
      <c r="A11" s="2604"/>
      <c r="B11" s="2605"/>
      <c r="C11" s="2606"/>
      <c r="D11" s="1649"/>
      <c r="E11" s="2607"/>
      <c r="F11" s="2606"/>
      <c r="G11" s="2606"/>
      <c r="H11" s="2608"/>
      <c r="I11" s="2609"/>
      <c r="J11" s="2608"/>
      <c r="K11" s="2606"/>
      <c r="L11" s="2606"/>
    </row>
    <row r="12" spans="1:12" ht="15" customHeight="1" x14ac:dyDescent="0.25">
      <c r="A12" s="2610" t="s">
        <v>839</v>
      </c>
      <c r="B12" s="2605"/>
      <c r="C12" s="2606"/>
      <c r="D12" s="1649"/>
      <c r="E12" s="2607"/>
      <c r="F12" s="2606"/>
      <c r="G12" s="2606"/>
      <c r="H12" s="2608"/>
      <c r="I12" s="2609"/>
      <c r="J12" s="2608"/>
      <c r="K12" s="2606"/>
      <c r="L12" s="2606"/>
    </row>
    <row r="13" spans="1:12" ht="15" customHeight="1" x14ac:dyDescent="0.25">
      <c r="A13" s="2596" t="s">
        <v>686</v>
      </c>
      <c r="B13" s="2597">
        <v>7</v>
      </c>
      <c r="C13" s="2598">
        <v>4</v>
      </c>
      <c r="D13" s="1502">
        <v>4</v>
      </c>
      <c r="E13" s="2599">
        <v>2</v>
      </c>
      <c r="F13" s="2598">
        <v>-1</v>
      </c>
      <c r="G13" s="2598">
        <v>21</v>
      </c>
      <c r="H13" s="2600">
        <v>12</v>
      </c>
      <c r="I13" s="2601">
        <v>10</v>
      </c>
      <c r="J13" s="2600">
        <v>23</v>
      </c>
      <c r="K13" s="2598">
        <v>34</v>
      </c>
      <c r="L13" s="2598">
        <v>70</v>
      </c>
    </row>
    <row r="14" spans="1:12" ht="15" customHeight="1" x14ac:dyDescent="0.25">
      <c r="A14" s="2596" t="s">
        <v>805</v>
      </c>
      <c r="B14" s="2597">
        <v>0</v>
      </c>
      <c r="C14" s="2598">
        <v>0</v>
      </c>
      <c r="D14" s="1502">
        <v>0</v>
      </c>
      <c r="E14" s="2599">
        <v>0</v>
      </c>
      <c r="F14" s="2598">
        <v>0</v>
      </c>
      <c r="G14" s="2598">
        <v>0</v>
      </c>
      <c r="H14" s="2600">
        <v>0</v>
      </c>
      <c r="I14" s="2601">
        <v>0</v>
      </c>
      <c r="J14" s="2600">
        <v>0</v>
      </c>
      <c r="K14" s="2598">
        <v>0</v>
      </c>
      <c r="L14" s="2598">
        <v>0</v>
      </c>
    </row>
    <row r="15" spans="1:12" ht="15" customHeight="1" x14ac:dyDescent="0.25">
      <c r="A15" s="2610" t="s">
        <v>688</v>
      </c>
      <c r="B15" s="2597">
        <v>51</v>
      </c>
      <c r="C15" s="2598">
        <v>50</v>
      </c>
      <c r="D15" s="1502">
        <v>45</v>
      </c>
      <c r="E15" s="2599">
        <v>37</v>
      </c>
      <c r="F15" s="2598">
        <v>39</v>
      </c>
      <c r="G15" s="2598">
        <v>25</v>
      </c>
      <c r="H15" s="2600">
        <v>36</v>
      </c>
      <c r="I15" s="2601">
        <v>22</v>
      </c>
      <c r="J15" s="2600">
        <v>11</v>
      </c>
      <c r="K15" s="2598">
        <v>137</v>
      </c>
      <c r="L15" s="2598">
        <v>72</v>
      </c>
    </row>
    <row r="16" spans="1:12" ht="15" customHeight="1" x14ac:dyDescent="0.25">
      <c r="A16" s="2610" t="s">
        <v>689</v>
      </c>
      <c r="B16" s="2597">
        <v>45</v>
      </c>
      <c r="C16" s="2598">
        <v>38</v>
      </c>
      <c r="D16" s="1502">
        <v>18</v>
      </c>
      <c r="E16" s="2599">
        <v>27</v>
      </c>
      <c r="F16" s="2598">
        <v>26</v>
      </c>
      <c r="G16" s="2598">
        <v>21</v>
      </c>
      <c r="H16" s="2600">
        <v>34</v>
      </c>
      <c r="I16" s="2601">
        <v>54</v>
      </c>
      <c r="J16" s="2600">
        <v>35</v>
      </c>
      <c r="K16" s="2598">
        <v>108</v>
      </c>
      <c r="L16" s="2598">
        <v>118</v>
      </c>
    </row>
    <row r="17" spans="1:12" ht="15" customHeight="1" x14ac:dyDescent="0.25">
      <c r="A17" s="2610" t="s">
        <v>690</v>
      </c>
      <c r="B17" s="2597">
        <v>1</v>
      </c>
      <c r="C17" s="2598">
        <v>0</v>
      </c>
      <c r="D17" s="1502">
        <v>-6</v>
      </c>
      <c r="E17" s="2599">
        <v>1</v>
      </c>
      <c r="F17" s="2598">
        <v>0</v>
      </c>
      <c r="G17" s="2598">
        <v>-1</v>
      </c>
      <c r="H17" s="2600">
        <v>0</v>
      </c>
      <c r="I17" s="2601">
        <v>0</v>
      </c>
      <c r="J17" s="2600">
        <v>0</v>
      </c>
      <c r="K17" s="2598">
        <v>0</v>
      </c>
      <c r="L17" s="2598">
        <v>-2</v>
      </c>
    </row>
    <row r="18" spans="1:12" ht="15" customHeight="1" x14ac:dyDescent="0.25">
      <c r="A18" s="2610" t="s">
        <v>691</v>
      </c>
      <c r="B18" s="2597">
        <v>34</v>
      </c>
      <c r="C18" s="2598">
        <v>9</v>
      </c>
      <c r="D18" s="1502">
        <v>17</v>
      </c>
      <c r="E18" s="2599">
        <v>19</v>
      </c>
      <c r="F18" s="2598">
        <v>17</v>
      </c>
      <c r="G18" s="2598">
        <v>8</v>
      </c>
      <c r="H18" s="2600">
        <v>43</v>
      </c>
      <c r="I18" s="2601">
        <v>-9</v>
      </c>
      <c r="J18" s="2600">
        <v>1</v>
      </c>
      <c r="K18" s="2598">
        <v>87</v>
      </c>
      <c r="L18" s="2598">
        <v>-2</v>
      </c>
    </row>
    <row r="19" spans="1:12" ht="15" customHeight="1" x14ac:dyDescent="0.25">
      <c r="A19" s="2610" t="s">
        <v>692</v>
      </c>
      <c r="B19" s="2597">
        <v>1</v>
      </c>
      <c r="C19" s="2598">
        <v>4</v>
      </c>
      <c r="D19" s="1502">
        <v>1</v>
      </c>
      <c r="E19" s="2599">
        <v>1</v>
      </c>
      <c r="F19" s="2598">
        <v>-1</v>
      </c>
      <c r="G19" s="2598">
        <v>1</v>
      </c>
      <c r="H19" s="2600">
        <v>5</v>
      </c>
      <c r="I19" s="2601">
        <v>2</v>
      </c>
      <c r="J19" s="2600">
        <v>2</v>
      </c>
      <c r="K19" s="2598">
        <v>6</v>
      </c>
      <c r="L19" s="2598">
        <v>5</v>
      </c>
    </row>
    <row r="20" spans="1:12" ht="15" customHeight="1" x14ac:dyDescent="0.25">
      <c r="A20" s="2610" t="s">
        <v>693</v>
      </c>
      <c r="B20" s="2597">
        <v>23</v>
      </c>
      <c r="C20" s="2598">
        <v>31</v>
      </c>
      <c r="D20" s="1502">
        <v>19</v>
      </c>
      <c r="E20" s="2599">
        <v>19</v>
      </c>
      <c r="F20" s="2598">
        <v>26</v>
      </c>
      <c r="G20" s="2598">
        <v>17</v>
      </c>
      <c r="H20" s="2600">
        <v>11</v>
      </c>
      <c r="I20" s="2601">
        <v>21</v>
      </c>
      <c r="J20" s="2600">
        <v>22</v>
      </c>
      <c r="K20" s="2598">
        <v>73</v>
      </c>
      <c r="L20" s="2598">
        <v>50</v>
      </c>
    </row>
    <row r="21" spans="1:12" ht="15" customHeight="1" x14ac:dyDescent="0.25">
      <c r="A21" s="2610" t="s">
        <v>694</v>
      </c>
      <c r="B21" s="2597">
        <v>1</v>
      </c>
      <c r="C21" s="2598">
        <v>1</v>
      </c>
      <c r="D21" s="1502">
        <v>3</v>
      </c>
      <c r="E21" s="2599">
        <v>1</v>
      </c>
      <c r="F21" s="2598">
        <v>1</v>
      </c>
      <c r="G21" s="2598">
        <v>-1</v>
      </c>
      <c r="H21" s="2600">
        <v>1</v>
      </c>
      <c r="I21" s="2601">
        <v>1</v>
      </c>
      <c r="J21" s="2600">
        <v>2</v>
      </c>
      <c r="K21" s="2598">
        <v>2</v>
      </c>
      <c r="L21" s="2598">
        <v>4</v>
      </c>
    </row>
    <row r="22" spans="1:12" ht="15" customHeight="1" x14ac:dyDescent="0.25">
      <c r="A22" s="2610" t="s">
        <v>695</v>
      </c>
      <c r="B22" s="2597">
        <v>1</v>
      </c>
      <c r="C22" s="2598">
        <v>0</v>
      </c>
      <c r="D22" s="1502">
        <v>0</v>
      </c>
      <c r="E22" s="2599">
        <v>0</v>
      </c>
      <c r="F22" s="2598">
        <v>0</v>
      </c>
      <c r="G22" s="2598">
        <v>0</v>
      </c>
      <c r="H22" s="2600">
        <v>0</v>
      </c>
      <c r="I22" s="2601">
        <v>1</v>
      </c>
      <c r="J22" s="2600">
        <v>-11</v>
      </c>
      <c r="K22" s="2598">
        <v>0</v>
      </c>
      <c r="L22" s="2598">
        <v>-9</v>
      </c>
    </row>
    <row r="23" spans="1:12" ht="15" customHeight="1" x14ac:dyDescent="0.25">
      <c r="A23" s="2610" t="s">
        <v>696</v>
      </c>
      <c r="B23" s="2597">
        <v>0</v>
      </c>
      <c r="C23" s="2598">
        <v>0</v>
      </c>
      <c r="D23" s="1502">
        <v>3</v>
      </c>
      <c r="E23" s="2599">
        <v>3</v>
      </c>
      <c r="F23" s="2598">
        <v>3</v>
      </c>
      <c r="G23" s="2598">
        <v>2</v>
      </c>
      <c r="H23" s="2600">
        <v>1</v>
      </c>
      <c r="I23" s="2601">
        <v>5</v>
      </c>
      <c r="J23" s="2600">
        <v>4</v>
      </c>
      <c r="K23" s="2598">
        <v>9</v>
      </c>
      <c r="L23" s="2598">
        <v>17</v>
      </c>
    </row>
    <row r="24" spans="1:12" ht="15" customHeight="1" x14ac:dyDescent="0.25">
      <c r="A24" s="2610" t="s">
        <v>697</v>
      </c>
      <c r="B24" s="2597">
        <v>17</v>
      </c>
      <c r="C24" s="2598">
        <v>0</v>
      </c>
      <c r="D24" s="1502">
        <v>0</v>
      </c>
      <c r="E24" s="2599">
        <v>0</v>
      </c>
      <c r="F24" s="2598">
        <v>0</v>
      </c>
      <c r="G24" s="2598">
        <v>0</v>
      </c>
      <c r="H24" s="2600">
        <v>0</v>
      </c>
      <c r="I24" s="2601">
        <v>0</v>
      </c>
      <c r="J24" s="2600">
        <v>-4</v>
      </c>
      <c r="K24" s="2598">
        <v>0</v>
      </c>
      <c r="L24" s="2598">
        <v>-4</v>
      </c>
    </row>
    <row r="25" spans="1:12" ht="15" customHeight="1" x14ac:dyDescent="0.25">
      <c r="A25" s="2610" t="s">
        <v>698</v>
      </c>
      <c r="B25" s="2597">
        <v>6</v>
      </c>
      <c r="C25" s="2598">
        <v>7</v>
      </c>
      <c r="D25" s="1502">
        <v>7</v>
      </c>
      <c r="E25" s="2599">
        <v>5</v>
      </c>
      <c r="F25" s="2598">
        <v>5</v>
      </c>
      <c r="G25" s="2598">
        <v>8</v>
      </c>
      <c r="H25" s="2600">
        <v>4</v>
      </c>
      <c r="I25" s="2601">
        <v>-3</v>
      </c>
      <c r="J25" s="2600">
        <v>3</v>
      </c>
      <c r="K25" s="2598">
        <v>22</v>
      </c>
      <c r="L25" s="2598">
        <v>5</v>
      </c>
    </row>
    <row r="26" spans="1:12" ht="15" customHeight="1" x14ac:dyDescent="0.25">
      <c r="A26" s="2610" t="s">
        <v>699</v>
      </c>
      <c r="B26" s="2597">
        <v>19</v>
      </c>
      <c r="C26" s="2598">
        <v>51</v>
      </c>
      <c r="D26" s="1502">
        <v>3</v>
      </c>
      <c r="E26" s="2599">
        <v>21</v>
      </c>
      <c r="F26" s="2598">
        <v>2</v>
      </c>
      <c r="G26" s="2598">
        <v>2</v>
      </c>
      <c r="H26" s="2600">
        <v>7</v>
      </c>
      <c r="I26" s="2601">
        <v>7</v>
      </c>
      <c r="J26" s="2600">
        <v>-1</v>
      </c>
      <c r="K26" s="2598">
        <v>32</v>
      </c>
      <c r="L26" s="2598">
        <v>7</v>
      </c>
    </row>
    <row r="27" spans="1:12" ht="15" customHeight="1" x14ac:dyDescent="0.25">
      <c r="A27" s="2610" t="s">
        <v>700</v>
      </c>
      <c r="B27" s="2597">
        <v>1</v>
      </c>
      <c r="C27" s="2598">
        <v>-1</v>
      </c>
      <c r="D27" s="1502">
        <v>8</v>
      </c>
      <c r="E27" s="2599">
        <v>-1</v>
      </c>
      <c r="F27" s="2598">
        <v>3</v>
      </c>
      <c r="G27" s="2598">
        <v>1</v>
      </c>
      <c r="H27" s="2600">
        <v>3</v>
      </c>
      <c r="I27" s="2601">
        <v>2</v>
      </c>
      <c r="J27" s="2600">
        <v>0</v>
      </c>
      <c r="K27" s="2598">
        <v>6</v>
      </c>
      <c r="L27" s="2598">
        <v>15</v>
      </c>
    </row>
    <row r="28" spans="1:12" ht="15" customHeight="1" x14ac:dyDescent="0.25">
      <c r="A28" s="2610" t="s">
        <v>701</v>
      </c>
      <c r="B28" s="2597">
        <v>9</v>
      </c>
      <c r="C28" s="2598">
        <v>1</v>
      </c>
      <c r="D28" s="1502">
        <v>51</v>
      </c>
      <c r="E28" s="2599">
        <v>57</v>
      </c>
      <c r="F28" s="2598">
        <v>7</v>
      </c>
      <c r="G28" s="2598">
        <v>3</v>
      </c>
      <c r="H28" s="2600">
        <v>2</v>
      </c>
      <c r="I28" s="2601">
        <v>6</v>
      </c>
      <c r="J28" s="2600">
        <v>6</v>
      </c>
      <c r="K28" s="2598">
        <v>69</v>
      </c>
      <c r="L28" s="2598">
        <v>22</v>
      </c>
    </row>
    <row r="29" spans="1:12" ht="15" customHeight="1" x14ac:dyDescent="0.25">
      <c r="A29" s="2610" t="s">
        <v>702</v>
      </c>
      <c r="B29" s="2597">
        <v>0</v>
      </c>
      <c r="C29" s="2598">
        <v>7</v>
      </c>
      <c r="D29" s="1502">
        <v>0</v>
      </c>
      <c r="E29" s="2599">
        <v>-2</v>
      </c>
      <c r="F29" s="2598">
        <v>2</v>
      </c>
      <c r="G29" s="2598">
        <v>8</v>
      </c>
      <c r="H29" s="2600">
        <v>1</v>
      </c>
      <c r="I29" s="2601">
        <v>0</v>
      </c>
      <c r="J29" s="2600">
        <v>0</v>
      </c>
      <c r="K29" s="2598">
        <v>9</v>
      </c>
      <c r="L29" s="2598">
        <v>3</v>
      </c>
    </row>
    <row r="30" spans="1:12" ht="15" customHeight="1" x14ac:dyDescent="0.25">
      <c r="A30" s="2610" t="s">
        <v>483</v>
      </c>
      <c r="B30" s="2597">
        <v>2</v>
      </c>
      <c r="C30" s="2598">
        <v>1</v>
      </c>
      <c r="D30" s="1502">
        <v>3</v>
      </c>
      <c r="E30" s="2599">
        <v>4</v>
      </c>
      <c r="F30" s="2598">
        <v>14</v>
      </c>
      <c r="G30" s="2598">
        <v>14</v>
      </c>
      <c r="H30" s="2600">
        <v>3</v>
      </c>
      <c r="I30" s="2601">
        <v>8</v>
      </c>
      <c r="J30" s="2600">
        <v>4</v>
      </c>
      <c r="K30" s="2598">
        <v>35</v>
      </c>
      <c r="L30" s="2598">
        <v>21</v>
      </c>
    </row>
    <row r="31" spans="1:12" ht="15" customHeight="1" x14ac:dyDescent="0.25">
      <c r="A31" s="2610" t="s">
        <v>807</v>
      </c>
      <c r="B31" s="2597">
        <v>0</v>
      </c>
      <c r="C31" s="2598">
        <v>1</v>
      </c>
      <c r="D31" s="1502">
        <v>0</v>
      </c>
      <c r="E31" s="2599">
        <v>1</v>
      </c>
      <c r="F31" s="2598">
        <v>0</v>
      </c>
      <c r="G31" s="2598">
        <v>0</v>
      </c>
      <c r="H31" s="2600">
        <v>0</v>
      </c>
      <c r="I31" s="2601">
        <v>0</v>
      </c>
      <c r="J31" s="2600">
        <v>0</v>
      </c>
      <c r="K31" s="2598">
        <v>1</v>
      </c>
      <c r="L31" s="2598">
        <v>1</v>
      </c>
    </row>
    <row r="32" spans="1:12" ht="15" customHeight="1" x14ac:dyDescent="0.25">
      <c r="A32" s="2611" t="s">
        <v>808</v>
      </c>
      <c r="B32" s="2612">
        <v>218</v>
      </c>
      <c r="C32" s="2613">
        <v>204</v>
      </c>
      <c r="D32" s="1607">
        <v>176</v>
      </c>
      <c r="E32" s="2614">
        <v>195</v>
      </c>
      <c r="F32" s="2615">
        <v>143</v>
      </c>
      <c r="G32" s="2615">
        <v>129</v>
      </c>
      <c r="H32" s="2616">
        <v>163</v>
      </c>
      <c r="I32" s="2617">
        <v>127</v>
      </c>
      <c r="J32" s="2616">
        <v>97</v>
      </c>
      <c r="K32" s="2613">
        <v>630</v>
      </c>
      <c r="L32" s="2613">
        <v>393</v>
      </c>
    </row>
    <row r="33" spans="1:12" ht="15" customHeight="1" x14ac:dyDescent="0.25">
      <c r="A33" s="2618" t="s">
        <v>840</v>
      </c>
      <c r="B33" s="2619">
        <v>975</v>
      </c>
      <c r="C33" s="2620">
        <v>1052</v>
      </c>
      <c r="D33" s="2621">
        <v>1064</v>
      </c>
      <c r="E33" s="2622">
        <v>1043</v>
      </c>
      <c r="F33" s="2620">
        <v>970</v>
      </c>
      <c r="G33" s="2620">
        <v>975</v>
      </c>
      <c r="H33" s="2623">
        <v>942</v>
      </c>
      <c r="I33" s="2624">
        <v>802</v>
      </c>
      <c r="J33" s="2623">
        <v>738</v>
      </c>
      <c r="K33" s="2620">
        <v>3930</v>
      </c>
      <c r="L33" s="2620">
        <v>2723</v>
      </c>
    </row>
    <row r="34" spans="1:12" ht="15" customHeight="1" x14ac:dyDescent="0.25">
      <c r="A34" s="2625"/>
      <c r="B34" s="2626"/>
      <c r="C34" s="2627"/>
      <c r="D34" s="2628"/>
      <c r="E34" s="2629"/>
      <c r="F34" s="2627"/>
      <c r="G34" s="2627"/>
      <c r="H34" s="2628"/>
      <c r="I34" s="2629"/>
      <c r="J34" s="2628"/>
      <c r="K34" s="2627"/>
      <c r="L34" s="2627"/>
    </row>
    <row r="35" spans="1:12" ht="15" customHeight="1" x14ac:dyDescent="0.25">
      <c r="A35" s="2580" t="s">
        <v>841</v>
      </c>
      <c r="B35" s="2581"/>
      <c r="C35" s="2582"/>
      <c r="D35" s="2628"/>
      <c r="E35" s="2584"/>
      <c r="F35" s="2582"/>
      <c r="G35" s="2582"/>
      <c r="H35" s="2630"/>
      <c r="I35" s="2631"/>
      <c r="J35" s="2630"/>
      <c r="K35" s="2582"/>
      <c r="L35" s="2582"/>
    </row>
    <row r="36" spans="1:12" ht="15" customHeight="1" x14ac:dyDescent="0.25">
      <c r="A36" s="2632" t="s">
        <v>842</v>
      </c>
      <c r="B36" s="2597">
        <v>34</v>
      </c>
      <c r="C36" s="2598">
        <v>222</v>
      </c>
      <c r="D36" s="1502">
        <v>49</v>
      </c>
      <c r="E36" s="2599">
        <v>-39</v>
      </c>
      <c r="F36" s="2598">
        <v>20</v>
      </c>
      <c r="G36" s="2598">
        <v>6</v>
      </c>
      <c r="H36" s="2600">
        <v>-15</v>
      </c>
      <c r="I36" s="2601">
        <v>224</v>
      </c>
      <c r="J36" s="2600">
        <v>30</v>
      </c>
      <c r="K36" s="2598">
        <v>-28</v>
      </c>
      <c r="L36" s="2598">
        <v>276</v>
      </c>
    </row>
    <row r="37" spans="1:12" ht="15" customHeight="1" x14ac:dyDescent="0.25">
      <c r="A37" s="2632" t="s">
        <v>843</v>
      </c>
      <c r="B37" s="2597">
        <v>32</v>
      </c>
      <c r="C37" s="2598">
        <v>124</v>
      </c>
      <c r="D37" s="1502">
        <v>49</v>
      </c>
      <c r="E37" s="2599">
        <v>26</v>
      </c>
      <c r="F37" s="2598">
        <v>62</v>
      </c>
      <c r="G37" s="2598">
        <v>26</v>
      </c>
      <c r="H37" s="2600">
        <v>35</v>
      </c>
      <c r="I37" s="2601">
        <v>230</v>
      </c>
      <c r="J37" s="2600">
        <v>51</v>
      </c>
      <c r="K37" s="2598">
        <v>149</v>
      </c>
      <c r="L37" s="2598">
        <v>423</v>
      </c>
    </row>
    <row r="38" spans="1:12" ht="15" customHeight="1" x14ac:dyDescent="0.25">
      <c r="A38" s="2633" t="s">
        <v>844</v>
      </c>
      <c r="B38" s="2603">
        <v>66</v>
      </c>
      <c r="C38" s="2598">
        <v>346</v>
      </c>
      <c r="D38" s="1502">
        <v>98</v>
      </c>
      <c r="E38" s="2599">
        <v>-13</v>
      </c>
      <c r="F38" s="2598">
        <v>82</v>
      </c>
      <c r="G38" s="2598">
        <v>32</v>
      </c>
      <c r="H38" s="2600">
        <v>20</v>
      </c>
      <c r="I38" s="2601">
        <v>454</v>
      </c>
      <c r="J38" s="2600">
        <v>81</v>
      </c>
      <c r="K38" s="2598">
        <v>121</v>
      </c>
      <c r="L38" s="2598">
        <v>699</v>
      </c>
    </row>
    <row r="39" spans="1:12" ht="15" customHeight="1" x14ac:dyDescent="0.25">
      <c r="A39" s="2634"/>
      <c r="B39" s="2635"/>
      <c r="C39" s="2636"/>
      <c r="D39" s="1659"/>
      <c r="E39" s="2637"/>
      <c r="F39" s="2636"/>
      <c r="G39" s="2636"/>
      <c r="H39" s="2638"/>
      <c r="I39" s="2639"/>
      <c r="J39" s="2638"/>
      <c r="K39" s="2636"/>
      <c r="L39" s="2636"/>
    </row>
    <row r="40" spans="1:12" ht="15" customHeight="1" x14ac:dyDescent="0.25">
      <c r="A40" s="2640" t="s">
        <v>830</v>
      </c>
      <c r="B40" s="2641">
        <v>1041</v>
      </c>
      <c r="C40" s="2642">
        <v>1398</v>
      </c>
      <c r="D40" s="2621">
        <v>1162</v>
      </c>
      <c r="E40" s="2643">
        <v>1030</v>
      </c>
      <c r="F40" s="2642">
        <v>1052</v>
      </c>
      <c r="G40" s="2642">
        <v>1007</v>
      </c>
      <c r="H40" s="2644">
        <v>962</v>
      </c>
      <c r="I40" s="2645">
        <v>1256</v>
      </c>
      <c r="J40" s="2646">
        <v>819</v>
      </c>
      <c r="K40" s="2642">
        <v>4051</v>
      </c>
      <c r="L40" s="2642">
        <v>3422</v>
      </c>
    </row>
    <row r="41" spans="1:12" ht="15" customHeight="1" x14ac:dyDescent="0.25">
      <c r="A41" s="2647"/>
      <c r="B41" s="2215"/>
      <c r="C41" s="2215"/>
      <c r="D41" s="2215"/>
      <c r="E41" s="2215"/>
      <c r="F41" s="2344"/>
      <c r="G41" s="2344"/>
      <c r="H41" s="2344"/>
      <c r="I41" s="2344"/>
      <c r="J41" s="2344"/>
      <c r="K41" s="2648"/>
      <c r="L41" s="2648"/>
    </row>
    <row r="42" spans="1:12" ht="15" customHeight="1" x14ac:dyDescent="0.25">
      <c r="A42" s="3511" t="s">
        <v>787</v>
      </c>
      <c r="B42" s="3511" t="s">
        <v>14</v>
      </c>
      <c r="C42" s="3511" t="s">
        <v>14</v>
      </c>
      <c r="D42" s="3511" t="s">
        <v>14</v>
      </c>
      <c r="E42" s="3511" t="s">
        <v>14</v>
      </c>
      <c r="F42" s="3511" t="s">
        <v>14</v>
      </c>
      <c r="G42" s="3511" t="s">
        <v>14</v>
      </c>
      <c r="H42" s="3511" t="s">
        <v>14</v>
      </c>
      <c r="I42" s="3511" t="s">
        <v>14</v>
      </c>
      <c r="J42" s="3511" t="s">
        <v>14</v>
      </c>
      <c r="K42" s="3511" t="s">
        <v>14</v>
      </c>
      <c r="L42" s="3511" t="s">
        <v>14</v>
      </c>
    </row>
    <row r="43" spans="1:12" ht="15" customHeight="1" x14ac:dyDescent="0.25">
      <c r="A43" s="3511" t="s">
        <v>845</v>
      </c>
      <c r="B43" s="3511" t="s">
        <v>14</v>
      </c>
      <c r="C43" s="3511" t="s">
        <v>14</v>
      </c>
      <c r="D43" s="3511" t="s">
        <v>14</v>
      </c>
      <c r="E43" s="3511" t="s">
        <v>14</v>
      </c>
      <c r="F43" s="3511" t="s">
        <v>14</v>
      </c>
      <c r="G43" s="3511" t="s">
        <v>14</v>
      </c>
      <c r="H43" s="3511" t="s">
        <v>14</v>
      </c>
      <c r="I43" s="3511" t="s">
        <v>14</v>
      </c>
      <c r="J43" s="3511" t="s">
        <v>14</v>
      </c>
      <c r="K43" s="3511" t="s">
        <v>14</v>
      </c>
      <c r="L43" s="3511" t="s">
        <v>14</v>
      </c>
    </row>
    <row r="44" spans="1:12" ht="10.35" customHeight="1" x14ac:dyDescent="0.25">
      <c r="A44" s="3635"/>
      <c r="B44" s="3635" t="s">
        <v>14</v>
      </c>
      <c r="C44" s="3635" t="s">
        <v>14</v>
      </c>
      <c r="D44" s="3635" t="s">
        <v>14</v>
      </c>
      <c r="E44" s="3635" t="s">
        <v>14</v>
      </c>
      <c r="F44" s="3635" t="s">
        <v>14</v>
      </c>
      <c r="G44" s="3635" t="s">
        <v>14</v>
      </c>
      <c r="H44" s="3635" t="s">
        <v>14</v>
      </c>
      <c r="I44" s="3635" t="s">
        <v>14</v>
      </c>
      <c r="J44" s="3635" t="s">
        <v>14</v>
      </c>
      <c r="K44" s="3635" t="s">
        <v>14</v>
      </c>
      <c r="L44" s="3635" t="s">
        <v>14</v>
      </c>
    </row>
    <row r="45" spans="1:12" ht="10.35" customHeight="1" x14ac:dyDescent="0.25">
      <c r="A45" s="3635"/>
      <c r="B45" s="3635" t="s">
        <v>14</v>
      </c>
      <c r="C45" s="3635" t="s">
        <v>14</v>
      </c>
      <c r="D45" s="3635" t="s">
        <v>14</v>
      </c>
      <c r="E45" s="3635" t="s">
        <v>14</v>
      </c>
      <c r="F45" s="3635" t="s">
        <v>14</v>
      </c>
      <c r="G45" s="3635" t="s">
        <v>14</v>
      </c>
      <c r="H45" s="3635" t="s">
        <v>14</v>
      </c>
      <c r="I45" s="3635" t="s">
        <v>14</v>
      </c>
      <c r="J45" s="3635" t="s">
        <v>14</v>
      </c>
      <c r="K45" s="2434"/>
      <c r="L45" s="2649"/>
    </row>
    <row r="46" spans="1:12" ht="10.35" customHeight="1" x14ac:dyDescent="0.25">
      <c r="A46" s="2650"/>
      <c r="B46" s="2651"/>
      <c r="C46" s="2651"/>
      <c r="D46" s="2651"/>
      <c r="E46" s="2651"/>
      <c r="F46" s="2651"/>
      <c r="G46" s="2651"/>
      <c r="H46" s="2651"/>
      <c r="I46" s="2651"/>
      <c r="J46" s="2651"/>
      <c r="K46" s="2651"/>
      <c r="L46" s="2651"/>
    </row>
  </sheetData>
  <mergeCells count="9">
    <mergeCell ref="A43:L43"/>
    <mergeCell ref="A44:L44"/>
    <mergeCell ref="A45:J45"/>
    <mergeCell ref="A2:L2"/>
    <mergeCell ref="B3:D3"/>
    <mergeCell ref="E3:H3"/>
    <mergeCell ref="I3:J3"/>
    <mergeCell ref="K3:L3"/>
    <mergeCell ref="A42:L42"/>
  </mergeCells>
  <hyperlinks>
    <hyperlink ref="A1" location="ToC!A2" display="Back to Table of Contents" xr:uid="{F5029FE6-6448-49E0-AB44-89DC91CCF99B}"/>
  </hyperlinks>
  <pageMargins left="0.5" right="0.5" top="0.5" bottom="0.5" header="0.25" footer="0.25"/>
  <pageSetup scale="76" orientation="landscape" r:id="rId1"/>
  <headerFooter>
    <oddFooter>&amp;L&amp;G&amp;C&amp;"Scotia,Regular"&amp;9Supplementary Financial Information (SFI)&amp;R24&amp;"Scotia,Regular"&amp;7</oddFooter>
  </headerFooter>
  <ignoredErrors>
    <ignoredError sqref="B3:L3 K4" numberStoredAsText="1"/>
  </ignoredErrors>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4BF8-2B3F-4D43-A680-317AF5438DAE}">
  <sheetPr>
    <pageSetUpPr fitToPage="1"/>
  </sheetPr>
  <dimension ref="A1:J12"/>
  <sheetViews>
    <sheetView showGridLines="0" zoomScaleNormal="100" workbookViewId="0"/>
  </sheetViews>
  <sheetFormatPr defaultColWidth="8.77734375" defaultRowHeight="13.2" x14ac:dyDescent="0.25"/>
  <cols>
    <col min="1" max="1" width="66.44140625" style="22" customWidth="1"/>
    <col min="2" max="10" width="11.77734375" style="22" customWidth="1"/>
    <col min="11" max="16384" width="8.77734375" style="22"/>
  </cols>
  <sheetData>
    <row r="1" spans="1:10" ht="19.95" customHeight="1" x14ac:dyDescent="0.25">
      <c r="A1" s="21" t="s">
        <v>12</v>
      </c>
    </row>
    <row r="2" spans="1:10" ht="25.05" customHeight="1" x14ac:dyDescent="0.25">
      <c r="A2" s="3644" t="s">
        <v>846</v>
      </c>
      <c r="B2" s="3644" t="s">
        <v>14</v>
      </c>
      <c r="C2" s="3644" t="s">
        <v>14</v>
      </c>
      <c r="D2" s="3644" t="s">
        <v>14</v>
      </c>
      <c r="E2" s="3644" t="s">
        <v>14</v>
      </c>
      <c r="F2" s="3644" t="s">
        <v>14</v>
      </c>
      <c r="G2" s="3644" t="s">
        <v>14</v>
      </c>
      <c r="H2" s="3644" t="s">
        <v>14</v>
      </c>
      <c r="I2" s="3644" t="s">
        <v>14</v>
      </c>
      <c r="J2" s="3644" t="s">
        <v>14</v>
      </c>
    </row>
    <row r="3" spans="1:10" ht="20.100000000000001" customHeight="1" x14ac:dyDescent="0.25">
      <c r="A3" s="2652"/>
      <c r="B3" s="3645" t="s">
        <v>172</v>
      </c>
      <c r="C3" s="3645" t="s">
        <v>14</v>
      </c>
      <c r="D3" s="3646" t="s">
        <v>14</v>
      </c>
      <c r="E3" s="3647" t="s">
        <v>343</v>
      </c>
      <c r="F3" s="3648" t="s">
        <v>14</v>
      </c>
      <c r="G3" s="3648" t="s">
        <v>14</v>
      </c>
      <c r="H3" s="3649" t="s">
        <v>14</v>
      </c>
      <c r="I3" s="3650" t="s">
        <v>344</v>
      </c>
      <c r="J3" s="3648" t="s">
        <v>14</v>
      </c>
    </row>
    <row r="4" spans="1:10" ht="20.100000000000001" customHeight="1" x14ac:dyDescent="0.25">
      <c r="A4" s="2653" t="s">
        <v>558</v>
      </c>
      <c r="B4" s="2654" t="s">
        <v>176</v>
      </c>
      <c r="C4" s="2655" t="s">
        <v>177</v>
      </c>
      <c r="D4" s="2656" t="s">
        <v>178</v>
      </c>
      <c r="E4" s="2657" t="s">
        <v>179</v>
      </c>
      <c r="F4" s="2658" t="s">
        <v>180</v>
      </c>
      <c r="G4" s="2655" t="s">
        <v>177</v>
      </c>
      <c r="H4" s="2659" t="s">
        <v>178</v>
      </c>
      <c r="I4" s="2660" t="s">
        <v>179</v>
      </c>
      <c r="J4" s="2658" t="s">
        <v>180</v>
      </c>
    </row>
    <row r="5" spans="1:10" ht="40.049999999999997" customHeight="1" x14ac:dyDescent="0.25">
      <c r="A5" s="2661" t="s">
        <v>847</v>
      </c>
      <c r="B5" s="2662"/>
      <c r="C5" s="2663"/>
      <c r="D5" s="2664"/>
      <c r="E5" s="2665"/>
      <c r="F5" s="2666"/>
      <c r="G5" s="2663"/>
      <c r="H5" s="2664"/>
      <c r="I5" s="2665"/>
      <c r="J5" s="2666"/>
    </row>
    <row r="6" spans="1:10" ht="30" customHeight="1" x14ac:dyDescent="0.25">
      <c r="A6" s="2667" t="s">
        <v>848</v>
      </c>
      <c r="B6" s="2668">
        <v>-426</v>
      </c>
      <c r="C6" s="2669">
        <v>15</v>
      </c>
      <c r="D6" s="2670">
        <v>-756</v>
      </c>
      <c r="E6" s="2671">
        <v>-713</v>
      </c>
      <c r="F6" s="2672">
        <v>-734</v>
      </c>
      <c r="G6" s="2672">
        <v>-2120</v>
      </c>
      <c r="H6" s="2673">
        <v>-1014</v>
      </c>
      <c r="I6" s="2674">
        <v>-2450</v>
      </c>
      <c r="J6" s="2672">
        <v>-1984</v>
      </c>
    </row>
    <row r="7" spans="1:10" ht="30" customHeight="1" x14ac:dyDescent="0.25">
      <c r="A7" s="2667" t="s">
        <v>849</v>
      </c>
      <c r="B7" s="2668">
        <v>26</v>
      </c>
      <c r="C7" s="2669">
        <v>56</v>
      </c>
      <c r="D7" s="2670">
        <v>-164</v>
      </c>
      <c r="E7" s="2671">
        <v>-219</v>
      </c>
      <c r="F7" s="2672">
        <v>-304</v>
      </c>
      <c r="G7" s="2672">
        <v>-587</v>
      </c>
      <c r="H7" s="2673">
        <v>-332</v>
      </c>
      <c r="I7" s="2674">
        <v>-845</v>
      </c>
      <c r="J7" s="2672">
        <v>-597</v>
      </c>
    </row>
    <row r="8" spans="1:10" ht="30" customHeight="1" x14ac:dyDescent="0.25">
      <c r="A8" s="2667" t="s">
        <v>850</v>
      </c>
      <c r="B8" s="2668">
        <v>64</v>
      </c>
      <c r="C8" s="2669">
        <v>282</v>
      </c>
      <c r="D8" s="2670">
        <v>124</v>
      </c>
      <c r="E8" s="2671">
        <v>10</v>
      </c>
      <c r="F8" s="2672">
        <v>-23</v>
      </c>
      <c r="G8" s="2672">
        <v>-510</v>
      </c>
      <c r="H8" s="2673">
        <v>-209</v>
      </c>
      <c r="I8" s="2674">
        <v>-613</v>
      </c>
      <c r="J8" s="2672">
        <v>-493</v>
      </c>
    </row>
    <row r="9" spans="1:10" ht="30" customHeight="1" x14ac:dyDescent="0.25">
      <c r="A9" s="2675" t="s">
        <v>851</v>
      </c>
      <c r="B9" s="2334">
        <v>203</v>
      </c>
      <c r="C9" s="2676">
        <v>154</v>
      </c>
      <c r="D9" s="2677">
        <v>106</v>
      </c>
      <c r="E9" s="2678">
        <v>641</v>
      </c>
      <c r="F9" s="2679">
        <v>503</v>
      </c>
      <c r="G9" s="2679">
        <v>378</v>
      </c>
      <c r="H9" s="2673">
        <v>475</v>
      </c>
      <c r="I9" s="2680">
        <v>217</v>
      </c>
      <c r="J9" s="2679">
        <v>331</v>
      </c>
    </row>
    <row r="10" spans="1:10" ht="40.049999999999997" customHeight="1" x14ac:dyDescent="0.25">
      <c r="A10" s="2681" t="s">
        <v>852</v>
      </c>
      <c r="B10" s="2682">
        <v>-133</v>
      </c>
      <c r="C10" s="2683">
        <v>507</v>
      </c>
      <c r="D10" s="2684">
        <v>-690</v>
      </c>
      <c r="E10" s="2685">
        <v>-281</v>
      </c>
      <c r="F10" s="2686">
        <v>-558</v>
      </c>
      <c r="G10" s="2683">
        <v>-2839</v>
      </c>
      <c r="H10" s="2687">
        <v>-1080</v>
      </c>
      <c r="I10" s="2688">
        <v>-3691</v>
      </c>
      <c r="J10" s="2686">
        <v>-2743</v>
      </c>
    </row>
    <row r="11" spans="1:10" ht="40.049999999999997" customHeight="1" x14ac:dyDescent="0.25">
      <c r="A11" s="2689" t="s">
        <v>853</v>
      </c>
      <c r="B11" s="2690">
        <v>-26</v>
      </c>
      <c r="C11" s="2691">
        <v>-958</v>
      </c>
      <c r="D11" s="2692">
        <v>84</v>
      </c>
      <c r="E11" s="2693">
        <v>177</v>
      </c>
      <c r="F11" s="2694">
        <v>369</v>
      </c>
      <c r="G11" s="2694">
        <v>2185</v>
      </c>
      <c r="H11" s="2695">
        <v>799</v>
      </c>
      <c r="I11" s="2696">
        <v>2314</v>
      </c>
      <c r="J11" s="2694">
        <v>1832</v>
      </c>
    </row>
    <row r="12" spans="1:10" ht="40.049999999999997" customHeight="1" x14ac:dyDescent="0.25">
      <c r="A12" s="2697" t="s">
        <v>854</v>
      </c>
      <c r="B12" s="2698">
        <v>-159</v>
      </c>
      <c r="C12" s="2699">
        <v>-451</v>
      </c>
      <c r="D12" s="2700">
        <v>-606</v>
      </c>
      <c r="E12" s="2701">
        <v>-104</v>
      </c>
      <c r="F12" s="2699">
        <v>-189</v>
      </c>
      <c r="G12" s="2699">
        <v>-654</v>
      </c>
      <c r="H12" s="2702">
        <v>-281</v>
      </c>
      <c r="I12" s="2703">
        <v>-1377</v>
      </c>
      <c r="J12" s="2699">
        <v>-911</v>
      </c>
    </row>
  </sheetData>
  <mergeCells count="4">
    <mergeCell ref="A2:J2"/>
    <mergeCell ref="B3:D3"/>
    <mergeCell ref="E3:H3"/>
    <mergeCell ref="I3:J3"/>
  </mergeCells>
  <hyperlinks>
    <hyperlink ref="A1" location="ToC!A2" display="Back to Table of Contents" xr:uid="{FA5362F6-45E1-45F1-AD7E-0DC51C894605}"/>
  </hyperlinks>
  <pageMargins left="0.5" right="0.5" top="0.5" bottom="0.5" header="0.25" footer="0.25"/>
  <pageSetup scale="74" orientation="landscape" r:id="rId1"/>
  <headerFooter>
    <oddFooter>&amp;L&amp;G&amp;C&amp;"Scotia,Regular"&amp;9Supplementary Financial Information (SFI)&amp;R25&amp;"Scotia,Regular"&amp;7</oddFooter>
  </headerFooter>
  <ignoredErrors>
    <ignoredError sqref="B3:J3" numberStoredAsText="1"/>
  </ignoredErrors>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6A8F-9496-4DAD-8C0B-AC0AE4F86038}">
  <sheetPr>
    <pageSetUpPr fitToPage="1"/>
  </sheetPr>
  <dimension ref="A1:J38"/>
  <sheetViews>
    <sheetView showGridLines="0" zoomScaleNormal="100" workbookViewId="0"/>
  </sheetViews>
  <sheetFormatPr defaultColWidth="8.77734375" defaultRowHeight="13.2" x14ac:dyDescent="0.25"/>
  <cols>
    <col min="1" max="1" width="88.77734375" style="22" customWidth="1"/>
    <col min="2" max="10" width="13.5546875" style="22" customWidth="1"/>
    <col min="11" max="16384" width="8.77734375" style="22"/>
  </cols>
  <sheetData>
    <row r="1" spans="1:10" ht="19.95" customHeight="1" x14ac:dyDescent="0.25">
      <c r="A1" s="21" t="s">
        <v>12</v>
      </c>
    </row>
    <row r="2" spans="1:10" ht="25.05" customHeight="1" x14ac:dyDescent="0.25">
      <c r="A2" s="3651" t="s">
        <v>855</v>
      </c>
      <c r="B2" s="3651" t="s">
        <v>14</v>
      </c>
      <c r="C2" s="3651" t="s">
        <v>14</v>
      </c>
      <c r="D2" s="3651" t="s">
        <v>14</v>
      </c>
      <c r="E2" s="3651" t="s">
        <v>14</v>
      </c>
      <c r="F2" s="3651" t="s">
        <v>14</v>
      </c>
      <c r="G2" s="3651" t="s">
        <v>14</v>
      </c>
      <c r="H2" s="3651" t="s">
        <v>14</v>
      </c>
      <c r="I2" s="3651" t="s">
        <v>14</v>
      </c>
      <c r="J2" s="3651" t="s">
        <v>14</v>
      </c>
    </row>
    <row r="3" spans="1:10" ht="20.100000000000001" customHeight="1" x14ac:dyDescent="0.25">
      <c r="A3" s="2704"/>
      <c r="B3" s="3652" t="s">
        <v>172</v>
      </c>
      <c r="C3" s="3652" t="s">
        <v>14</v>
      </c>
      <c r="D3" s="3653" t="s">
        <v>14</v>
      </c>
      <c r="E3" s="3654">
        <v>2024</v>
      </c>
      <c r="F3" s="3655" t="s">
        <v>14</v>
      </c>
      <c r="G3" s="3655" t="s">
        <v>14</v>
      </c>
      <c r="H3" s="3656" t="s">
        <v>14</v>
      </c>
      <c r="I3" s="3657">
        <v>2023</v>
      </c>
      <c r="J3" s="3655" t="s">
        <v>14</v>
      </c>
    </row>
    <row r="4" spans="1:10" ht="20.100000000000001" customHeight="1" x14ac:dyDescent="0.25">
      <c r="A4" s="2705" t="s">
        <v>558</v>
      </c>
      <c r="B4" s="2706" t="s">
        <v>176</v>
      </c>
      <c r="C4" s="2707" t="s">
        <v>177</v>
      </c>
      <c r="D4" s="2708" t="s">
        <v>178</v>
      </c>
      <c r="E4" s="2709" t="s">
        <v>179</v>
      </c>
      <c r="F4" s="2707" t="s">
        <v>180</v>
      </c>
      <c r="G4" s="2707" t="s">
        <v>177</v>
      </c>
      <c r="H4" s="2710" t="s">
        <v>178</v>
      </c>
      <c r="I4" s="2711" t="s">
        <v>179</v>
      </c>
      <c r="J4" s="2707" t="s">
        <v>180</v>
      </c>
    </row>
    <row r="5" spans="1:10" ht="20.100000000000001" customHeight="1" x14ac:dyDescent="0.25">
      <c r="A5" s="2712" t="s">
        <v>856</v>
      </c>
      <c r="B5" s="2713">
        <v>61591</v>
      </c>
      <c r="C5" s="2714">
        <v>60425</v>
      </c>
      <c r="D5" s="2715">
        <v>60294</v>
      </c>
      <c r="E5" s="2716">
        <v>60631</v>
      </c>
      <c r="F5" s="2717">
        <v>60432</v>
      </c>
      <c r="G5" s="2717">
        <v>59403</v>
      </c>
      <c r="H5" s="1575">
        <v>58060</v>
      </c>
      <c r="I5" s="2718">
        <v>57041</v>
      </c>
      <c r="J5" s="2719">
        <v>55832</v>
      </c>
    </row>
    <row r="6" spans="1:10" ht="20.100000000000001" customHeight="1" x14ac:dyDescent="0.25">
      <c r="A6" s="2720" t="s">
        <v>857</v>
      </c>
      <c r="B6" s="2713">
        <v>70225</v>
      </c>
      <c r="C6" s="2721">
        <v>70740</v>
      </c>
      <c r="D6" s="2722">
        <v>70592</v>
      </c>
      <c r="E6" s="2723">
        <v>69499</v>
      </c>
      <c r="F6" s="2724">
        <v>69299</v>
      </c>
      <c r="G6" s="2724">
        <v>68282</v>
      </c>
      <c r="H6" s="1499">
        <v>66952</v>
      </c>
      <c r="I6" s="2725">
        <v>65223</v>
      </c>
      <c r="J6" s="2726">
        <v>64016</v>
      </c>
    </row>
    <row r="7" spans="1:10" ht="20.100000000000001" customHeight="1" x14ac:dyDescent="0.25">
      <c r="A7" s="2720" t="s">
        <v>858</v>
      </c>
      <c r="B7" s="2713">
        <v>78208</v>
      </c>
      <c r="C7" s="2721">
        <v>78682</v>
      </c>
      <c r="D7" s="2722">
        <v>78622</v>
      </c>
      <c r="E7" s="2723">
        <v>77708</v>
      </c>
      <c r="F7" s="2724">
        <v>77411</v>
      </c>
      <c r="G7" s="2724">
        <v>76789</v>
      </c>
      <c r="H7" s="1499">
        <v>75401</v>
      </c>
      <c r="I7" s="2725">
        <v>75651</v>
      </c>
      <c r="J7" s="2726">
        <v>74332</v>
      </c>
    </row>
    <row r="8" spans="1:10" ht="20.100000000000001" customHeight="1" x14ac:dyDescent="0.25">
      <c r="A8" s="2720" t="s">
        <v>859</v>
      </c>
      <c r="B8" s="2713">
        <v>134627</v>
      </c>
      <c r="C8" s="2721">
        <v>139119</v>
      </c>
      <c r="D8" s="2722">
        <v>135010</v>
      </c>
      <c r="E8" s="2723">
        <v>137752</v>
      </c>
      <c r="F8" s="2724">
        <v>131832</v>
      </c>
      <c r="G8" s="2724">
        <v>129939</v>
      </c>
      <c r="H8" s="1499">
        <v>130445</v>
      </c>
      <c r="I8" s="2725">
        <v>134504</v>
      </c>
      <c r="J8" s="2726">
        <v>134207</v>
      </c>
    </row>
    <row r="9" spans="1:10" ht="20.100000000000001" customHeight="1" x14ac:dyDescent="0.25">
      <c r="A9" s="2727"/>
      <c r="B9" s="2728"/>
      <c r="C9" s="2729"/>
      <c r="D9" s="2730"/>
      <c r="E9" s="2731"/>
      <c r="F9" s="2732"/>
      <c r="G9" s="2732"/>
      <c r="H9" s="1752"/>
      <c r="I9" s="2733"/>
      <c r="J9" s="2734"/>
    </row>
    <row r="10" spans="1:10" ht="20.100000000000001" customHeight="1" x14ac:dyDescent="0.25">
      <c r="A10" s="2720" t="s">
        <v>860</v>
      </c>
      <c r="B10" s="2728"/>
      <c r="C10" s="2729"/>
      <c r="D10" s="2730"/>
      <c r="E10" s="2731"/>
      <c r="F10" s="2732"/>
      <c r="G10" s="2732"/>
      <c r="H10" s="1752"/>
      <c r="I10" s="2733"/>
      <c r="J10" s="2734"/>
    </row>
    <row r="11" spans="1:10" ht="20.100000000000001" customHeight="1" x14ac:dyDescent="0.25">
      <c r="A11" s="2735" t="s">
        <v>861</v>
      </c>
      <c r="B11" s="2713">
        <v>463484</v>
      </c>
      <c r="C11" s="2721">
        <v>458989</v>
      </c>
      <c r="D11" s="2722">
        <v>468124</v>
      </c>
      <c r="E11" s="2723">
        <v>463992</v>
      </c>
      <c r="F11" s="2724">
        <v>453658</v>
      </c>
      <c r="G11" s="2724">
        <v>450191</v>
      </c>
      <c r="H11" s="1499">
        <v>451018</v>
      </c>
      <c r="I11" s="2725">
        <v>440017</v>
      </c>
      <c r="J11" s="2726">
        <v>439814</v>
      </c>
    </row>
    <row r="12" spans="1:10" ht="20.100000000000001" customHeight="1" x14ac:dyDescent="0.25">
      <c r="A12" s="2735"/>
      <c r="B12" s="2728"/>
      <c r="C12" s="2729"/>
      <c r="D12" s="2730"/>
      <c r="E12" s="2731"/>
      <c r="F12" s="2732"/>
      <c r="G12" s="2732"/>
      <c r="H12" s="1752"/>
      <c r="I12" s="2733"/>
      <c r="J12" s="2734"/>
    </row>
    <row r="13" spans="1:10" ht="20.100000000000001" customHeight="1" x14ac:dyDescent="0.25">
      <c r="A13" s="2720" t="s">
        <v>862</v>
      </c>
      <c r="B13" s="2728"/>
      <c r="C13" s="2729"/>
      <c r="D13" s="2730"/>
      <c r="E13" s="2731"/>
      <c r="F13" s="2732"/>
      <c r="G13" s="2732"/>
      <c r="H13" s="1752"/>
      <c r="I13" s="2733"/>
      <c r="J13" s="2734"/>
    </row>
    <row r="14" spans="1:10" ht="20.100000000000001" customHeight="1" x14ac:dyDescent="0.25">
      <c r="A14" s="2735" t="s">
        <v>863</v>
      </c>
      <c r="B14" s="2736">
        <v>13.3</v>
      </c>
      <c r="C14" s="2737">
        <v>13.2</v>
      </c>
      <c r="D14" s="2738">
        <v>12.9</v>
      </c>
      <c r="E14" s="2739">
        <v>13.1</v>
      </c>
      <c r="F14" s="2740">
        <v>13.3</v>
      </c>
      <c r="G14" s="2740">
        <v>13.2</v>
      </c>
      <c r="H14" s="2741">
        <v>12.9</v>
      </c>
      <c r="I14" s="2742">
        <v>13</v>
      </c>
      <c r="J14" s="2743">
        <v>12.7</v>
      </c>
    </row>
    <row r="15" spans="1:10" ht="20.100000000000001" customHeight="1" x14ac:dyDescent="0.25">
      <c r="A15" s="2735" t="s">
        <v>864</v>
      </c>
      <c r="B15" s="2736">
        <v>15.2</v>
      </c>
      <c r="C15" s="2737">
        <v>15.4</v>
      </c>
      <c r="D15" s="2738">
        <v>15.1</v>
      </c>
      <c r="E15" s="2739">
        <v>15</v>
      </c>
      <c r="F15" s="2740">
        <v>15.3</v>
      </c>
      <c r="G15" s="2740">
        <v>15.2</v>
      </c>
      <c r="H15" s="2741">
        <v>14.8</v>
      </c>
      <c r="I15" s="2742">
        <v>14.8</v>
      </c>
      <c r="J15" s="2743">
        <v>14.6</v>
      </c>
    </row>
    <row r="16" spans="1:10" ht="20.100000000000001" customHeight="1" x14ac:dyDescent="0.25">
      <c r="A16" s="2735" t="s">
        <v>865</v>
      </c>
      <c r="B16" s="2736">
        <v>16.899999999999999</v>
      </c>
      <c r="C16" s="2737">
        <v>17.100000000000001</v>
      </c>
      <c r="D16" s="2738">
        <v>16.8</v>
      </c>
      <c r="E16" s="2739">
        <v>16.7</v>
      </c>
      <c r="F16" s="2740">
        <v>17.100000000000001</v>
      </c>
      <c r="G16" s="2740">
        <v>17.100000000000001</v>
      </c>
      <c r="H16" s="2741">
        <v>16.7</v>
      </c>
      <c r="I16" s="2742">
        <v>17.2</v>
      </c>
      <c r="J16" s="2743">
        <v>16.899999999999999</v>
      </c>
    </row>
    <row r="17" spans="1:10" ht="20.100000000000001" customHeight="1" x14ac:dyDescent="0.25">
      <c r="A17" s="2735" t="s">
        <v>866</v>
      </c>
      <c r="B17" s="2736">
        <v>29</v>
      </c>
      <c r="C17" s="2737">
        <v>30.3</v>
      </c>
      <c r="D17" s="2738">
        <v>28.8</v>
      </c>
      <c r="E17" s="2739">
        <v>29.7</v>
      </c>
      <c r="F17" s="2740">
        <v>29.1</v>
      </c>
      <c r="G17" s="2740">
        <v>28.9</v>
      </c>
      <c r="H17" s="2741">
        <v>28.9</v>
      </c>
      <c r="I17" s="2742">
        <v>30.6</v>
      </c>
      <c r="J17" s="2743">
        <v>30.5</v>
      </c>
    </row>
    <row r="18" spans="1:10" ht="20.100000000000001" customHeight="1" x14ac:dyDescent="0.25">
      <c r="A18" s="2735"/>
      <c r="B18" s="2744"/>
      <c r="C18" s="2745"/>
      <c r="D18" s="2746"/>
      <c r="E18" s="2747"/>
      <c r="F18" s="2748"/>
      <c r="G18" s="2748"/>
      <c r="H18" s="2749"/>
      <c r="I18" s="2750"/>
      <c r="J18" s="2751"/>
    </row>
    <row r="19" spans="1:10" ht="20.100000000000001" customHeight="1" x14ac:dyDescent="0.25">
      <c r="A19" s="2720" t="s">
        <v>867</v>
      </c>
      <c r="B19" s="2728"/>
      <c r="C19" s="2729"/>
      <c r="D19" s="2730"/>
      <c r="E19" s="2731"/>
      <c r="F19" s="2732"/>
      <c r="G19" s="2732"/>
      <c r="H19" s="1752"/>
      <c r="I19" s="2733"/>
      <c r="J19" s="2734"/>
    </row>
    <row r="20" spans="1:10" ht="20.100000000000001" customHeight="1" x14ac:dyDescent="0.25">
      <c r="A20" s="2735" t="s">
        <v>868</v>
      </c>
      <c r="B20" s="2752">
        <v>1573879</v>
      </c>
      <c r="C20" s="2721">
        <v>1568491</v>
      </c>
      <c r="D20" s="2722">
        <v>1586812</v>
      </c>
      <c r="E20" s="2723">
        <v>1563140</v>
      </c>
      <c r="F20" s="2724">
        <v>1556455</v>
      </c>
      <c r="G20" s="2724">
        <v>1555486</v>
      </c>
      <c r="H20" s="1499">
        <v>1547503</v>
      </c>
      <c r="I20" s="2725">
        <v>1562963</v>
      </c>
      <c r="J20" s="2726">
        <v>1551344</v>
      </c>
    </row>
    <row r="21" spans="1:10" ht="20.100000000000001" customHeight="1" x14ac:dyDescent="0.25">
      <c r="A21" s="2735" t="s">
        <v>869</v>
      </c>
      <c r="B21" s="2736">
        <v>4.5</v>
      </c>
      <c r="C21" s="2737">
        <v>4.5</v>
      </c>
      <c r="D21" s="2738">
        <v>4.4000000000000004</v>
      </c>
      <c r="E21" s="2739">
        <v>4.4000000000000004</v>
      </c>
      <c r="F21" s="2740">
        <v>4.5</v>
      </c>
      <c r="G21" s="2740">
        <v>4.4000000000000004</v>
      </c>
      <c r="H21" s="2741">
        <v>4.3</v>
      </c>
      <c r="I21" s="2742">
        <v>4.2</v>
      </c>
      <c r="J21" s="2743">
        <v>4.0999999999999996</v>
      </c>
    </row>
    <row r="22" spans="1:10" ht="20.100000000000001" customHeight="1" x14ac:dyDescent="0.25">
      <c r="A22" s="2735" t="s">
        <v>870</v>
      </c>
      <c r="B22" s="2736">
        <v>8.6</v>
      </c>
      <c r="C22" s="2737">
        <v>8.9</v>
      </c>
      <c r="D22" s="2738">
        <v>8.5</v>
      </c>
      <c r="E22" s="2739">
        <v>8.8000000000000007</v>
      </c>
      <c r="F22" s="2740">
        <v>8.5</v>
      </c>
      <c r="G22" s="2740">
        <v>8.4</v>
      </c>
      <c r="H22" s="2741">
        <v>8.4</v>
      </c>
      <c r="I22" s="2742">
        <v>8.6</v>
      </c>
      <c r="J22" s="2743">
        <v>8.6999999999999993</v>
      </c>
    </row>
    <row r="23" spans="1:10" ht="20.100000000000001" customHeight="1" x14ac:dyDescent="0.25">
      <c r="A23" s="2735"/>
      <c r="B23" s="2744"/>
      <c r="C23" s="2745"/>
      <c r="D23" s="2746"/>
      <c r="E23" s="2747"/>
      <c r="F23" s="2748"/>
      <c r="G23" s="2748"/>
      <c r="H23" s="2749"/>
      <c r="I23" s="2750"/>
      <c r="J23" s="2751"/>
    </row>
    <row r="24" spans="1:10" ht="20.100000000000001" customHeight="1" x14ac:dyDescent="0.25">
      <c r="A24" s="2720" t="s">
        <v>871</v>
      </c>
      <c r="B24" s="2728"/>
      <c r="C24" s="2729"/>
      <c r="D24" s="2730"/>
      <c r="E24" s="2731"/>
      <c r="F24" s="2732"/>
      <c r="G24" s="2732"/>
      <c r="H24" s="1752"/>
      <c r="I24" s="2733"/>
      <c r="J24" s="2734"/>
    </row>
    <row r="25" spans="1:10" ht="20.100000000000001" customHeight="1" x14ac:dyDescent="0.25">
      <c r="A25" s="2735" t="s">
        <v>872</v>
      </c>
      <c r="B25" s="2736">
        <v>8</v>
      </c>
      <c r="C25" s="2737">
        <v>8</v>
      </c>
      <c r="D25" s="2738">
        <v>8</v>
      </c>
      <c r="E25" s="2739">
        <v>8</v>
      </c>
      <c r="F25" s="2740">
        <v>8</v>
      </c>
      <c r="G25" s="2740">
        <v>8</v>
      </c>
      <c r="H25" s="2741">
        <v>8</v>
      </c>
      <c r="I25" s="2742">
        <v>8</v>
      </c>
      <c r="J25" s="2743">
        <v>8</v>
      </c>
    </row>
    <row r="26" spans="1:10" ht="20.100000000000001" customHeight="1" x14ac:dyDescent="0.25">
      <c r="A26" s="2735" t="s">
        <v>873</v>
      </c>
      <c r="B26" s="2736">
        <v>9.5</v>
      </c>
      <c r="C26" s="2737">
        <v>9.5</v>
      </c>
      <c r="D26" s="2738">
        <v>9.5</v>
      </c>
      <c r="E26" s="2739">
        <v>9.5</v>
      </c>
      <c r="F26" s="2740">
        <v>9.5</v>
      </c>
      <c r="G26" s="2740">
        <v>9.5</v>
      </c>
      <c r="H26" s="2741">
        <v>9.5</v>
      </c>
      <c r="I26" s="2742">
        <v>9.5</v>
      </c>
      <c r="J26" s="2743">
        <v>9.5</v>
      </c>
    </row>
    <row r="27" spans="1:10" ht="20.100000000000001" customHeight="1" x14ac:dyDescent="0.25">
      <c r="A27" s="2735" t="s">
        <v>874</v>
      </c>
      <c r="B27" s="2736">
        <v>11.5</v>
      </c>
      <c r="C27" s="2737">
        <v>11.5</v>
      </c>
      <c r="D27" s="2738">
        <v>11.5</v>
      </c>
      <c r="E27" s="2739">
        <v>11.5</v>
      </c>
      <c r="F27" s="2740">
        <v>11.5</v>
      </c>
      <c r="G27" s="2740">
        <v>11.5</v>
      </c>
      <c r="H27" s="2741">
        <v>11.5</v>
      </c>
      <c r="I27" s="2742">
        <v>11.5</v>
      </c>
      <c r="J27" s="2743">
        <v>11.5</v>
      </c>
    </row>
    <row r="28" spans="1:10" ht="20.100000000000001" customHeight="1" x14ac:dyDescent="0.25">
      <c r="A28" s="2735" t="s">
        <v>875</v>
      </c>
      <c r="B28" s="2736">
        <v>3.5</v>
      </c>
      <c r="C28" s="2737">
        <v>3.5</v>
      </c>
      <c r="D28" s="2738">
        <v>3.5</v>
      </c>
      <c r="E28" s="2739">
        <v>3.5</v>
      </c>
      <c r="F28" s="2740">
        <v>3.5</v>
      </c>
      <c r="G28" s="2740">
        <v>3.5</v>
      </c>
      <c r="H28" s="2741">
        <v>3.5</v>
      </c>
      <c r="I28" s="2742">
        <v>3.5</v>
      </c>
      <c r="J28" s="2743">
        <v>3.5</v>
      </c>
    </row>
    <row r="29" spans="1:10" ht="20.100000000000001" customHeight="1" x14ac:dyDescent="0.25">
      <c r="A29" s="2735" t="s">
        <v>876</v>
      </c>
      <c r="B29" s="2736">
        <v>21.5</v>
      </c>
      <c r="C29" s="2737">
        <v>21.5</v>
      </c>
      <c r="D29" s="2738">
        <v>21.5</v>
      </c>
      <c r="E29" s="2739">
        <v>21.5</v>
      </c>
      <c r="F29" s="2740">
        <v>21.5</v>
      </c>
      <c r="G29" s="2740">
        <v>21.5</v>
      </c>
      <c r="H29" s="2741">
        <v>21.5</v>
      </c>
      <c r="I29" s="2742">
        <v>21.5</v>
      </c>
      <c r="J29" s="2743">
        <v>21.5</v>
      </c>
    </row>
    <row r="30" spans="1:10" ht="20.100000000000001" customHeight="1" x14ac:dyDescent="0.25">
      <c r="A30" s="2735" t="s">
        <v>877</v>
      </c>
      <c r="B30" s="2753">
        <v>7.25</v>
      </c>
      <c r="C30" s="2754">
        <v>7.25</v>
      </c>
      <c r="D30" s="2755">
        <v>7.25</v>
      </c>
      <c r="E30" s="2756">
        <v>7.25</v>
      </c>
      <c r="F30" s="2757">
        <v>7.25</v>
      </c>
      <c r="G30" s="2757">
        <v>7.25</v>
      </c>
      <c r="H30" s="2758">
        <v>7.25</v>
      </c>
      <c r="I30" s="2759">
        <v>7.25</v>
      </c>
      <c r="J30" s="2760">
        <v>7.25</v>
      </c>
    </row>
    <row r="31" spans="1:10" ht="20.100000000000001" customHeight="1" x14ac:dyDescent="0.25">
      <c r="A31" s="2761"/>
      <c r="B31" s="2762"/>
      <c r="C31" s="2763"/>
      <c r="D31" s="1556"/>
      <c r="E31" s="2764"/>
      <c r="F31" s="2763"/>
      <c r="G31" s="2763"/>
      <c r="H31" s="1556"/>
      <c r="I31" s="2765"/>
      <c r="J31" s="2766"/>
    </row>
    <row r="32" spans="1:10" ht="20.100000000000001" customHeight="1" x14ac:dyDescent="0.25">
      <c r="A32" s="2767"/>
      <c r="B32" s="2768"/>
      <c r="C32" s="2768"/>
      <c r="D32" s="2768"/>
      <c r="E32" s="2768"/>
      <c r="F32" s="2768"/>
      <c r="G32" s="2768"/>
      <c r="H32" s="2768"/>
      <c r="I32" s="2768"/>
      <c r="J32" s="2768"/>
    </row>
    <row r="33" spans="1:10" ht="16.05" customHeight="1" x14ac:dyDescent="0.25">
      <c r="A33" s="3511" t="s">
        <v>878</v>
      </c>
      <c r="B33" s="3511" t="s">
        <v>14</v>
      </c>
      <c r="C33" s="3511" t="s">
        <v>14</v>
      </c>
      <c r="D33" s="3511" t="s">
        <v>14</v>
      </c>
      <c r="E33" s="3511" t="s">
        <v>14</v>
      </c>
      <c r="F33" s="3511" t="s">
        <v>14</v>
      </c>
      <c r="G33" s="3511" t="s">
        <v>14</v>
      </c>
      <c r="H33" s="3511" t="s">
        <v>14</v>
      </c>
      <c r="I33" s="3511" t="s">
        <v>14</v>
      </c>
      <c r="J33" s="3511" t="s">
        <v>14</v>
      </c>
    </row>
    <row r="34" spans="1:10" ht="24" customHeight="1" x14ac:dyDescent="0.25">
      <c r="A34" s="3510" t="s">
        <v>879</v>
      </c>
      <c r="B34" s="3510" t="s">
        <v>14</v>
      </c>
      <c r="C34" s="3510" t="s">
        <v>14</v>
      </c>
      <c r="D34" s="3510" t="s">
        <v>14</v>
      </c>
      <c r="E34" s="3510" t="s">
        <v>14</v>
      </c>
      <c r="F34" s="3510" t="s">
        <v>14</v>
      </c>
      <c r="G34" s="3510" t="s">
        <v>14</v>
      </c>
      <c r="H34" s="3510" t="s">
        <v>14</v>
      </c>
      <c r="I34" s="3510" t="s">
        <v>14</v>
      </c>
      <c r="J34" s="3510" t="s">
        <v>14</v>
      </c>
    </row>
    <row r="35" spans="1:10" ht="13.5" customHeight="1" x14ac:dyDescent="0.25">
      <c r="A35" s="3511" t="s">
        <v>880</v>
      </c>
      <c r="B35" s="3511" t="s">
        <v>14</v>
      </c>
      <c r="C35" s="3511" t="s">
        <v>14</v>
      </c>
      <c r="D35" s="3511" t="s">
        <v>14</v>
      </c>
      <c r="E35" s="3511" t="s">
        <v>14</v>
      </c>
      <c r="F35" s="3511" t="s">
        <v>14</v>
      </c>
      <c r="G35" s="3511" t="s">
        <v>14</v>
      </c>
      <c r="H35" s="3511" t="s">
        <v>14</v>
      </c>
      <c r="I35" s="3511" t="s">
        <v>14</v>
      </c>
      <c r="J35" s="3511" t="s">
        <v>14</v>
      </c>
    </row>
    <row r="36" spans="1:10" ht="35.549999999999997" customHeight="1" x14ac:dyDescent="0.25">
      <c r="A36" s="3510" t="s">
        <v>881</v>
      </c>
      <c r="B36" s="3510" t="s">
        <v>14</v>
      </c>
      <c r="C36" s="3510" t="s">
        <v>14</v>
      </c>
      <c r="D36" s="3510" t="s">
        <v>14</v>
      </c>
      <c r="E36" s="3510" t="s">
        <v>14</v>
      </c>
      <c r="F36" s="3510" t="s">
        <v>14</v>
      </c>
      <c r="G36" s="3510" t="s">
        <v>14</v>
      </c>
      <c r="H36" s="3510" t="s">
        <v>14</v>
      </c>
      <c r="I36" s="3510" t="s">
        <v>14</v>
      </c>
      <c r="J36" s="3510" t="s">
        <v>14</v>
      </c>
    </row>
    <row r="37" spans="1:10" ht="18" customHeight="1" x14ac:dyDescent="0.25">
      <c r="A37" s="3510" t="s">
        <v>882</v>
      </c>
      <c r="B37" s="3510" t="s">
        <v>14</v>
      </c>
      <c r="C37" s="3510" t="s">
        <v>14</v>
      </c>
      <c r="D37" s="3510" t="s">
        <v>14</v>
      </c>
      <c r="E37" s="3510" t="s">
        <v>14</v>
      </c>
      <c r="F37" s="3510" t="s">
        <v>14</v>
      </c>
      <c r="G37" s="3510" t="s">
        <v>14</v>
      </c>
      <c r="H37" s="3510" t="s">
        <v>14</v>
      </c>
      <c r="I37" s="3510" t="s">
        <v>14</v>
      </c>
      <c r="J37" s="3510" t="s">
        <v>14</v>
      </c>
    </row>
    <row r="38" spans="1:10" ht="12" customHeight="1" x14ac:dyDescent="0.25">
      <c r="A38" s="3511"/>
      <c r="B38" s="3511" t="s">
        <v>14</v>
      </c>
      <c r="C38" s="3511" t="s">
        <v>14</v>
      </c>
      <c r="D38" s="3511" t="s">
        <v>14</v>
      </c>
      <c r="E38" s="3511" t="s">
        <v>14</v>
      </c>
      <c r="F38" s="3511" t="s">
        <v>14</v>
      </c>
      <c r="G38" s="3511" t="s">
        <v>14</v>
      </c>
      <c r="H38" s="3511" t="s">
        <v>14</v>
      </c>
      <c r="I38" s="3511" t="s">
        <v>14</v>
      </c>
      <c r="J38" s="3511" t="s">
        <v>14</v>
      </c>
    </row>
  </sheetData>
  <mergeCells count="10">
    <mergeCell ref="A35:J35"/>
    <mergeCell ref="A36:J36"/>
    <mergeCell ref="A37:J37"/>
    <mergeCell ref="A38:J38"/>
    <mergeCell ref="A2:J2"/>
    <mergeCell ref="B3:D3"/>
    <mergeCell ref="E3:H3"/>
    <mergeCell ref="I3:J3"/>
    <mergeCell ref="A33:J33"/>
    <mergeCell ref="A34:J34"/>
  </mergeCells>
  <hyperlinks>
    <hyperlink ref="A1" location="ToC!A2" display="Back to Table of Contents" xr:uid="{BF67DB7F-251D-4B2D-9EF8-4869C2A352B4}"/>
  </hyperlinks>
  <pageMargins left="0.5" right="0.5" top="0.5" bottom="0.5" header="0.25" footer="0.25"/>
  <pageSetup scale="61" orientation="landscape" r:id="rId1"/>
  <headerFooter>
    <oddFooter>&amp;L&amp;G&amp;C&amp;"Scotia,Regular"&amp;9Supplementary Financial Information (SFI)&amp;R26&amp;"Scotia,Regular"&amp;7</oddFooter>
  </headerFooter>
  <ignoredErrors>
    <ignoredError sqref="B3" numberStoredAsText="1"/>
  </ignoredErrors>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38DC-82FF-44D7-9C3A-4B4114BABB08}">
  <sheetPr>
    <pageSetUpPr fitToPage="1"/>
  </sheetPr>
  <dimension ref="A1:N44"/>
  <sheetViews>
    <sheetView showGridLines="0" zoomScaleNormal="100" workbookViewId="0"/>
  </sheetViews>
  <sheetFormatPr defaultColWidth="8.77734375" defaultRowHeight="13.2" x14ac:dyDescent="0.25"/>
  <cols>
    <col min="1" max="1" width="65.21875" style="22" customWidth="1"/>
    <col min="2" max="14" width="11.77734375" style="22" customWidth="1"/>
    <col min="15" max="16384" width="8.77734375" style="22"/>
  </cols>
  <sheetData>
    <row r="1" spans="1:14" ht="19.95" customHeight="1" x14ac:dyDescent="0.25">
      <c r="A1" s="21" t="s">
        <v>12</v>
      </c>
    </row>
    <row r="2" spans="1:14" ht="25.35" customHeight="1" x14ac:dyDescent="0.25">
      <c r="A2" s="3554" t="s">
        <v>883</v>
      </c>
      <c r="B2" s="3554" t="s">
        <v>14</v>
      </c>
      <c r="C2" s="3554" t="s">
        <v>14</v>
      </c>
      <c r="D2" s="3554" t="s">
        <v>14</v>
      </c>
      <c r="E2" s="3554" t="s">
        <v>14</v>
      </c>
      <c r="F2" s="3554" t="s">
        <v>14</v>
      </c>
      <c r="G2" s="3554" t="s">
        <v>14</v>
      </c>
      <c r="H2" s="3554" t="s">
        <v>14</v>
      </c>
      <c r="I2" s="3554" t="s">
        <v>14</v>
      </c>
      <c r="J2" s="3554" t="s">
        <v>14</v>
      </c>
      <c r="K2" s="3554" t="s">
        <v>14</v>
      </c>
      <c r="L2" s="3554" t="s">
        <v>14</v>
      </c>
      <c r="M2" s="3554" t="s">
        <v>14</v>
      </c>
      <c r="N2" s="3554" t="s">
        <v>14</v>
      </c>
    </row>
    <row r="3" spans="1:14" ht="15" customHeight="1" x14ac:dyDescent="0.25">
      <c r="A3" s="2769"/>
      <c r="B3" s="3659" t="s">
        <v>172</v>
      </c>
      <c r="C3" s="3659" t="s">
        <v>14</v>
      </c>
      <c r="D3" s="3660" t="s">
        <v>14</v>
      </c>
      <c r="E3" s="3661" t="s">
        <v>343</v>
      </c>
      <c r="F3" s="3662" t="s">
        <v>14</v>
      </c>
      <c r="G3" s="3662" t="s">
        <v>14</v>
      </c>
      <c r="H3" s="3663" t="s">
        <v>14</v>
      </c>
      <c r="I3" s="3661" t="s">
        <v>344</v>
      </c>
      <c r="J3" s="3662" t="s">
        <v>14</v>
      </c>
      <c r="K3" s="3661" t="s">
        <v>173</v>
      </c>
      <c r="L3" s="3664" t="s">
        <v>14</v>
      </c>
      <c r="M3" s="3662" t="s">
        <v>174</v>
      </c>
      <c r="N3" s="3662" t="s">
        <v>14</v>
      </c>
    </row>
    <row r="4" spans="1:14" ht="15" customHeight="1" x14ac:dyDescent="0.25">
      <c r="A4" s="2770" t="s">
        <v>270</v>
      </c>
      <c r="B4" s="2771" t="s">
        <v>176</v>
      </c>
      <c r="C4" s="2772" t="s">
        <v>177</v>
      </c>
      <c r="D4" s="2773" t="s">
        <v>178</v>
      </c>
      <c r="E4" s="2774" t="s">
        <v>179</v>
      </c>
      <c r="F4" s="2772" t="s">
        <v>180</v>
      </c>
      <c r="G4" s="2772" t="s">
        <v>177</v>
      </c>
      <c r="H4" s="2773" t="s">
        <v>178</v>
      </c>
      <c r="I4" s="2775" t="s">
        <v>179</v>
      </c>
      <c r="J4" s="2776" t="s">
        <v>180</v>
      </c>
      <c r="K4" s="2777">
        <v>2025</v>
      </c>
      <c r="L4" s="2778">
        <v>2024</v>
      </c>
      <c r="M4" s="2779">
        <v>2024</v>
      </c>
      <c r="N4" s="2780">
        <v>2023</v>
      </c>
    </row>
    <row r="5" spans="1:14" ht="15" customHeight="1" x14ac:dyDescent="0.3">
      <c r="A5" s="2781" t="s">
        <v>884</v>
      </c>
      <c r="B5" s="2782"/>
      <c r="C5" s="2783"/>
      <c r="D5" s="2784"/>
      <c r="E5" s="2785"/>
      <c r="F5" s="2782"/>
      <c r="G5" s="2782"/>
      <c r="H5" s="2786"/>
      <c r="I5" s="2787"/>
      <c r="J5" s="2788"/>
      <c r="K5" s="2787"/>
      <c r="L5" s="2789"/>
      <c r="M5" s="2788"/>
      <c r="N5" s="2788"/>
    </row>
    <row r="6" spans="1:14" ht="15" customHeight="1" x14ac:dyDescent="0.3">
      <c r="A6" s="2790" t="s">
        <v>885</v>
      </c>
      <c r="B6" s="2791"/>
      <c r="C6" s="2792"/>
      <c r="D6" s="2793"/>
      <c r="E6" s="2794"/>
      <c r="F6" s="2792"/>
      <c r="G6" s="2792"/>
      <c r="H6" s="2793"/>
      <c r="I6" s="2795"/>
      <c r="J6" s="2796"/>
      <c r="K6" s="2795"/>
      <c r="L6" s="2797"/>
      <c r="M6" s="2796"/>
      <c r="N6" s="2796"/>
    </row>
    <row r="7" spans="1:14" ht="15" customHeight="1" x14ac:dyDescent="0.3">
      <c r="A7" s="2798" t="s">
        <v>418</v>
      </c>
      <c r="B7" s="2799">
        <v>690</v>
      </c>
      <c r="C7" s="2800">
        <v>723</v>
      </c>
      <c r="D7" s="2801">
        <v>741</v>
      </c>
      <c r="E7" s="2802">
        <v>693</v>
      </c>
      <c r="F7" s="2803">
        <v>716</v>
      </c>
      <c r="G7" s="2803">
        <v>656</v>
      </c>
      <c r="H7" s="2804">
        <v>688</v>
      </c>
      <c r="I7" s="2805">
        <v>728</v>
      </c>
      <c r="J7" s="2806">
        <v>664</v>
      </c>
      <c r="K7" s="2805">
        <v>2154</v>
      </c>
      <c r="L7" s="2807">
        <v>2060</v>
      </c>
      <c r="M7" s="2806">
        <v>2753</v>
      </c>
      <c r="N7" s="2806">
        <v>2847</v>
      </c>
    </row>
    <row r="8" spans="1:14" ht="15" customHeight="1" x14ac:dyDescent="0.3">
      <c r="A8" s="2798" t="s">
        <v>419</v>
      </c>
      <c r="B8" s="2799">
        <v>840</v>
      </c>
      <c r="C8" s="2800">
        <v>735</v>
      </c>
      <c r="D8" s="2801">
        <v>853</v>
      </c>
      <c r="E8" s="2802">
        <v>579</v>
      </c>
      <c r="F8" s="2803">
        <v>548</v>
      </c>
      <c r="G8" s="2803">
        <v>576</v>
      </c>
      <c r="H8" s="2804">
        <v>605</v>
      </c>
      <c r="I8" s="2805">
        <v>539</v>
      </c>
      <c r="J8" s="2806">
        <v>597</v>
      </c>
      <c r="K8" s="2808">
        <v>2428</v>
      </c>
      <c r="L8" s="2807">
        <v>1729</v>
      </c>
      <c r="M8" s="2806">
        <v>2308</v>
      </c>
      <c r="N8" s="2806">
        <v>2392</v>
      </c>
    </row>
    <row r="9" spans="1:14" ht="15" customHeight="1" x14ac:dyDescent="0.3">
      <c r="A9" s="2809" t="s">
        <v>886</v>
      </c>
      <c r="B9" s="2799">
        <v>1530</v>
      </c>
      <c r="C9" s="2800">
        <v>1458</v>
      </c>
      <c r="D9" s="2810">
        <v>1594</v>
      </c>
      <c r="E9" s="2802">
        <v>1272</v>
      </c>
      <c r="F9" s="2803">
        <v>1264</v>
      </c>
      <c r="G9" s="2803">
        <v>1232</v>
      </c>
      <c r="H9" s="2804">
        <v>1293</v>
      </c>
      <c r="I9" s="2805">
        <v>1267</v>
      </c>
      <c r="J9" s="2806">
        <v>1261</v>
      </c>
      <c r="K9" s="2805">
        <v>4582</v>
      </c>
      <c r="L9" s="2807">
        <v>3789</v>
      </c>
      <c r="M9" s="2806">
        <v>5061</v>
      </c>
      <c r="N9" s="2806">
        <v>5239</v>
      </c>
    </row>
    <row r="10" spans="1:14" ht="15" customHeight="1" x14ac:dyDescent="0.3">
      <c r="A10" s="2811" t="s">
        <v>887</v>
      </c>
      <c r="B10" s="2799">
        <v>473</v>
      </c>
      <c r="C10" s="2800">
        <v>412</v>
      </c>
      <c r="D10" s="2801">
        <v>517</v>
      </c>
      <c r="E10" s="2802">
        <v>347</v>
      </c>
      <c r="F10" s="2803">
        <v>368</v>
      </c>
      <c r="G10" s="2803">
        <v>375</v>
      </c>
      <c r="H10" s="2804">
        <v>388</v>
      </c>
      <c r="I10" s="2805">
        <v>364</v>
      </c>
      <c r="J10" s="2806">
        <v>379</v>
      </c>
      <c r="K10" s="2805">
        <v>1402</v>
      </c>
      <c r="L10" s="2807">
        <v>1131</v>
      </c>
      <c r="M10" s="2806">
        <v>1478</v>
      </c>
      <c r="N10" s="2806">
        <v>1584</v>
      </c>
    </row>
    <row r="11" spans="1:14" ht="15" customHeight="1" x14ac:dyDescent="0.3">
      <c r="A11" s="2811" t="s">
        <v>888</v>
      </c>
      <c r="B11" s="2799">
        <v>0</v>
      </c>
      <c r="C11" s="2800">
        <v>-1</v>
      </c>
      <c r="D11" s="2801">
        <v>0</v>
      </c>
      <c r="E11" s="2802">
        <v>0</v>
      </c>
      <c r="F11" s="2803">
        <v>0</v>
      </c>
      <c r="G11" s="2803">
        <v>0</v>
      </c>
      <c r="H11" s="2804">
        <v>0</v>
      </c>
      <c r="I11" s="2805">
        <v>0</v>
      </c>
      <c r="J11" s="2806">
        <v>0</v>
      </c>
      <c r="K11" s="2805">
        <v>-1</v>
      </c>
      <c r="L11" s="2807">
        <v>0</v>
      </c>
      <c r="M11" s="2806">
        <v>0</v>
      </c>
      <c r="N11" s="2806">
        <v>0</v>
      </c>
    </row>
    <row r="12" spans="1:14" ht="15" customHeight="1" x14ac:dyDescent="0.3">
      <c r="A12" s="2809" t="s">
        <v>889</v>
      </c>
      <c r="B12" s="2799">
        <v>473</v>
      </c>
      <c r="C12" s="2800">
        <v>413</v>
      </c>
      <c r="D12" s="2801">
        <v>517</v>
      </c>
      <c r="E12" s="2802">
        <v>347</v>
      </c>
      <c r="F12" s="2803">
        <v>368</v>
      </c>
      <c r="G12" s="2803">
        <v>375</v>
      </c>
      <c r="H12" s="2804">
        <v>388</v>
      </c>
      <c r="I12" s="2805">
        <v>364</v>
      </c>
      <c r="J12" s="2806">
        <v>379</v>
      </c>
      <c r="K12" s="2805">
        <v>1403</v>
      </c>
      <c r="L12" s="2807">
        <v>1131</v>
      </c>
      <c r="M12" s="2806">
        <v>1478</v>
      </c>
      <c r="N12" s="2806">
        <v>1584</v>
      </c>
    </row>
    <row r="13" spans="1:14" ht="15" customHeight="1" x14ac:dyDescent="0.3">
      <c r="A13" s="2781" t="s">
        <v>890</v>
      </c>
      <c r="B13" s="2812"/>
      <c r="C13" s="2813"/>
      <c r="D13" s="2814"/>
      <c r="E13" s="2785"/>
      <c r="F13" s="2782"/>
      <c r="G13" s="2782"/>
      <c r="H13" s="2786"/>
      <c r="I13" s="2787"/>
      <c r="J13" s="2788"/>
      <c r="K13" s="2787"/>
      <c r="L13" s="2789"/>
      <c r="M13" s="2788"/>
      <c r="N13" s="2788"/>
    </row>
    <row r="14" spans="1:14" ht="15" customHeight="1" x14ac:dyDescent="0.3">
      <c r="A14" s="2811" t="s">
        <v>891</v>
      </c>
      <c r="B14" s="2815">
        <v>493.2</v>
      </c>
      <c r="C14" s="2816">
        <v>501.6</v>
      </c>
      <c r="D14" s="2817">
        <v>510.9</v>
      </c>
      <c r="E14" s="2818">
        <v>486</v>
      </c>
      <c r="F14" s="2819">
        <v>492.7</v>
      </c>
      <c r="G14" s="2819">
        <v>494.2</v>
      </c>
      <c r="H14" s="2820">
        <v>505.5</v>
      </c>
      <c r="I14" s="2821">
        <v>499.8</v>
      </c>
      <c r="J14" s="2822">
        <v>492.7</v>
      </c>
      <c r="K14" s="2823">
        <v>501.9</v>
      </c>
      <c r="L14" s="2824">
        <v>497.5</v>
      </c>
      <c r="M14" s="2822">
        <v>494.6</v>
      </c>
      <c r="N14" s="2822">
        <v>490.2</v>
      </c>
    </row>
    <row r="15" spans="1:14" ht="15" customHeight="1" x14ac:dyDescent="0.3">
      <c r="A15" s="2811" t="s">
        <v>892</v>
      </c>
      <c r="B15" s="2815">
        <v>513.20000000000005</v>
      </c>
      <c r="C15" s="2816">
        <v>516</v>
      </c>
      <c r="D15" s="2817">
        <v>510.6</v>
      </c>
      <c r="E15" s="2818">
        <v>478.3</v>
      </c>
      <c r="F15" s="2819">
        <v>475.8</v>
      </c>
      <c r="G15" s="2819">
        <v>470.3</v>
      </c>
      <c r="H15" s="2820">
        <v>476.4</v>
      </c>
      <c r="I15" s="2821">
        <v>470.5</v>
      </c>
      <c r="J15" s="2822">
        <v>450.2</v>
      </c>
      <c r="K15" s="2823">
        <v>513.20000000000005</v>
      </c>
      <c r="L15" s="2824">
        <v>474.2</v>
      </c>
      <c r="M15" s="2822">
        <v>475.2</v>
      </c>
      <c r="N15" s="2822">
        <v>455.4</v>
      </c>
    </row>
    <row r="16" spans="1:14" ht="15" customHeight="1" x14ac:dyDescent="0.3">
      <c r="A16" s="2825"/>
      <c r="B16" s="2826"/>
      <c r="C16" s="2827"/>
      <c r="D16" s="2828"/>
      <c r="E16" s="2829"/>
      <c r="F16" s="2830"/>
      <c r="G16" s="2830"/>
      <c r="H16" s="2831"/>
      <c r="I16" s="2832"/>
      <c r="J16" s="2833"/>
      <c r="K16" s="2832"/>
      <c r="L16" s="2834"/>
      <c r="M16" s="2833"/>
      <c r="N16" s="2833"/>
    </row>
    <row r="17" spans="1:14" ht="15" customHeight="1" x14ac:dyDescent="0.3">
      <c r="A17" s="2781" t="s">
        <v>893</v>
      </c>
      <c r="B17" s="2835"/>
      <c r="C17" s="2836"/>
      <c r="D17" s="2837"/>
      <c r="E17" s="2838"/>
      <c r="F17" s="2839"/>
      <c r="G17" s="2839"/>
      <c r="H17" s="2840"/>
      <c r="I17" s="2841"/>
      <c r="J17" s="2842"/>
      <c r="K17" s="2841"/>
      <c r="L17" s="2843"/>
      <c r="M17" s="2842"/>
      <c r="N17" s="2842"/>
    </row>
    <row r="18" spans="1:14" ht="15" customHeight="1" x14ac:dyDescent="0.3">
      <c r="A18" s="2790" t="s">
        <v>894</v>
      </c>
      <c r="B18" s="2844"/>
      <c r="C18" s="2845"/>
      <c r="D18" s="2846"/>
      <c r="E18" s="2794"/>
      <c r="F18" s="2792"/>
      <c r="G18" s="2792"/>
      <c r="H18" s="2793"/>
      <c r="I18" s="2795"/>
      <c r="J18" s="2796"/>
      <c r="K18" s="2795"/>
      <c r="L18" s="2797"/>
      <c r="M18" s="2796"/>
      <c r="N18" s="2796"/>
    </row>
    <row r="19" spans="1:14" ht="15" customHeight="1" x14ac:dyDescent="0.3">
      <c r="A19" s="2798" t="s">
        <v>418</v>
      </c>
      <c r="B19" s="2799">
        <v>450</v>
      </c>
      <c r="C19" s="2800">
        <v>416</v>
      </c>
      <c r="D19" s="2801">
        <v>426</v>
      </c>
      <c r="E19" s="2802">
        <v>392</v>
      </c>
      <c r="F19" s="2803">
        <v>428</v>
      </c>
      <c r="G19" s="2803">
        <v>443</v>
      </c>
      <c r="H19" s="2804">
        <v>456</v>
      </c>
      <c r="I19" s="2805">
        <v>378</v>
      </c>
      <c r="J19" s="2806">
        <v>400</v>
      </c>
      <c r="K19" s="2805">
        <v>1292</v>
      </c>
      <c r="L19" s="2847">
        <v>1327</v>
      </c>
      <c r="M19" s="2806">
        <v>1719</v>
      </c>
      <c r="N19" s="2806">
        <v>1486</v>
      </c>
    </row>
    <row r="20" spans="1:14" ht="15" customHeight="1" x14ac:dyDescent="0.3">
      <c r="A20" s="2798" t="s">
        <v>419</v>
      </c>
      <c r="B20" s="2799">
        <v>191</v>
      </c>
      <c r="C20" s="2800">
        <v>229</v>
      </c>
      <c r="D20" s="2801">
        <v>226</v>
      </c>
      <c r="E20" s="2802">
        <v>157</v>
      </c>
      <c r="F20" s="2803">
        <v>183</v>
      </c>
      <c r="G20" s="2803">
        <v>174</v>
      </c>
      <c r="H20" s="2804">
        <v>256</v>
      </c>
      <c r="I20" s="2805">
        <v>152</v>
      </c>
      <c r="J20" s="2806">
        <v>216</v>
      </c>
      <c r="K20" s="2805">
        <v>646</v>
      </c>
      <c r="L20" s="2847">
        <v>613</v>
      </c>
      <c r="M20" s="2806">
        <v>770</v>
      </c>
      <c r="N20" s="2806">
        <v>830</v>
      </c>
    </row>
    <row r="21" spans="1:14" ht="15" customHeight="1" x14ac:dyDescent="0.3">
      <c r="A21" s="2809" t="s">
        <v>301</v>
      </c>
      <c r="B21" s="2799">
        <v>641</v>
      </c>
      <c r="C21" s="2800">
        <v>645</v>
      </c>
      <c r="D21" s="2801">
        <v>652</v>
      </c>
      <c r="E21" s="2802">
        <v>549</v>
      </c>
      <c r="F21" s="2803">
        <v>611</v>
      </c>
      <c r="G21" s="2803">
        <v>617</v>
      </c>
      <c r="H21" s="2804">
        <v>712</v>
      </c>
      <c r="I21" s="2805">
        <v>530</v>
      </c>
      <c r="J21" s="2806">
        <v>616</v>
      </c>
      <c r="K21" s="2848">
        <v>1938</v>
      </c>
      <c r="L21" s="2847">
        <v>1940</v>
      </c>
      <c r="M21" s="2806">
        <v>2489</v>
      </c>
      <c r="N21" s="2806">
        <v>2316</v>
      </c>
    </row>
    <row r="22" spans="1:14" ht="15" customHeight="1" x14ac:dyDescent="0.3">
      <c r="A22" s="2809" t="s">
        <v>895</v>
      </c>
      <c r="B22" s="2799">
        <v>326</v>
      </c>
      <c r="C22" s="2800">
        <v>315</v>
      </c>
      <c r="D22" s="2801">
        <v>341</v>
      </c>
      <c r="E22" s="2802">
        <v>257</v>
      </c>
      <c r="F22" s="2803">
        <v>294</v>
      </c>
      <c r="G22" s="2803">
        <v>292</v>
      </c>
      <c r="H22" s="2804">
        <v>382</v>
      </c>
      <c r="I22" s="2805">
        <v>240</v>
      </c>
      <c r="J22" s="2806">
        <v>320</v>
      </c>
      <c r="K22" s="2848">
        <v>982</v>
      </c>
      <c r="L22" s="2847">
        <v>968</v>
      </c>
      <c r="M22" s="2806">
        <v>1225</v>
      </c>
      <c r="N22" s="2806">
        <v>1135</v>
      </c>
    </row>
    <row r="23" spans="1:14" ht="15" customHeight="1" x14ac:dyDescent="0.3">
      <c r="A23" s="2811" t="s">
        <v>896</v>
      </c>
      <c r="B23" s="2799">
        <v>13</v>
      </c>
      <c r="C23" s="2800">
        <v>12</v>
      </c>
      <c r="D23" s="2801">
        <v>11</v>
      </c>
      <c r="E23" s="2802">
        <v>10</v>
      </c>
      <c r="F23" s="2803">
        <v>11</v>
      </c>
      <c r="G23" s="2803">
        <v>11</v>
      </c>
      <c r="H23" s="2804">
        <v>13</v>
      </c>
      <c r="I23" s="2805">
        <v>3</v>
      </c>
      <c r="J23" s="2806">
        <v>13</v>
      </c>
      <c r="K23" s="2848">
        <v>36</v>
      </c>
      <c r="L23" s="2847">
        <v>35</v>
      </c>
      <c r="M23" s="2806">
        <v>45</v>
      </c>
      <c r="N23" s="2806">
        <v>39</v>
      </c>
    </row>
    <row r="24" spans="1:14" ht="15" customHeight="1" x14ac:dyDescent="0.3">
      <c r="A24" s="2809" t="s">
        <v>897</v>
      </c>
      <c r="B24" s="2799">
        <v>313</v>
      </c>
      <c r="C24" s="2800">
        <v>303</v>
      </c>
      <c r="D24" s="2801">
        <v>330</v>
      </c>
      <c r="E24" s="2802">
        <v>247</v>
      </c>
      <c r="F24" s="2803">
        <v>283</v>
      </c>
      <c r="G24" s="2803">
        <v>281</v>
      </c>
      <c r="H24" s="2804">
        <v>369</v>
      </c>
      <c r="I24" s="2805">
        <v>237</v>
      </c>
      <c r="J24" s="2806">
        <v>307</v>
      </c>
      <c r="K24" s="2808">
        <v>946</v>
      </c>
      <c r="L24" s="2847">
        <v>933</v>
      </c>
      <c r="M24" s="2806">
        <v>1180</v>
      </c>
      <c r="N24" s="2806">
        <v>1096</v>
      </c>
    </row>
    <row r="25" spans="1:14" ht="15" customHeight="1" x14ac:dyDescent="0.3">
      <c r="A25" s="2781" t="s">
        <v>890</v>
      </c>
      <c r="B25" s="2812"/>
      <c r="C25" s="2813"/>
      <c r="D25" s="2814"/>
      <c r="E25" s="2785"/>
      <c r="F25" s="2782"/>
      <c r="G25" s="2782"/>
      <c r="H25" s="2786"/>
      <c r="I25" s="2787"/>
      <c r="J25" s="2788"/>
      <c r="K25" s="2787"/>
      <c r="L25" s="2789"/>
      <c r="M25" s="2788"/>
      <c r="N25" s="2788"/>
    </row>
    <row r="26" spans="1:14" ht="15" customHeight="1" x14ac:dyDescent="0.3">
      <c r="A26" s="2811" t="s">
        <v>891</v>
      </c>
      <c r="B26" s="2815">
        <v>64.8</v>
      </c>
      <c r="C26" s="2816">
        <v>66</v>
      </c>
      <c r="D26" s="2817">
        <v>66.5</v>
      </c>
      <c r="E26" s="2818">
        <v>66</v>
      </c>
      <c r="F26" s="2819">
        <v>69.900000000000006</v>
      </c>
      <c r="G26" s="2819">
        <v>71.3</v>
      </c>
      <c r="H26" s="2820">
        <v>73.099999999999994</v>
      </c>
      <c r="I26" s="2821">
        <v>75.3</v>
      </c>
      <c r="J26" s="2822">
        <v>76.5</v>
      </c>
      <c r="K26" s="2823">
        <v>65.8</v>
      </c>
      <c r="L26" s="2849">
        <v>71.400000000000006</v>
      </c>
      <c r="M26" s="2850">
        <v>70.099999999999994</v>
      </c>
      <c r="N26" s="2850">
        <v>73.599999999999994</v>
      </c>
    </row>
    <row r="27" spans="1:14" ht="15" customHeight="1" x14ac:dyDescent="0.3">
      <c r="A27" s="2811" t="s">
        <v>892</v>
      </c>
      <c r="B27" s="2815">
        <v>50.5</v>
      </c>
      <c r="C27" s="2816">
        <v>49.7</v>
      </c>
      <c r="D27" s="2817">
        <v>50.5</v>
      </c>
      <c r="E27" s="2818">
        <v>49.7</v>
      </c>
      <c r="F27" s="2819">
        <v>55.8</v>
      </c>
      <c r="G27" s="2819">
        <v>59.4</v>
      </c>
      <c r="H27" s="2820">
        <v>57</v>
      </c>
      <c r="I27" s="2821">
        <v>61.2</v>
      </c>
      <c r="J27" s="2822">
        <v>58.8</v>
      </c>
      <c r="K27" s="2823">
        <v>50.3</v>
      </c>
      <c r="L27" s="2849">
        <v>57.4</v>
      </c>
      <c r="M27" s="2850">
        <v>55.5</v>
      </c>
      <c r="N27" s="2850">
        <v>57.7</v>
      </c>
    </row>
    <row r="28" spans="1:14" ht="15" customHeight="1" x14ac:dyDescent="0.3">
      <c r="A28" s="2825"/>
      <c r="B28" s="2826"/>
      <c r="C28" s="2827"/>
      <c r="D28" s="2828"/>
      <c r="E28" s="2851"/>
      <c r="F28" s="2830"/>
      <c r="G28" s="2830"/>
      <c r="H28" s="2831"/>
      <c r="I28" s="2832"/>
      <c r="J28" s="2833"/>
      <c r="K28" s="2852"/>
      <c r="L28" s="2853"/>
      <c r="M28" s="2854"/>
      <c r="N28" s="2854"/>
    </row>
    <row r="29" spans="1:14" ht="15" customHeight="1" x14ac:dyDescent="0.3">
      <c r="A29" s="2855" t="s">
        <v>898</v>
      </c>
      <c r="B29" s="2835"/>
      <c r="C29" s="2836"/>
      <c r="D29" s="2837"/>
      <c r="E29" s="2838"/>
      <c r="F29" s="2839"/>
      <c r="G29" s="2839"/>
      <c r="H29" s="2840"/>
      <c r="I29" s="2841"/>
      <c r="J29" s="2842"/>
      <c r="K29" s="2841"/>
      <c r="L29" s="2843"/>
      <c r="M29" s="2842"/>
      <c r="N29" s="2842"/>
    </row>
    <row r="30" spans="1:14" ht="15" customHeight="1" x14ac:dyDescent="0.3">
      <c r="A30" s="2790" t="s">
        <v>894</v>
      </c>
      <c r="B30" s="2844"/>
      <c r="C30" s="2845"/>
      <c r="D30" s="2846"/>
      <c r="E30" s="2794"/>
      <c r="F30" s="2792"/>
      <c r="G30" s="2792"/>
      <c r="H30" s="2793"/>
      <c r="I30" s="2795"/>
      <c r="J30" s="2796"/>
      <c r="K30" s="2795"/>
      <c r="L30" s="2797"/>
      <c r="M30" s="2796"/>
      <c r="N30" s="2796"/>
    </row>
    <row r="31" spans="1:14" ht="15" customHeight="1" x14ac:dyDescent="0.3">
      <c r="A31" s="2798" t="s">
        <v>418</v>
      </c>
      <c r="B31" s="2799">
        <v>1140</v>
      </c>
      <c r="C31" s="2800">
        <v>1139</v>
      </c>
      <c r="D31" s="2801">
        <v>1167</v>
      </c>
      <c r="E31" s="2802">
        <v>1085</v>
      </c>
      <c r="F31" s="2803">
        <v>1144</v>
      </c>
      <c r="G31" s="2803">
        <v>1099</v>
      </c>
      <c r="H31" s="2804">
        <v>1144</v>
      </c>
      <c r="I31" s="2805">
        <v>1106</v>
      </c>
      <c r="J31" s="2806">
        <v>1064</v>
      </c>
      <c r="K31" s="2808">
        <v>3446</v>
      </c>
      <c r="L31" s="2856">
        <v>3387</v>
      </c>
      <c r="M31" s="2806">
        <v>4472</v>
      </c>
      <c r="N31" s="2806">
        <v>4333</v>
      </c>
    </row>
    <row r="32" spans="1:14" ht="15" customHeight="1" x14ac:dyDescent="0.3">
      <c r="A32" s="2798" t="s">
        <v>419</v>
      </c>
      <c r="B32" s="2799">
        <v>1031</v>
      </c>
      <c r="C32" s="2800">
        <v>964</v>
      </c>
      <c r="D32" s="2801">
        <v>1079</v>
      </c>
      <c r="E32" s="2802">
        <v>736</v>
      </c>
      <c r="F32" s="2803">
        <v>731</v>
      </c>
      <c r="G32" s="2803">
        <v>750</v>
      </c>
      <c r="H32" s="2804">
        <v>861</v>
      </c>
      <c r="I32" s="2805">
        <v>691</v>
      </c>
      <c r="J32" s="2806">
        <v>813</v>
      </c>
      <c r="K32" s="2808">
        <v>3074</v>
      </c>
      <c r="L32" s="2856">
        <v>2342</v>
      </c>
      <c r="M32" s="2806">
        <v>3078</v>
      </c>
      <c r="N32" s="2806">
        <v>3222</v>
      </c>
    </row>
    <row r="33" spans="1:14" ht="15" customHeight="1" x14ac:dyDescent="0.3">
      <c r="A33" s="2809" t="s">
        <v>301</v>
      </c>
      <c r="B33" s="2799">
        <v>2171</v>
      </c>
      <c r="C33" s="2800">
        <v>2103</v>
      </c>
      <c r="D33" s="2801">
        <v>2246</v>
      </c>
      <c r="E33" s="2802">
        <v>1821</v>
      </c>
      <c r="F33" s="2803">
        <v>1875</v>
      </c>
      <c r="G33" s="2803">
        <v>1849</v>
      </c>
      <c r="H33" s="2804">
        <v>2005</v>
      </c>
      <c r="I33" s="2805">
        <v>1797</v>
      </c>
      <c r="J33" s="2806">
        <v>1877</v>
      </c>
      <c r="K33" s="2808">
        <v>6520</v>
      </c>
      <c r="L33" s="2856">
        <v>5729</v>
      </c>
      <c r="M33" s="2806">
        <v>7550</v>
      </c>
      <c r="N33" s="2806">
        <v>7555</v>
      </c>
    </row>
    <row r="34" spans="1:14" ht="15" customHeight="1" x14ac:dyDescent="0.3">
      <c r="A34" s="2811" t="s">
        <v>887</v>
      </c>
      <c r="B34" s="2799">
        <v>799</v>
      </c>
      <c r="C34" s="2800">
        <v>727</v>
      </c>
      <c r="D34" s="2801">
        <v>858</v>
      </c>
      <c r="E34" s="2802">
        <v>604</v>
      </c>
      <c r="F34" s="2803">
        <v>662</v>
      </c>
      <c r="G34" s="2803">
        <v>667</v>
      </c>
      <c r="H34" s="2804">
        <v>770</v>
      </c>
      <c r="I34" s="2805">
        <v>604</v>
      </c>
      <c r="J34" s="2806">
        <v>699</v>
      </c>
      <c r="K34" s="2848">
        <v>2384</v>
      </c>
      <c r="L34" s="2857">
        <v>2099</v>
      </c>
      <c r="M34" s="2806">
        <v>2703</v>
      </c>
      <c r="N34" s="2806">
        <v>2719</v>
      </c>
    </row>
    <row r="35" spans="1:14" ht="15" customHeight="1" x14ac:dyDescent="0.3">
      <c r="A35" s="2811" t="s">
        <v>888</v>
      </c>
      <c r="B35" s="2799">
        <v>13</v>
      </c>
      <c r="C35" s="2800">
        <v>11</v>
      </c>
      <c r="D35" s="2801">
        <v>11</v>
      </c>
      <c r="E35" s="2802">
        <v>10</v>
      </c>
      <c r="F35" s="2803">
        <v>11</v>
      </c>
      <c r="G35" s="2803">
        <v>11</v>
      </c>
      <c r="H35" s="2804">
        <v>13</v>
      </c>
      <c r="I35" s="2805">
        <v>3</v>
      </c>
      <c r="J35" s="2806">
        <v>13</v>
      </c>
      <c r="K35" s="2848">
        <v>35</v>
      </c>
      <c r="L35" s="2857">
        <v>35</v>
      </c>
      <c r="M35" s="2806">
        <v>45</v>
      </c>
      <c r="N35" s="2806">
        <v>39</v>
      </c>
    </row>
    <row r="36" spans="1:14" ht="15" customHeight="1" x14ac:dyDescent="0.3">
      <c r="A36" s="2809" t="s">
        <v>889</v>
      </c>
      <c r="B36" s="2799">
        <v>786</v>
      </c>
      <c r="C36" s="2800">
        <v>716</v>
      </c>
      <c r="D36" s="2801">
        <v>847</v>
      </c>
      <c r="E36" s="2802">
        <v>594</v>
      </c>
      <c r="F36" s="2803">
        <v>651</v>
      </c>
      <c r="G36" s="2803">
        <v>656</v>
      </c>
      <c r="H36" s="2804">
        <v>757</v>
      </c>
      <c r="I36" s="2805">
        <v>601</v>
      </c>
      <c r="J36" s="2806">
        <v>686</v>
      </c>
      <c r="K36" s="2848">
        <v>2349</v>
      </c>
      <c r="L36" s="2857">
        <v>2064</v>
      </c>
      <c r="M36" s="2806">
        <v>2658</v>
      </c>
      <c r="N36" s="2806">
        <v>2680</v>
      </c>
    </row>
    <row r="37" spans="1:14" ht="15" customHeight="1" x14ac:dyDescent="0.3">
      <c r="A37" s="2781" t="s">
        <v>890</v>
      </c>
      <c r="B37" s="2812"/>
      <c r="C37" s="2813"/>
      <c r="D37" s="2814"/>
      <c r="E37" s="2785"/>
      <c r="F37" s="2782"/>
      <c r="G37" s="2782"/>
      <c r="H37" s="2786"/>
      <c r="I37" s="2787"/>
      <c r="J37" s="2788"/>
      <c r="K37" s="2858"/>
      <c r="L37" s="2859"/>
      <c r="M37" s="2788"/>
      <c r="N37" s="2788"/>
    </row>
    <row r="38" spans="1:14" ht="15" customHeight="1" x14ac:dyDescent="0.3">
      <c r="A38" s="2811" t="s">
        <v>891</v>
      </c>
      <c r="B38" s="2815">
        <v>558</v>
      </c>
      <c r="C38" s="2816">
        <v>567.6</v>
      </c>
      <c r="D38" s="2817">
        <v>577.4</v>
      </c>
      <c r="E38" s="2818">
        <v>552</v>
      </c>
      <c r="F38" s="2819">
        <v>562.6</v>
      </c>
      <c r="G38" s="2819">
        <v>565.5</v>
      </c>
      <c r="H38" s="2820">
        <v>578.6</v>
      </c>
      <c r="I38" s="2821">
        <v>575.1</v>
      </c>
      <c r="J38" s="2822">
        <v>569.20000000000005</v>
      </c>
      <c r="K38" s="2860">
        <v>567.69999999999993</v>
      </c>
      <c r="L38" s="2861">
        <v>568.9</v>
      </c>
      <c r="M38" s="2850">
        <v>564.70000000000005</v>
      </c>
      <c r="N38" s="2850">
        <v>563.79999999999995</v>
      </c>
    </row>
    <row r="39" spans="1:14" ht="15" customHeight="1" x14ac:dyDescent="0.3">
      <c r="A39" s="2862" t="s">
        <v>892</v>
      </c>
      <c r="B39" s="2863">
        <v>563.70000000000005</v>
      </c>
      <c r="C39" s="2864">
        <v>565.70000000000005</v>
      </c>
      <c r="D39" s="2865">
        <v>561.1</v>
      </c>
      <c r="E39" s="2866">
        <v>528</v>
      </c>
      <c r="F39" s="2867">
        <v>531.6</v>
      </c>
      <c r="G39" s="2867">
        <v>529.70000000000005</v>
      </c>
      <c r="H39" s="2868">
        <v>533.4</v>
      </c>
      <c r="I39" s="2869">
        <v>531.70000000000005</v>
      </c>
      <c r="J39" s="2870">
        <v>509</v>
      </c>
      <c r="K39" s="2871">
        <v>563.5</v>
      </c>
      <c r="L39" s="2872">
        <v>531.6</v>
      </c>
      <c r="M39" s="2870">
        <v>530.70000000000005</v>
      </c>
      <c r="N39" s="2870">
        <v>513.1</v>
      </c>
    </row>
    <row r="40" spans="1:14" ht="15" customHeight="1" x14ac:dyDescent="0.25">
      <c r="A40" s="2873"/>
      <c r="B40" s="2874"/>
      <c r="C40" s="2874"/>
      <c r="D40" s="2874"/>
      <c r="E40" s="2214"/>
      <c r="F40" s="2874"/>
      <c r="G40" s="2874"/>
      <c r="H40" s="2874"/>
      <c r="I40" s="2875"/>
      <c r="J40" s="2875"/>
      <c r="K40" s="2875"/>
      <c r="L40" s="2875"/>
      <c r="M40" s="2876"/>
      <c r="N40" s="2876"/>
    </row>
    <row r="41" spans="1:14" ht="12" customHeight="1" x14ac:dyDescent="0.25">
      <c r="A41" s="3511" t="s">
        <v>899</v>
      </c>
      <c r="B41" s="3614" t="s">
        <v>14</v>
      </c>
      <c r="C41" s="3614" t="s">
        <v>14</v>
      </c>
      <c r="D41" s="3614" t="s">
        <v>14</v>
      </c>
      <c r="E41" s="3614" t="s">
        <v>14</v>
      </c>
      <c r="F41" s="3614" t="s">
        <v>14</v>
      </c>
      <c r="G41" s="3614" t="s">
        <v>14</v>
      </c>
      <c r="H41" s="3614" t="s">
        <v>14</v>
      </c>
      <c r="I41" s="3614" t="s">
        <v>14</v>
      </c>
      <c r="J41" s="3614" t="s">
        <v>14</v>
      </c>
      <c r="K41" s="3614" t="s">
        <v>14</v>
      </c>
      <c r="L41" s="3614" t="s">
        <v>14</v>
      </c>
      <c r="M41" s="3614" t="s">
        <v>14</v>
      </c>
      <c r="N41" s="3614" t="s">
        <v>14</v>
      </c>
    </row>
    <row r="42" spans="1:14" ht="10.35" customHeight="1" x14ac:dyDescent="0.25">
      <c r="A42" s="3440"/>
      <c r="B42" s="3440" t="s">
        <v>14</v>
      </c>
      <c r="C42" s="3440" t="s">
        <v>14</v>
      </c>
      <c r="D42" s="3440" t="s">
        <v>14</v>
      </c>
      <c r="E42" s="3440" t="s">
        <v>14</v>
      </c>
      <c r="F42" s="3440" t="s">
        <v>14</v>
      </c>
      <c r="G42" s="3440" t="s">
        <v>14</v>
      </c>
      <c r="H42" s="3440" t="s">
        <v>14</v>
      </c>
      <c r="I42" s="3440" t="s">
        <v>14</v>
      </c>
      <c r="J42" s="3440" t="s">
        <v>14</v>
      </c>
      <c r="K42" s="3440" t="s">
        <v>14</v>
      </c>
      <c r="L42" s="3440" t="s">
        <v>14</v>
      </c>
      <c r="M42" s="3440" t="s">
        <v>14</v>
      </c>
      <c r="N42" s="3440" t="s">
        <v>14</v>
      </c>
    </row>
    <row r="43" spans="1:14" ht="10.35" customHeight="1" x14ac:dyDescent="0.25">
      <c r="A43" s="3464"/>
      <c r="B43" s="3464" t="s">
        <v>14</v>
      </c>
      <c r="C43" s="3464" t="s">
        <v>14</v>
      </c>
      <c r="D43" s="3464" t="s">
        <v>14</v>
      </c>
      <c r="E43" s="3464" t="s">
        <v>14</v>
      </c>
      <c r="F43" s="3464" t="s">
        <v>14</v>
      </c>
      <c r="G43" s="3464" t="s">
        <v>14</v>
      </c>
      <c r="H43" s="3464" t="s">
        <v>14</v>
      </c>
      <c r="I43" s="3464" t="s">
        <v>14</v>
      </c>
      <c r="J43" s="3464" t="s">
        <v>14</v>
      </c>
      <c r="K43" s="3464" t="s">
        <v>14</v>
      </c>
      <c r="L43" s="3464" t="s">
        <v>14</v>
      </c>
      <c r="M43" s="3464" t="s">
        <v>14</v>
      </c>
      <c r="N43" s="3464" t="s">
        <v>14</v>
      </c>
    </row>
    <row r="44" spans="1:14" ht="10.35" customHeight="1" x14ac:dyDescent="0.25">
      <c r="A44" s="3658"/>
      <c r="B44" s="3658" t="s">
        <v>14</v>
      </c>
      <c r="C44" s="3658" t="s">
        <v>14</v>
      </c>
      <c r="D44" s="3658" t="s">
        <v>14</v>
      </c>
      <c r="E44" s="3658" t="s">
        <v>14</v>
      </c>
      <c r="F44" s="3658" t="s">
        <v>14</v>
      </c>
      <c r="G44" s="3658" t="s">
        <v>14</v>
      </c>
      <c r="H44" s="3658" t="s">
        <v>14</v>
      </c>
      <c r="I44" s="3658" t="s">
        <v>14</v>
      </c>
      <c r="J44" s="3658" t="s">
        <v>14</v>
      </c>
      <c r="K44" s="3658" t="s">
        <v>14</v>
      </c>
      <c r="L44" s="3658" t="s">
        <v>14</v>
      </c>
      <c r="M44" s="3658" t="s">
        <v>14</v>
      </c>
      <c r="N44" s="3658" t="s">
        <v>14</v>
      </c>
    </row>
  </sheetData>
  <mergeCells count="10">
    <mergeCell ref="A41:N41"/>
    <mergeCell ref="A42:N42"/>
    <mergeCell ref="A43:N43"/>
    <mergeCell ref="A44:N44"/>
    <mergeCell ref="A2:N2"/>
    <mergeCell ref="B3:D3"/>
    <mergeCell ref="E3:H3"/>
    <mergeCell ref="I3:J3"/>
    <mergeCell ref="K3:L3"/>
    <mergeCell ref="M3:N3"/>
  </mergeCells>
  <hyperlinks>
    <hyperlink ref="A1" location="ToC!A2" display="Back to Table of Contents" xr:uid="{F8A91370-6C08-469B-9B20-7699D40097FE}"/>
  </hyperlinks>
  <pageMargins left="0.5" right="0.5" top="0.5" bottom="0.5" header="0.25" footer="0.25"/>
  <pageSetup scale="59" orientation="landscape" r:id="rId1"/>
  <headerFooter>
    <oddFooter>&amp;L&amp;G&amp;C&amp;"Scotia,Regular"&amp;9Supplementary Financial Information (SFI)&amp;R27&amp;"Scotia,Regular"&amp;7</oddFooter>
  </headerFooter>
  <ignoredErrors>
    <ignoredError sqref="B3:J3" numberStoredAsText="1"/>
  </ignoredErrors>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A485-C608-4F0D-A974-E173E2038704}">
  <sheetPr>
    <pageSetUpPr fitToPage="1"/>
  </sheetPr>
  <dimension ref="A1:N46"/>
  <sheetViews>
    <sheetView showGridLines="0" zoomScaleNormal="100" workbookViewId="0"/>
  </sheetViews>
  <sheetFormatPr defaultColWidth="8.77734375" defaultRowHeight="13.2" x14ac:dyDescent="0.25"/>
  <cols>
    <col min="1" max="1" width="85.5546875" style="22" customWidth="1"/>
    <col min="2" max="14" width="12.77734375" style="22" customWidth="1"/>
    <col min="15" max="16384" width="8.77734375" style="22"/>
  </cols>
  <sheetData>
    <row r="1" spans="1:14" ht="19.95" customHeight="1" x14ac:dyDescent="0.25">
      <c r="A1" s="21" t="s">
        <v>12</v>
      </c>
    </row>
    <row r="2" spans="1:14" ht="25.35" customHeight="1" x14ac:dyDescent="0.25">
      <c r="A2" s="3665" t="s">
        <v>900</v>
      </c>
      <c r="B2" s="3665" t="s">
        <v>14</v>
      </c>
      <c r="C2" s="3665" t="s">
        <v>14</v>
      </c>
      <c r="D2" s="3665" t="s">
        <v>14</v>
      </c>
      <c r="E2" s="3665" t="s">
        <v>14</v>
      </c>
      <c r="F2" s="3665" t="s">
        <v>14</v>
      </c>
      <c r="G2" s="3665" t="s">
        <v>14</v>
      </c>
      <c r="H2" s="3665" t="s">
        <v>14</v>
      </c>
      <c r="I2" s="3665" t="s">
        <v>14</v>
      </c>
      <c r="J2" s="3665" t="s">
        <v>14</v>
      </c>
      <c r="K2" s="3665" t="s">
        <v>14</v>
      </c>
      <c r="L2" s="3665" t="s">
        <v>14</v>
      </c>
      <c r="M2" s="3665" t="s">
        <v>14</v>
      </c>
      <c r="N2" s="3665" t="s">
        <v>14</v>
      </c>
    </row>
    <row r="3" spans="1:14" ht="18" customHeight="1" x14ac:dyDescent="0.25">
      <c r="A3" s="2877"/>
      <c r="B3" s="3666" t="s">
        <v>172</v>
      </c>
      <c r="C3" s="3666" t="s">
        <v>14</v>
      </c>
      <c r="D3" s="3667" t="s">
        <v>14</v>
      </c>
      <c r="E3" s="3668" t="s">
        <v>343</v>
      </c>
      <c r="F3" s="3669" t="s">
        <v>14</v>
      </c>
      <c r="G3" s="3669" t="s">
        <v>14</v>
      </c>
      <c r="H3" s="3670" t="s">
        <v>14</v>
      </c>
      <c r="I3" s="3668" t="s">
        <v>344</v>
      </c>
      <c r="J3" s="3669" t="s">
        <v>14</v>
      </c>
      <c r="K3" s="3668" t="s">
        <v>173</v>
      </c>
      <c r="L3" s="3671" t="s">
        <v>14</v>
      </c>
      <c r="M3" s="3669" t="s">
        <v>174</v>
      </c>
      <c r="N3" s="3669" t="s">
        <v>14</v>
      </c>
    </row>
    <row r="4" spans="1:14" ht="18" customHeight="1" x14ac:dyDescent="0.25">
      <c r="A4" s="2878"/>
      <c r="B4" s="2879" t="s">
        <v>176</v>
      </c>
      <c r="C4" s="2880" t="s">
        <v>177</v>
      </c>
      <c r="D4" s="2881" t="s">
        <v>178</v>
      </c>
      <c r="E4" s="2882" t="s">
        <v>179</v>
      </c>
      <c r="F4" s="2883" t="s">
        <v>180</v>
      </c>
      <c r="G4" s="2883" t="s">
        <v>177</v>
      </c>
      <c r="H4" s="2884" t="s">
        <v>178</v>
      </c>
      <c r="I4" s="2885" t="s">
        <v>179</v>
      </c>
      <c r="J4" s="2883" t="s">
        <v>180</v>
      </c>
      <c r="K4" s="2886">
        <v>2025</v>
      </c>
      <c r="L4" s="2887">
        <v>2024</v>
      </c>
      <c r="M4" s="2888">
        <v>2024</v>
      </c>
      <c r="N4" s="2889">
        <v>2023</v>
      </c>
    </row>
    <row r="5" spans="1:14" ht="18" customHeight="1" x14ac:dyDescent="0.25">
      <c r="A5" s="2890" t="s">
        <v>901</v>
      </c>
      <c r="B5" s="2891"/>
      <c r="C5" s="2891"/>
      <c r="D5" s="2892"/>
      <c r="E5" s="2893"/>
      <c r="F5" s="2894"/>
      <c r="G5" s="2894"/>
      <c r="H5" s="2895"/>
      <c r="I5" s="2893"/>
      <c r="J5" s="2894"/>
      <c r="K5" s="2896"/>
      <c r="L5" s="2897"/>
      <c r="M5" s="2896"/>
      <c r="N5" s="2898"/>
    </row>
    <row r="6" spans="1:14" ht="18" customHeight="1" x14ac:dyDescent="0.25">
      <c r="A6" s="2899" t="s">
        <v>902</v>
      </c>
      <c r="B6" s="198">
        <v>2324</v>
      </c>
      <c r="C6" s="199">
        <v>2310</v>
      </c>
      <c r="D6" s="200">
        <v>2353</v>
      </c>
      <c r="E6" s="2900">
        <v>2225</v>
      </c>
      <c r="F6" s="2901">
        <v>2325</v>
      </c>
      <c r="G6" s="2901">
        <v>2350</v>
      </c>
      <c r="H6" s="2902">
        <v>2452</v>
      </c>
      <c r="I6" s="2900">
        <v>2150</v>
      </c>
      <c r="J6" s="2901">
        <v>2208</v>
      </c>
      <c r="K6" s="2900">
        <v>6987</v>
      </c>
      <c r="L6" s="2903">
        <v>7127</v>
      </c>
      <c r="M6" s="2900">
        <v>9352</v>
      </c>
      <c r="N6" s="2901">
        <v>8518</v>
      </c>
    </row>
    <row r="7" spans="1:14" ht="18" customHeight="1" x14ac:dyDescent="0.25">
      <c r="A7" s="2899" t="s">
        <v>276</v>
      </c>
      <c r="B7" s="2904">
        <v>508</v>
      </c>
      <c r="C7" s="2905">
        <v>504</v>
      </c>
      <c r="D7" s="2906">
        <v>554</v>
      </c>
      <c r="E7" s="2907">
        <v>512</v>
      </c>
      <c r="F7" s="2908">
        <v>555</v>
      </c>
      <c r="G7" s="2908">
        <v>532</v>
      </c>
      <c r="H7" s="2909">
        <v>536</v>
      </c>
      <c r="I7" s="2907">
        <v>476</v>
      </c>
      <c r="J7" s="2908">
        <v>489</v>
      </c>
      <c r="K7" s="2907">
        <v>1566</v>
      </c>
      <c r="L7" s="2910">
        <v>1623</v>
      </c>
      <c r="M7" s="2911">
        <v>2135</v>
      </c>
      <c r="N7" s="2908">
        <v>1745</v>
      </c>
    </row>
    <row r="8" spans="1:14" ht="18" customHeight="1" x14ac:dyDescent="0.25">
      <c r="A8" s="2899" t="s">
        <v>303</v>
      </c>
      <c r="B8" s="2904">
        <v>1165</v>
      </c>
      <c r="C8" s="2905">
        <v>1167</v>
      </c>
      <c r="D8" s="2906">
        <v>1178</v>
      </c>
      <c r="E8" s="2907">
        <v>1155</v>
      </c>
      <c r="F8" s="2908">
        <v>1204</v>
      </c>
      <c r="G8" s="2908">
        <v>1214</v>
      </c>
      <c r="H8" s="2909">
        <v>1224</v>
      </c>
      <c r="I8" s="2907">
        <v>1189</v>
      </c>
      <c r="J8" s="2908">
        <v>1168</v>
      </c>
      <c r="K8" s="2907">
        <v>3510</v>
      </c>
      <c r="L8" s="2910">
        <v>3642</v>
      </c>
      <c r="M8" s="2911">
        <v>4797</v>
      </c>
      <c r="N8" s="2908">
        <v>4609</v>
      </c>
    </row>
    <row r="9" spans="1:14" ht="18" customHeight="1" x14ac:dyDescent="0.25">
      <c r="A9" s="2899" t="s">
        <v>903</v>
      </c>
      <c r="B9" s="2904">
        <v>651</v>
      </c>
      <c r="C9" s="2905">
        <v>639</v>
      </c>
      <c r="D9" s="2906">
        <v>621</v>
      </c>
      <c r="E9" s="2907">
        <v>558</v>
      </c>
      <c r="F9" s="2908">
        <v>566</v>
      </c>
      <c r="G9" s="2908">
        <v>604</v>
      </c>
      <c r="H9" s="2909">
        <v>692</v>
      </c>
      <c r="I9" s="2907">
        <v>485</v>
      </c>
      <c r="J9" s="2908">
        <v>551</v>
      </c>
      <c r="K9" s="2907">
        <v>1911</v>
      </c>
      <c r="L9" s="2910">
        <v>1862</v>
      </c>
      <c r="M9" s="2911">
        <v>2420</v>
      </c>
      <c r="N9" s="2908">
        <v>2164</v>
      </c>
    </row>
    <row r="10" spans="1:14" ht="18" customHeight="1" x14ac:dyDescent="0.25">
      <c r="A10" s="2899" t="s">
        <v>304</v>
      </c>
      <c r="B10" s="2904">
        <v>144</v>
      </c>
      <c r="C10" s="2905">
        <v>108</v>
      </c>
      <c r="D10" s="2906">
        <v>120</v>
      </c>
      <c r="E10" s="2907">
        <v>117</v>
      </c>
      <c r="F10" s="2908">
        <v>113</v>
      </c>
      <c r="G10" s="2908">
        <v>138</v>
      </c>
      <c r="H10" s="2909">
        <v>140</v>
      </c>
      <c r="I10" s="2907">
        <v>122</v>
      </c>
      <c r="J10" s="2908">
        <v>126</v>
      </c>
      <c r="K10" s="2907">
        <v>372</v>
      </c>
      <c r="L10" s="2910">
        <v>391</v>
      </c>
      <c r="M10" s="2911">
        <v>508</v>
      </c>
      <c r="N10" s="2908">
        <v>466</v>
      </c>
    </row>
    <row r="11" spans="1:14" ht="18" customHeight="1" x14ac:dyDescent="0.25">
      <c r="A11" s="2912" t="s">
        <v>305</v>
      </c>
      <c r="B11" s="2904">
        <v>507</v>
      </c>
      <c r="C11" s="2905">
        <v>531</v>
      </c>
      <c r="D11" s="2906">
        <v>501</v>
      </c>
      <c r="E11" s="2907">
        <v>441</v>
      </c>
      <c r="F11" s="2908">
        <v>453</v>
      </c>
      <c r="G11" s="2908">
        <v>466</v>
      </c>
      <c r="H11" s="2909">
        <v>552</v>
      </c>
      <c r="I11" s="2907">
        <v>363</v>
      </c>
      <c r="J11" s="2908">
        <v>425</v>
      </c>
      <c r="K11" s="2907">
        <v>1539</v>
      </c>
      <c r="L11" s="2910">
        <v>1471</v>
      </c>
      <c r="M11" s="2911">
        <v>1912</v>
      </c>
      <c r="N11" s="2908">
        <v>1698</v>
      </c>
    </row>
    <row r="12" spans="1:14" ht="18" customHeight="1" x14ac:dyDescent="0.25">
      <c r="A12" s="2899" t="s">
        <v>904</v>
      </c>
      <c r="B12" s="2904">
        <v>5</v>
      </c>
      <c r="C12" s="2905">
        <v>5</v>
      </c>
      <c r="D12" s="2906">
        <v>5</v>
      </c>
      <c r="E12" s="2907">
        <v>6</v>
      </c>
      <c r="F12" s="2908">
        <v>4</v>
      </c>
      <c r="G12" s="2908">
        <v>6</v>
      </c>
      <c r="H12" s="2909">
        <v>5</v>
      </c>
      <c r="I12" s="2907">
        <v>7</v>
      </c>
      <c r="J12" s="2908">
        <v>7</v>
      </c>
      <c r="K12" s="2907">
        <v>15</v>
      </c>
      <c r="L12" s="2910">
        <v>15</v>
      </c>
      <c r="M12" s="2911">
        <v>21</v>
      </c>
      <c r="N12" s="2908">
        <v>28</v>
      </c>
    </row>
    <row r="13" spans="1:14" ht="18" customHeight="1" x14ac:dyDescent="0.25">
      <c r="A13" s="2912" t="s">
        <v>905</v>
      </c>
      <c r="B13" s="2904">
        <v>512</v>
      </c>
      <c r="C13" s="2905">
        <v>536</v>
      </c>
      <c r="D13" s="2906">
        <v>506</v>
      </c>
      <c r="E13" s="2913">
        <v>447</v>
      </c>
      <c r="F13" s="2908">
        <v>457</v>
      </c>
      <c r="G13" s="2908">
        <v>472</v>
      </c>
      <c r="H13" s="2909">
        <v>557</v>
      </c>
      <c r="I13" s="2907">
        <v>370</v>
      </c>
      <c r="J13" s="2908">
        <v>432</v>
      </c>
      <c r="K13" s="2913">
        <v>1554</v>
      </c>
      <c r="L13" s="2910">
        <v>1486</v>
      </c>
      <c r="M13" s="2914">
        <v>1933</v>
      </c>
      <c r="N13" s="2915">
        <v>1726</v>
      </c>
    </row>
    <row r="14" spans="1:14" ht="18" customHeight="1" x14ac:dyDescent="0.25">
      <c r="A14" s="2912" t="s">
        <v>312</v>
      </c>
      <c r="B14" s="2904"/>
      <c r="C14" s="2905"/>
      <c r="D14" s="2906"/>
      <c r="E14" s="2907"/>
      <c r="F14" s="2908"/>
      <c r="G14" s="2908"/>
      <c r="H14" s="2909"/>
      <c r="I14" s="2907"/>
      <c r="J14" s="2908"/>
      <c r="K14" s="2907"/>
      <c r="L14" s="2916"/>
      <c r="M14" s="2911"/>
      <c r="N14" s="2908"/>
    </row>
    <row r="15" spans="1:14" ht="18" customHeight="1" x14ac:dyDescent="0.25">
      <c r="A15" s="2899" t="s">
        <v>906</v>
      </c>
      <c r="B15" s="2904">
        <v>10</v>
      </c>
      <c r="C15" s="2905">
        <v>9</v>
      </c>
      <c r="D15" s="2906">
        <v>8</v>
      </c>
      <c r="E15" s="2907">
        <v>13</v>
      </c>
      <c r="F15" s="2908">
        <v>6</v>
      </c>
      <c r="G15" s="2908">
        <v>-4</v>
      </c>
      <c r="H15" s="2909">
        <v>-1</v>
      </c>
      <c r="I15" s="2907">
        <v>2</v>
      </c>
      <c r="J15" s="2908">
        <v>-9</v>
      </c>
      <c r="K15" s="2907">
        <v>27</v>
      </c>
      <c r="L15" s="2910">
        <v>1</v>
      </c>
      <c r="M15" s="2911">
        <v>14</v>
      </c>
      <c r="N15" s="2908">
        <v>1</v>
      </c>
    </row>
    <row r="16" spans="1:14" ht="18" customHeight="1" x14ac:dyDescent="0.25">
      <c r="A16" s="2912" t="s">
        <v>907</v>
      </c>
      <c r="B16" s="2904">
        <v>497</v>
      </c>
      <c r="C16" s="2905">
        <v>522</v>
      </c>
      <c r="D16" s="2906">
        <v>493</v>
      </c>
      <c r="E16" s="2907">
        <v>428</v>
      </c>
      <c r="F16" s="2908">
        <v>447</v>
      </c>
      <c r="G16" s="2908">
        <v>470</v>
      </c>
      <c r="H16" s="2909">
        <v>553</v>
      </c>
      <c r="I16" s="2907">
        <v>361</v>
      </c>
      <c r="J16" s="2908">
        <v>434</v>
      </c>
      <c r="K16" s="2907">
        <v>1512</v>
      </c>
      <c r="L16" s="2910">
        <v>1470</v>
      </c>
      <c r="M16" s="2911">
        <v>1898</v>
      </c>
      <c r="N16" s="2908">
        <v>1697</v>
      </c>
    </row>
    <row r="17" spans="1:14" ht="18" customHeight="1" x14ac:dyDescent="0.25">
      <c r="A17" s="2912" t="s">
        <v>908</v>
      </c>
      <c r="B17" s="2904">
        <v>497</v>
      </c>
      <c r="C17" s="2905">
        <v>516</v>
      </c>
      <c r="D17" s="2906">
        <v>498</v>
      </c>
      <c r="E17" s="2907">
        <v>437</v>
      </c>
      <c r="F17" s="2908">
        <v>439</v>
      </c>
      <c r="G17" s="2908">
        <v>464</v>
      </c>
      <c r="H17" s="2909">
        <v>534</v>
      </c>
      <c r="I17" s="2907">
        <v>349</v>
      </c>
      <c r="J17" s="2908">
        <v>422</v>
      </c>
      <c r="K17" s="2907">
        <v>1512</v>
      </c>
      <c r="L17" s="2910">
        <v>1441</v>
      </c>
      <c r="M17" s="2911">
        <v>1883</v>
      </c>
      <c r="N17" s="2908">
        <v>1741</v>
      </c>
    </row>
    <row r="18" spans="1:14" ht="18" customHeight="1" x14ac:dyDescent="0.25">
      <c r="A18" s="2899" t="s">
        <v>909</v>
      </c>
      <c r="B18" s="2904">
        <v>0</v>
      </c>
      <c r="C18" s="2905">
        <v>6</v>
      </c>
      <c r="D18" s="2906">
        <v>-5</v>
      </c>
      <c r="E18" s="2907">
        <v>-9</v>
      </c>
      <c r="F18" s="2908">
        <v>8</v>
      </c>
      <c r="G18" s="2908">
        <v>6</v>
      </c>
      <c r="H18" s="2909">
        <v>19</v>
      </c>
      <c r="I18" s="2907">
        <v>12</v>
      </c>
      <c r="J18" s="2908">
        <v>12</v>
      </c>
      <c r="K18" s="2907">
        <v>0</v>
      </c>
      <c r="L18" s="2910">
        <v>29</v>
      </c>
      <c r="M18" s="2911">
        <v>15</v>
      </c>
      <c r="N18" s="2908">
        <v>-44</v>
      </c>
    </row>
    <row r="19" spans="1:14" ht="18" customHeight="1" x14ac:dyDescent="0.25">
      <c r="A19" s="2912" t="s">
        <v>317</v>
      </c>
      <c r="B19" s="2904"/>
      <c r="C19" s="2905"/>
      <c r="D19" s="2906"/>
      <c r="E19" s="2907"/>
      <c r="F19" s="2908"/>
      <c r="G19" s="2908"/>
      <c r="H19" s="2909"/>
      <c r="I19" s="2907"/>
      <c r="J19" s="2908"/>
      <c r="K19" s="2907"/>
      <c r="L19" s="2916"/>
      <c r="M19" s="2911"/>
      <c r="N19" s="2908"/>
    </row>
    <row r="20" spans="1:14" ht="18" customHeight="1" x14ac:dyDescent="0.25">
      <c r="A20" s="2899" t="s">
        <v>906</v>
      </c>
      <c r="B20" s="2904">
        <v>10</v>
      </c>
      <c r="C20" s="2905">
        <v>9</v>
      </c>
      <c r="D20" s="2906">
        <v>8</v>
      </c>
      <c r="E20" s="2907">
        <v>13</v>
      </c>
      <c r="F20" s="2908">
        <v>6</v>
      </c>
      <c r="G20" s="2908">
        <v>-4</v>
      </c>
      <c r="H20" s="2909">
        <v>-1</v>
      </c>
      <c r="I20" s="2907">
        <v>2</v>
      </c>
      <c r="J20" s="2908">
        <v>-9</v>
      </c>
      <c r="K20" s="2907">
        <v>27</v>
      </c>
      <c r="L20" s="2910">
        <v>1</v>
      </c>
      <c r="M20" s="2911">
        <v>14</v>
      </c>
      <c r="N20" s="2908">
        <v>1</v>
      </c>
    </row>
    <row r="21" spans="1:14" ht="18" customHeight="1" x14ac:dyDescent="0.25">
      <c r="A21" s="2912" t="s">
        <v>910</v>
      </c>
      <c r="B21" s="2904">
        <v>502</v>
      </c>
      <c r="C21" s="2905">
        <v>527</v>
      </c>
      <c r="D21" s="2906">
        <v>498</v>
      </c>
      <c r="E21" s="2907">
        <v>434</v>
      </c>
      <c r="F21" s="2908">
        <v>451</v>
      </c>
      <c r="G21" s="2908">
        <v>476</v>
      </c>
      <c r="H21" s="2909">
        <v>558</v>
      </c>
      <c r="I21" s="2907">
        <v>368</v>
      </c>
      <c r="J21" s="2908">
        <v>441</v>
      </c>
      <c r="K21" s="2907">
        <v>1527</v>
      </c>
      <c r="L21" s="2910">
        <v>1485</v>
      </c>
      <c r="M21" s="2911">
        <v>1919</v>
      </c>
      <c r="N21" s="2908">
        <v>1725</v>
      </c>
    </row>
    <row r="22" spans="1:14" ht="18" customHeight="1" x14ac:dyDescent="0.25">
      <c r="A22" s="2912" t="s">
        <v>908</v>
      </c>
      <c r="B22" s="2904">
        <v>502</v>
      </c>
      <c r="C22" s="2905">
        <v>521</v>
      </c>
      <c r="D22" s="2906">
        <v>503</v>
      </c>
      <c r="E22" s="2907">
        <v>442</v>
      </c>
      <c r="F22" s="2908">
        <v>444</v>
      </c>
      <c r="G22" s="2908">
        <v>468</v>
      </c>
      <c r="H22" s="2909">
        <v>540</v>
      </c>
      <c r="I22" s="2907">
        <v>355</v>
      </c>
      <c r="J22" s="2908">
        <v>428</v>
      </c>
      <c r="K22" s="2907">
        <v>1527</v>
      </c>
      <c r="L22" s="2910">
        <v>1456</v>
      </c>
      <c r="M22" s="2911">
        <v>1903</v>
      </c>
      <c r="N22" s="2908">
        <v>1766</v>
      </c>
    </row>
    <row r="23" spans="1:14" ht="18" customHeight="1" x14ac:dyDescent="0.25">
      <c r="A23" s="2899" t="s">
        <v>911</v>
      </c>
      <c r="B23" s="2904">
        <v>0</v>
      </c>
      <c r="C23" s="2905">
        <v>6</v>
      </c>
      <c r="D23" s="2906">
        <v>-5</v>
      </c>
      <c r="E23" s="2913">
        <v>-8</v>
      </c>
      <c r="F23" s="2915">
        <v>7</v>
      </c>
      <c r="G23" s="2915">
        <v>8</v>
      </c>
      <c r="H23" s="2917">
        <v>18</v>
      </c>
      <c r="I23" s="2913">
        <v>13</v>
      </c>
      <c r="J23" s="2915">
        <v>13</v>
      </c>
      <c r="K23" s="2907">
        <v>0</v>
      </c>
      <c r="L23" s="2910">
        <v>29</v>
      </c>
      <c r="M23" s="2911">
        <v>16</v>
      </c>
      <c r="N23" s="2908">
        <v>-41</v>
      </c>
    </row>
    <row r="24" spans="1:14" ht="18" customHeight="1" x14ac:dyDescent="0.25">
      <c r="A24" s="2918" t="s">
        <v>370</v>
      </c>
      <c r="B24" s="2919"/>
      <c r="C24" s="2920"/>
      <c r="D24" s="2921"/>
      <c r="E24" s="2922"/>
      <c r="F24" s="2923"/>
      <c r="G24" s="2923"/>
      <c r="H24" s="2924"/>
      <c r="I24" s="2922"/>
      <c r="J24" s="2923"/>
      <c r="K24" s="2925"/>
      <c r="L24" s="2926"/>
      <c r="M24" s="2927"/>
      <c r="N24" s="2928"/>
    </row>
    <row r="25" spans="1:14" ht="18" customHeight="1" x14ac:dyDescent="0.25">
      <c r="A25" s="2929" t="s">
        <v>912</v>
      </c>
      <c r="B25" s="2930">
        <v>4.3099999999999996</v>
      </c>
      <c r="C25" s="2931">
        <v>4.29</v>
      </c>
      <c r="D25" s="2932">
        <v>4.1500000000000004</v>
      </c>
      <c r="E25" s="2933">
        <v>4.16</v>
      </c>
      <c r="F25" s="2934">
        <v>4.1399999999999997</v>
      </c>
      <c r="G25" s="2934">
        <v>4.2</v>
      </c>
      <c r="H25" s="2935">
        <v>4.1100000000000003</v>
      </c>
      <c r="I25" s="2933">
        <v>3.89</v>
      </c>
      <c r="J25" s="2934">
        <v>3.81</v>
      </c>
      <c r="K25" s="2936">
        <v>4.25</v>
      </c>
      <c r="L25" s="2937">
        <v>4.1500000000000004</v>
      </c>
      <c r="M25" s="2938">
        <v>4.1500000000000004</v>
      </c>
      <c r="N25" s="2934">
        <v>3.8</v>
      </c>
    </row>
    <row r="26" spans="1:14" ht="18" customHeight="1" x14ac:dyDescent="0.25">
      <c r="A26" s="2939" t="s">
        <v>913</v>
      </c>
      <c r="B26" s="2940"/>
      <c r="C26" s="2941"/>
      <c r="D26" s="2942"/>
      <c r="E26" s="2943"/>
      <c r="F26" s="2944"/>
      <c r="G26" s="2944"/>
      <c r="H26" s="2945"/>
      <c r="I26" s="2943"/>
      <c r="J26" s="2944"/>
      <c r="K26" s="2946"/>
      <c r="L26" s="2947"/>
      <c r="M26" s="2948"/>
      <c r="N26" s="2944"/>
    </row>
    <row r="27" spans="1:14" ht="18" customHeight="1" x14ac:dyDescent="0.25">
      <c r="A27" s="2949" t="s">
        <v>914</v>
      </c>
      <c r="B27" s="2930">
        <v>1.48</v>
      </c>
      <c r="C27" s="2950">
        <v>1.49</v>
      </c>
      <c r="D27" s="2932">
        <v>1.58</v>
      </c>
      <c r="E27" s="2933">
        <v>1.48</v>
      </c>
      <c r="F27" s="2934">
        <v>1.53</v>
      </c>
      <c r="G27" s="2934">
        <v>1.5</v>
      </c>
      <c r="H27" s="2951">
        <v>1.45</v>
      </c>
      <c r="I27" s="2933">
        <v>1.28</v>
      </c>
      <c r="J27" s="2934">
        <v>1.28</v>
      </c>
      <c r="K27" s="2936">
        <v>1.52</v>
      </c>
      <c r="L27" s="2952">
        <v>1.49</v>
      </c>
      <c r="M27" s="2938">
        <v>1.49</v>
      </c>
      <c r="N27" s="2934">
        <v>1.17</v>
      </c>
    </row>
    <row r="28" spans="1:14" ht="18" customHeight="1" x14ac:dyDescent="0.25">
      <c r="A28" s="2949" t="s">
        <v>915</v>
      </c>
      <c r="B28" s="2930">
        <v>1.39</v>
      </c>
      <c r="C28" s="2950">
        <v>1.41</v>
      </c>
      <c r="D28" s="2932">
        <v>1.45</v>
      </c>
      <c r="E28" s="2933">
        <v>1.5</v>
      </c>
      <c r="F28" s="2934">
        <v>1.56</v>
      </c>
      <c r="G28" s="2934">
        <v>1.49</v>
      </c>
      <c r="H28" s="2951">
        <v>1.43</v>
      </c>
      <c r="I28" s="2933">
        <v>1.23</v>
      </c>
      <c r="J28" s="2934">
        <v>1.17</v>
      </c>
      <c r="K28" s="2936">
        <v>1.42</v>
      </c>
      <c r="L28" s="2952">
        <v>1.49</v>
      </c>
      <c r="M28" s="2938">
        <v>1.49</v>
      </c>
      <c r="N28" s="2934">
        <v>1.08</v>
      </c>
    </row>
    <row r="29" spans="1:14" ht="18" customHeight="1" x14ac:dyDescent="0.25">
      <c r="A29" s="2949" t="s">
        <v>319</v>
      </c>
      <c r="B29" s="2953">
        <v>50.1</v>
      </c>
      <c r="C29" s="2954">
        <v>50.6</v>
      </c>
      <c r="D29" s="2955">
        <v>50.04</v>
      </c>
      <c r="E29" s="2956">
        <v>51.9</v>
      </c>
      <c r="F29" s="2957">
        <v>51.8</v>
      </c>
      <c r="G29" s="2957">
        <v>51.6</v>
      </c>
      <c r="H29" s="2958">
        <v>49.9</v>
      </c>
      <c r="I29" s="2956">
        <v>55.3</v>
      </c>
      <c r="J29" s="2957">
        <v>52.8</v>
      </c>
      <c r="K29" s="2959">
        <v>50.2</v>
      </c>
      <c r="L29" s="2960">
        <v>51.1</v>
      </c>
      <c r="M29" s="2961">
        <v>51.3</v>
      </c>
      <c r="N29" s="2957">
        <v>54.1</v>
      </c>
    </row>
    <row r="30" spans="1:14" ht="18" customHeight="1" x14ac:dyDescent="0.25">
      <c r="A30" s="2918" t="s">
        <v>890</v>
      </c>
      <c r="B30" s="2919"/>
      <c r="C30" s="2920"/>
      <c r="D30" s="2921"/>
      <c r="E30" s="2922"/>
      <c r="F30" s="2923"/>
      <c r="G30" s="2923"/>
      <c r="H30" s="2924"/>
      <c r="I30" s="2922"/>
      <c r="J30" s="2923"/>
      <c r="K30" s="2925"/>
      <c r="L30" s="2926"/>
      <c r="M30" s="2927"/>
      <c r="N30" s="2928"/>
    </row>
    <row r="31" spans="1:14" ht="18" customHeight="1" x14ac:dyDescent="0.25">
      <c r="A31" s="2929" t="s">
        <v>321</v>
      </c>
      <c r="B31" s="2953">
        <v>45.6</v>
      </c>
      <c r="C31" s="2954">
        <v>45.4</v>
      </c>
      <c r="D31" s="2955">
        <v>44.2</v>
      </c>
      <c r="E31" s="2956">
        <v>44.1</v>
      </c>
      <c r="F31" s="2957">
        <v>45.6</v>
      </c>
      <c r="G31" s="2957">
        <v>44.8</v>
      </c>
      <c r="H31" s="2962">
        <v>45.2</v>
      </c>
      <c r="I31" s="2956">
        <v>44.5</v>
      </c>
      <c r="J31" s="2957">
        <v>45.5</v>
      </c>
      <c r="K31" s="2959">
        <v>45.1</v>
      </c>
      <c r="L31" s="2960">
        <v>45.2</v>
      </c>
      <c r="M31" s="2963">
        <v>44.9</v>
      </c>
      <c r="N31" s="2957">
        <v>43.7</v>
      </c>
    </row>
    <row r="32" spans="1:14" ht="18" customHeight="1" x14ac:dyDescent="0.25">
      <c r="A32" s="2899" t="s">
        <v>353</v>
      </c>
      <c r="B32" s="2953">
        <v>16.2</v>
      </c>
      <c r="C32" s="2954">
        <v>16.2</v>
      </c>
      <c r="D32" s="2955">
        <v>16</v>
      </c>
      <c r="E32" s="2956">
        <v>15.5</v>
      </c>
      <c r="F32" s="2957">
        <v>15.7</v>
      </c>
      <c r="G32" s="2957">
        <v>15.5</v>
      </c>
      <c r="H32" s="2962">
        <v>15.5</v>
      </c>
      <c r="I32" s="2956">
        <v>15.2</v>
      </c>
      <c r="J32" s="2957">
        <v>16.100000000000001</v>
      </c>
      <c r="K32" s="2959">
        <v>16.100000000000001</v>
      </c>
      <c r="L32" s="2960">
        <v>15.6</v>
      </c>
      <c r="M32" s="2963">
        <v>15.4</v>
      </c>
      <c r="N32" s="2957">
        <v>15.7</v>
      </c>
    </row>
    <row r="33" spans="1:14" ht="18" customHeight="1" x14ac:dyDescent="0.25">
      <c r="A33" s="2899" t="s">
        <v>354</v>
      </c>
      <c r="B33" s="2953">
        <v>6.8</v>
      </c>
      <c r="C33" s="2954">
        <v>6.9</v>
      </c>
      <c r="D33" s="2955">
        <v>6.8</v>
      </c>
      <c r="E33" s="2956">
        <v>6.8</v>
      </c>
      <c r="F33" s="2957">
        <v>7.3</v>
      </c>
      <c r="G33" s="2957">
        <v>7.2</v>
      </c>
      <c r="H33" s="2962">
        <v>7.3</v>
      </c>
      <c r="I33" s="2956">
        <v>7.1999999999999993</v>
      </c>
      <c r="J33" s="2957">
        <v>7.3</v>
      </c>
      <c r="K33" s="2959">
        <v>6.8</v>
      </c>
      <c r="L33" s="2960">
        <v>7.2</v>
      </c>
      <c r="M33" s="2963">
        <v>7.1</v>
      </c>
      <c r="N33" s="2957">
        <v>7.1</v>
      </c>
    </row>
    <row r="34" spans="1:14" ht="18" customHeight="1" x14ac:dyDescent="0.25">
      <c r="A34" s="2899" t="s">
        <v>324</v>
      </c>
      <c r="B34" s="2953">
        <v>71.2</v>
      </c>
      <c r="C34" s="2954">
        <v>73.8</v>
      </c>
      <c r="D34" s="2955">
        <v>75.099999999999994</v>
      </c>
      <c r="E34" s="2956">
        <v>75.399999999999991</v>
      </c>
      <c r="F34" s="2957">
        <v>79.3</v>
      </c>
      <c r="G34" s="2957">
        <v>80.099999999999994</v>
      </c>
      <c r="H34" s="2962">
        <v>82.1</v>
      </c>
      <c r="I34" s="2956">
        <v>84.4</v>
      </c>
      <c r="J34" s="2957">
        <v>86.499999999999986</v>
      </c>
      <c r="K34" s="2959">
        <v>73.400000000000006</v>
      </c>
      <c r="L34" s="2960">
        <v>80.5</v>
      </c>
      <c r="M34" s="2963">
        <v>79.3</v>
      </c>
      <c r="N34" s="2957">
        <v>85.6</v>
      </c>
    </row>
    <row r="35" spans="1:14" ht="18" customHeight="1" x14ac:dyDescent="0.25">
      <c r="A35" s="2912" t="s">
        <v>355</v>
      </c>
      <c r="B35" s="2953">
        <v>139.80000000000001</v>
      </c>
      <c r="C35" s="2954">
        <v>142.30000000000001</v>
      </c>
      <c r="D35" s="2955">
        <v>142.1</v>
      </c>
      <c r="E35" s="2964">
        <v>141.80000000000001</v>
      </c>
      <c r="F35" s="2957">
        <v>147.89999999999998</v>
      </c>
      <c r="G35" s="2957">
        <v>147.6</v>
      </c>
      <c r="H35" s="2962">
        <v>150.1</v>
      </c>
      <c r="I35" s="2956">
        <v>151.30000000000001</v>
      </c>
      <c r="J35" s="2957">
        <v>155.39999999999998</v>
      </c>
      <c r="K35" s="2965">
        <v>141.4</v>
      </c>
      <c r="L35" s="2966">
        <v>148.5</v>
      </c>
      <c r="M35" s="2967">
        <v>146.69999999999999</v>
      </c>
      <c r="N35" s="2968">
        <v>152.1</v>
      </c>
    </row>
    <row r="36" spans="1:14" ht="18" customHeight="1" x14ac:dyDescent="0.25">
      <c r="A36" s="2912"/>
      <c r="B36" s="2953"/>
      <c r="C36" s="2954"/>
      <c r="D36" s="2955"/>
      <c r="E36" s="2964"/>
      <c r="F36" s="2957"/>
      <c r="G36" s="2957"/>
      <c r="H36" s="2962"/>
      <c r="I36" s="2956"/>
      <c r="J36" s="2957"/>
      <c r="K36" s="2964"/>
      <c r="L36" s="2969"/>
      <c r="M36" s="2967"/>
      <c r="N36" s="2968"/>
    </row>
    <row r="37" spans="1:14" ht="18" customHeight="1" x14ac:dyDescent="0.25">
      <c r="A37" s="2970" t="s">
        <v>916</v>
      </c>
      <c r="B37" s="2971">
        <v>101.2</v>
      </c>
      <c r="C37" s="2972">
        <v>102</v>
      </c>
      <c r="D37" s="2973">
        <v>99.2</v>
      </c>
      <c r="E37" s="2974">
        <v>98.6</v>
      </c>
      <c r="F37" s="2975">
        <v>105.4</v>
      </c>
      <c r="G37" s="2975">
        <v>108.3</v>
      </c>
      <c r="H37" s="2976">
        <v>105.1</v>
      </c>
      <c r="I37" s="2974">
        <v>105.2</v>
      </c>
      <c r="J37" s="2975">
        <v>102.5</v>
      </c>
      <c r="K37" s="2977">
        <v>100.7</v>
      </c>
      <c r="L37" s="2978">
        <v>106.2</v>
      </c>
      <c r="M37" s="2979">
        <v>104.3</v>
      </c>
      <c r="N37" s="2975">
        <v>100.2</v>
      </c>
    </row>
    <row r="38" spans="1:14" ht="16.350000000000001" customHeight="1" x14ac:dyDescent="0.25">
      <c r="A38" s="954"/>
      <c r="B38" s="2980"/>
      <c r="C38" s="2981"/>
      <c r="D38" s="2981"/>
      <c r="E38" s="2982"/>
      <c r="F38" s="2982"/>
      <c r="G38" s="2982"/>
      <c r="H38" s="2982"/>
      <c r="I38" s="2982"/>
      <c r="J38" s="2982"/>
      <c r="K38" s="2982"/>
      <c r="L38" s="2982"/>
      <c r="M38" s="2982"/>
      <c r="N38" s="2982"/>
    </row>
    <row r="39" spans="1:14" ht="12" customHeight="1" x14ac:dyDescent="0.25">
      <c r="A39" s="3511" t="s">
        <v>917</v>
      </c>
      <c r="B39" s="3511" t="s">
        <v>14</v>
      </c>
      <c r="C39" s="3511" t="s">
        <v>14</v>
      </c>
      <c r="D39" s="3511" t="s">
        <v>14</v>
      </c>
      <c r="E39" s="3511" t="s">
        <v>14</v>
      </c>
      <c r="F39" s="3511" t="s">
        <v>14</v>
      </c>
      <c r="G39" s="3511" t="s">
        <v>14</v>
      </c>
      <c r="H39" s="3511" t="s">
        <v>14</v>
      </c>
      <c r="I39" s="3511" t="s">
        <v>14</v>
      </c>
      <c r="J39" s="3511" t="s">
        <v>14</v>
      </c>
      <c r="K39" s="3511" t="s">
        <v>14</v>
      </c>
      <c r="L39" s="3511" t="s">
        <v>14</v>
      </c>
      <c r="M39" s="3511" t="s">
        <v>14</v>
      </c>
      <c r="N39" s="3511" t="s">
        <v>14</v>
      </c>
    </row>
    <row r="40" spans="1:14" ht="12" customHeight="1" x14ac:dyDescent="0.25">
      <c r="A40" s="3511" t="s">
        <v>918</v>
      </c>
      <c r="B40" s="3511" t="s">
        <v>14</v>
      </c>
      <c r="C40" s="3511" t="s">
        <v>14</v>
      </c>
      <c r="D40" s="3511" t="s">
        <v>14</v>
      </c>
      <c r="E40" s="3511" t="s">
        <v>14</v>
      </c>
      <c r="F40" s="3511" t="s">
        <v>14</v>
      </c>
      <c r="G40" s="3511" t="s">
        <v>14</v>
      </c>
      <c r="H40" s="3511" t="s">
        <v>14</v>
      </c>
      <c r="I40" s="3511" t="s">
        <v>14</v>
      </c>
      <c r="J40" s="3511" t="s">
        <v>14</v>
      </c>
      <c r="K40" s="3511" t="s">
        <v>14</v>
      </c>
      <c r="L40" s="3511" t="s">
        <v>14</v>
      </c>
      <c r="M40" s="3511" t="s">
        <v>14</v>
      </c>
      <c r="N40" s="3511" t="s">
        <v>14</v>
      </c>
    </row>
    <row r="41" spans="1:14" ht="12" customHeight="1" x14ac:dyDescent="0.25">
      <c r="A41" s="3511" t="s">
        <v>919</v>
      </c>
      <c r="B41" s="3511" t="s">
        <v>14</v>
      </c>
      <c r="C41" s="3511" t="s">
        <v>14</v>
      </c>
      <c r="D41" s="3511" t="s">
        <v>14</v>
      </c>
      <c r="E41" s="3511" t="s">
        <v>14</v>
      </c>
      <c r="F41" s="3511" t="s">
        <v>14</v>
      </c>
      <c r="G41" s="3511" t="s">
        <v>14</v>
      </c>
      <c r="H41" s="3511" t="s">
        <v>14</v>
      </c>
      <c r="I41" s="3511" t="s">
        <v>14</v>
      </c>
      <c r="J41" s="3511" t="s">
        <v>14</v>
      </c>
      <c r="K41" s="3511" t="s">
        <v>14</v>
      </c>
      <c r="L41" s="3511" t="s">
        <v>14</v>
      </c>
      <c r="M41" s="3511" t="s">
        <v>14</v>
      </c>
      <c r="N41" s="3511" t="s">
        <v>14</v>
      </c>
    </row>
    <row r="42" spans="1:14" ht="12" customHeight="1" x14ac:dyDescent="0.25">
      <c r="A42" s="3511" t="s">
        <v>920</v>
      </c>
      <c r="B42" s="3511" t="s">
        <v>14</v>
      </c>
      <c r="C42" s="3511" t="s">
        <v>14</v>
      </c>
      <c r="D42" s="3511" t="s">
        <v>14</v>
      </c>
      <c r="E42" s="3511" t="s">
        <v>14</v>
      </c>
      <c r="F42" s="3511" t="s">
        <v>14</v>
      </c>
      <c r="G42" s="3511" t="s">
        <v>14</v>
      </c>
      <c r="H42" s="3511" t="s">
        <v>14</v>
      </c>
      <c r="I42" s="3511" t="s">
        <v>14</v>
      </c>
      <c r="J42" s="3511" t="s">
        <v>14</v>
      </c>
      <c r="K42" s="3511" t="s">
        <v>14</v>
      </c>
      <c r="L42" s="3511" t="s">
        <v>14</v>
      </c>
      <c r="M42" s="3511" t="s">
        <v>14</v>
      </c>
      <c r="N42" s="3511" t="s">
        <v>14</v>
      </c>
    </row>
    <row r="43" spans="1:14" ht="12" customHeight="1" x14ac:dyDescent="0.25">
      <c r="A43" s="958" t="s">
        <v>921</v>
      </c>
      <c r="B43" s="958"/>
      <c r="C43" s="958"/>
      <c r="D43" s="958"/>
      <c r="E43" s="958"/>
      <c r="F43" s="958"/>
      <c r="G43" s="958"/>
      <c r="H43" s="958"/>
      <c r="I43" s="958"/>
      <c r="J43" s="958"/>
      <c r="K43" s="958"/>
      <c r="L43" s="958"/>
      <c r="M43" s="958"/>
      <c r="N43" s="958"/>
    </row>
    <row r="44" spans="1:14" ht="12" customHeight="1" x14ac:dyDescent="0.25">
      <c r="A44" s="958" t="s">
        <v>922</v>
      </c>
      <c r="B44" s="958"/>
      <c r="C44" s="958"/>
      <c r="D44" s="958"/>
      <c r="E44" s="958"/>
      <c r="F44" s="958"/>
      <c r="G44" s="958"/>
      <c r="H44" s="958"/>
      <c r="I44" s="958"/>
      <c r="J44" s="958"/>
      <c r="K44" s="958"/>
      <c r="L44" s="958"/>
      <c r="M44" s="958"/>
      <c r="N44" s="958"/>
    </row>
    <row r="45" spans="1:14" ht="12" customHeight="1" x14ac:dyDescent="0.25">
      <c r="A45" s="958" t="s">
        <v>923</v>
      </c>
      <c r="B45" s="958"/>
      <c r="C45" s="958"/>
      <c r="D45" s="958"/>
      <c r="E45" s="958"/>
      <c r="F45" s="958"/>
      <c r="G45" s="958"/>
      <c r="H45" s="958"/>
      <c r="I45" s="958"/>
      <c r="J45" s="958"/>
      <c r="K45" s="958"/>
      <c r="L45" s="958"/>
      <c r="M45" s="958"/>
      <c r="N45" s="958"/>
    </row>
    <row r="46" spans="1:14" ht="12" customHeight="1" x14ac:dyDescent="0.25">
      <c r="A46" s="958"/>
      <c r="B46" s="958"/>
      <c r="C46" s="958"/>
      <c r="D46" s="958"/>
      <c r="E46" s="958"/>
      <c r="F46" s="958"/>
      <c r="G46" s="958"/>
      <c r="H46" s="958"/>
      <c r="I46" s="958"/>
      <c r="J46" s="958"/>
      <c r="K46" s="958"/>
      <c r="L46" s="958"/>
      <c r="M46" s="958"/>
      <c r="N46" s="958"/>
    </row>
  </sheetData>
  <mergeCells count="10">
    <mergeCell ref="A39:N39"/>
    <mergeCell ref="A40:N40"/>
    <mergeCell ref="A41:N41"/>
    <mergeCell ref="A42:N42"/>
    <mergeCell ref="A2:N2"/>
    <mergeCell ref="B3:D3"/>
    <mergeCell ref="E3:H3"/>
    <mergeCell ref="I3:J3"/>
    <mergeCell ref="K3:L3"/>
    <mergeCell ref="M3:N3"/>
  </mergeCells>
  <hyperlinks>
    <hyperlink ref="A1" location="ToC!A2" display="Back to Table of Contents" xr:uid="{9B982800-4264-43FD-A4A3-E1CB9592E3A4}"/>
  </hyperlinks>
  <pageMargins left="0.5" right="0.5" top="0.5" bottom="0.5" header="0.25" footer="0.25"/>
  <pageSetup scale="50" orientation="landscape" r:id="rId1"/>
  <headerFooter>
    <oddFooter>&amp;L&amp;G&amp;C&amp;"Scotia,Regular"&amp;9Supplementary Financial Information (SFI)&amp;R28&amp;"Scotia,Regular"&amp;7</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7061-0962-4FB6-8AE1-BF07D2ECDF5B}">
  <sheetPr>
    <pageSetUpPr fitToPage="1"/>
  </sheetPr>
  <dimension ref="A1:N44"/>
  <sheetViews>
    <sheetView showGridLines="0" zoomScaleNormal="100" workbookViewId="0"/>
  </sheetViews>
  <sheetFormatPr defaultColWidth="8.77734375" defaultRowHeight="13.2" x14ac:dyDescent="0.25"/>
  <cols>
    <col min="1" max="1" width="82.88671875" style="22" customWidth="1"/>
    <col min="2" max="3" width="11.21875" style="22" customWidth="1"/>
    <col min="4" max="14" width="12.5546875" style="22" customWidth="1"/>
    <col min="15" max="16384" width="8.77734375" style="22"/>
  </cols>
  <sheetData>
    <row r="1" spans="1:14" ht="19.95" customHeight="1" x14ac:dyDescent="0.25">
      <c r="A1" s="21" t="s">
        <v>12</v>
      </c>
    </row>
    <row r="2" spans="1:14" ht="25.35" customHeight="1" x14ac:dyDescent="0.25">
      <c r="A2" s="3474" t="s">
        <v>924</v>
      </c>
      <c r="B2" s="3474" t="s">
        <v>14</v>
      </c>
      <c r="C2" s="3474" t="s">
        <v>14</v>
      </c>
      <c r="D2" s="3474" t="s">
        <v>14</v>
      </c>
      <c r="E2" s="3474" t="s">
        <v>14</v>
      </c>
      <c r="F2" s="3474" t="s">
        <v>14</v>
      </c>
      <c r="G2" s="3474" t="s">
        <v>14</v>
      </c>
      <c r="H2" s="3474" t="s">
        <v>14</v>
      </c>
      <c r="I2" s="3474" t="s">
        <v>14</v>
      </c>
      <c r="J2" s="3474" t="s">
        <v>14</v>
      </c>
      <c r="K2" s="3474" t="s">
        <v>14</v>
      </c>
      <c r="L2" s="3474" t="s">
        <v>14</v>
      </c>
      <c r="M2" s="3474" t="s">
        <v>14</v>
      </c>
      <c r="N2" s="3474" t="s">
        <v>14</v>
      </c>
    </row>
    <row r="3" spans="1:14" ht="15" customHeight="1" x14ac:dyDescent="0.25">
      <c r="A3" s="2877"/>
      <c r="B3" s="3666" t="s">
        <v>172</v>
      </c>
      <c r="C3" s="3666" t="s">
        <v>14</v>
      </c>
      <c r="D3" s="3667" t="s">
        <v>14</v>
      </c>
      <c r="E3" s="3668" t="s">
        <v>343</v>
      </c>
      <c r="F3" s="3669" t="s">
        <v>14</v>
      </c>
      <c r="G3" s="3669" t="s">
        <v>14</v>
      </c>
      <c r="H3" s="3670" t="s">
        <v>14</v>
      </c>
      <c r="I3" s="3668" t="s">
        <v>344</v>
      </c>
      <c r="J3" s="3669" t="s">
        <v>14</v>
      </c>
      <c r="K3" s="3668" t="s">
        <v>173</v>
      </c>
      <c r="L3" s="3670" t="s">
        <v>14</v>
      </c>
      <c r="M3" s="3669" t="s">
        <v>174</v>
      </c>
      <c r="N3" s="3669" t="s">
        <v>14</v>
      </c>
    </row>
    <row r="4" spans="1:14" ht="15" customHeight="1" x14ac:dyDescent="0.25">
      <c r="A4" s="2878"/>
      <c r="B4" s="2983" t="s">
        <v>176</v>
      </c>
      <c r="C4" s="2984" t="s">
        <v>177</v>
      </c>
      <c r="D4" s="2985" t="s">
        <v>178</v>
      </c>
      <c r="E4" s="2986" t="s">
        <v>179</v>
      </c>
      <c r="F4" s="2987" t="s">
        <v>180</v>
      </c>
      <c r="G4" s="2987" t="s">
        <v>177</v>
      </c>
      <c r="H4" s="2988" t="s">
        <v>178</v>
      </c>
      <c r="I4" s="2986" t="s">
        <v>179</v>
      </c>
      <c r="J4" s="2987" t="s">
        <v>180</v>
      </c>
      <c r="K4" s="2989">
        <v>2025</v>
      </c>
      <c r="L4" s="2990">
        <v>2024</v>
      </c>
      <c r="M4" s="2991">
        <v>2024</v>
      </c>
      <c r="N4" s="2992">
        <v>2023</v>
      </c>
    </row>
    <row r="5" spans="1:14" ht="15" customHeight="1" x14ac:dyDescent="0.25">
      <c r="A5" s="2918" t="s">
        <v>925</v>
      </c>
      <c r="B5" s="2993"/>
      <c r="C5" s="2994"/>
      <c r="D5" s="2995"/>
      <c r="E5" s="2996"/>
      <c r="F5" s="2997"/>
      <c r="G5" s="2997"/>
      <c r="H5" s="2998"/>
      <c r="I5" s="2996"/>
      <c r="J5" s="2997"/>
      <c r="K5" s="2999"/>
      <c r="L5" s="3000"/>
      <c r="M5" s="2997"/>
      <c r="N5" s="2997"/>
    </row>
    <row r="6" spans="1:14" ht="15" customHeight="1" x14ac:dyDescent="0.25">
      <c r="A6" s="2929" t="s">
        <v>902</v>
      </c>
      <c r="B6" s="3001">
        <v>567</v>
      </c>
      <c r="C6" s="3002">
        <v>543</v>
      </c>
      <c r="D6" s="283">
        <v>569</v>
      </c>
      <c r="E6" s="3003">
        <v>535</v>
      </c>
      <c r="F6" s="3004">
        <v>536</v>
      </c>
      <c r="G6" s="3004">
        <v>511</v>
      </c>
      <c r="H6" s="3005">
        <v>524</v>
      </c>
      <c r="I6" s="3003">
        <v>507</v>
      </c>
      <c r="J6" s="3004">
        <v>488</v>
      </c>
      <c r="K6" s="3003">
        <v>1679</v>
      </c>
      <c r="L6" s="3006">
        <v>1571</v>
      </c>
      <c r="M6" s="3004">
        <v>2106</v>
      </c>
      <c r="N6" s="3004">
        <v>1969</v>
      </c>
    </row>
    <row r="7" spans="1:14" ht="15" customHeight="1" x14ac:dyDescent="0.25">
      <c r="A7" s="2899" t="s">
        <v>276</v>
      </c>
      <c r="B7" s="2904">
        <v>36</v>
      </c>
      <c r="C7" s="2905">
        <v>31</v>
      </c>
      <c r="D7" s="2906">
        <v>34</v>
      </c>
      <c r="E7" s="2907">
        <v>30</v>
      </c>
      <c r="F7" s="2908">
        <v>26</v>
      </c>
      <c r="G7" s="2908">
        <v>28</v>
      </c>
      <c r="H7" s="2909">
        <v>29</v>
      </c>
      <c r="I7" s="2907">
        <v>31</v>
      </c>
      <c r="J7" s="2908">
        <v>24</v>
      </c>
      <c r="K7" s="2907">
        <v>101</v>
      </c>
      <c r="L7" s="3007">
        <v>83</v>
      </c>
      <c r="M7" s="2908">
        <v>113</v>
      </c>
      <c r="N7" s="2908">
        <v>95</v>
      </c>
    </row>
    <row r="8" spans="1:14" ht="15" customHeight="1" x14ac:dyDescent="0.25">
      <c r="A8" s="2899" t="s">
        <v>303</v>
      </c>
      <c r="B8" s="2904">
        <v>268</v>
      </c>
      <c r="C8" s="2905">
        <v>280</v>
      </c>
      <c r="D8" s="2906">
        <v>292</v>
      </c>
      <c r="E8" s="2907">
        <v>264</v>
      </c>
      <c r="F8" s="2908">
        <v>269</v>
      </c>
      <c r="G8" s="2908">
        <v>257</v>
      </c>
      <c r="H8" s="2909">
        <v>280</v>
      </c>
      <c r="I8" s="2907">
        <v>267</v>
      </c>
      <c r="J8" s="2908">
        <v>255</v>
      </c>
      <c r="K8" s="2907">
        <v>840</v>
      </c>
      <c r="L8" s="3007">
        <v>806</v>
      </c>
      <c r="M8" s="2908">
        <v>1070</v>
      </c>
      <c r="N8" s="2908">
        <v>1041</v>
      </c>
    </row>
    <row r="9" spans="1:14" ht="15" customHeight="1" x14ac:dyDescent="0.25">
      <c r="A9" s="2899" t="s">
        <v>903</v>
      </c>
      <c r="B9" s="2904">
        <v>263</v>
      </c>
      <c r="C9" s="2905">
        <v>232</v>
      </c>
      <c r="D9" s="2906">
        <v>243</v>
      </c>
      <c r="E9" s="2907">
        <v>241</v>
      </c>
      <c r="F9" s="2908">
        <v>241</v>
      </c>
      <c r="G9" s="2908">
        <v>226</v>
      </c>
      <c r="H9" s="2909">
        <v>215</v>
      </c>
      <c r="I9" s="2907">
        <v>209</v>
      </c>
      <c r="J9" s="2908">
        <v>209</v>
      </c>
      <c r="K9" s="2907">
        <v>738</v>
      </c>
      <c r="L9" s="3007">
        <v>682</v>
      </c>
      <c r="M9" s="2908">
        <v>923</v>
      </c>
      <c r="N9" s="2908">
        <v>833</v>
      </c>
    </row>
    <row r="10" spans="1:14" ht="15" customHeight="1" x14ac:dyDescent="0.25">
      <c r="A10" s="2899" t="s">
        <v>304</v>
      </c>
      <c r="B10" s="2904">
        <v>68</v>
      </c>
      <c r="C10" s="2905">
        <v>59</v>
      </c>
      <c r="D10" s="2906">
        <v>67</v>
      </c>
      <c r="E10" s="2907">
        <v>45</v>
      </c>
      <c r="F10" s="2908">
        <v>50</v>
      </c>
      <c r="G10" s="2908">
        <v>40</v>
      </c>
      <c r="H10" s="2909">
        <v>43</v>
      </c>
      <c r="I10" s="2907">
        <v>36</v>
      </c>
      <c r="J10" s="2908">
        <v>42</v>
      </c>
      <c r="K10" s="2907">
        <v>194</v>
      </c>
      <c r="L10" s="3007">
        <v>133</v>
      </c>
      <c r="M10" s="2908">
        <v>178</v>
      </c>
      <c r="N10" s="2908">
        <v>168</v>
      </c>
    </row>
    <row r="11" spans="1:14" ht="15" customHeight="1" x14ac:dyDescent="0.25">
      <c r="A11" s="2912" t="s">
        <v>305</v>
      </c>
      <c r="B11" s="2904">
        <v>195</v>
      </c>
      <c r="C11" s="2905">
        <v>173</v>
      </c>
      <c r="D11" s="2906">
        <v>176</v>
      </c>
      <c r="E11" s="2907">
        <v>196</v>
      </c>
      <c r="F11" s="2908">
        <v>191</v>
      </c>
      <c r="G11" s="2908">
        <v>186</v>
      </c>
      <c r="H11" s="2909">
        <v>172</v>
      </c>
      <c r="I11" s="2907">
        <v>173</v>
      </c>
      <c r="J11" s="2908">
        <v>167</v>
      </c>
      <c r="K11" s="2907">
        <v>544</v>
      </c>
      <c r="L11" s="3007">
        <v>549</v>
      </c>
      <c r="M11" s="2908">
        <v>745</v>
      </c>
      <c r="N11" s="2908">
        <v>665</v>
      </c>
    </row>
    <row r="12" spans="1:14" ht="15" customHeight="1" x14ac:dyDescent="0.25">
      <c r="A12" s="2899" t="s">
        <v>281</v>
      </c>
      <c r="B12" s="2904">
        <v>0</v>
      </c>
      <c r="C12" s="2905">
        <v>0</v>
      </c>
      <c r="D12" s="2906">
        <v>1</v>
      </c>
      <c r="E12" s="2907">
        <v>0</v>
      </c>
      <c r="F12" s="2908">
        <v>1</v>
      </c>
      <c r="G12" s="2908">
        <v>0</v>
      </c>
      <c r="H12" s="2909">
        <v>1</v>
      </c>
      <c r="I12" s="2907">
        <v>1</v>
      </c>
      <c r="J12" s="2908">
        <v>0</v>
      </c>
      <c r="K12" s="2907">
        <v>1</v>
      </c>
      <c r="L12" s="3007">
        <v>2</v>
      </c>
      <c r="M12" s="2908">
        <v>2</v>
      </c>
      <c r="N12" s="2908">
        <v>2</v>
      </c>
    </row>
    <row r="13" spans="1:14" ht="15" customHeight="1" x14ac:dyDescent="0.25">
      <c r="A13" s="2912" t="s">
        <v>282</v>
      </c>
      <c r="B13" s="2904">
        <v>195</v>
      </c>
      <c r="C13" s="2905">
        <v>173</v>
      </c>
      <c r="D13" s="2906">
        <v>177</v>
      </c>
      <c r="E13" s="2913">
        <v>196</v>
      </c>
      <c r="F13" s="2908">
        <v>192</v>
      </c>
      <c r="G13" s="2908">
        <v>186</v>
      </c>
      <c r="H13" s="2909">
        <v>173</v>
      </c>
      <c r="I13" s="2907">
        <v>174</v>
      </c>
      <c r="J13" s="2908">
        <v>167</v>
      </c>
      <c r="K13" s="2913">
        <v>545</v>
      </c>
      <c r="L13" s="3007">
        <v>551</v>
      </c>
      <c r="M13" s="2915">
        <v>747</v>
      </c>
      <c r="N13" s="2915">
        <v>667</v>
      </c>
    </row>
    <row r="14" spans="1:14" ht="15" customHeight="1" x14ac:dyDescent="0.25">
      <c r="A14" s="2912" t="s">
        <v>312</v>
      </c>
      <c r="B14" s="2904"/>
      <c r="C14" s="2905"/>
      <c r="D14" s="2906"/>
      <c r="E14" s="2907"/>
      <c r="F14" s="2908"/>
      <c r="G14" s="2908"/>
      <c r="H14" s="2909"/>
      <c r="I14" s="2907"/>
      <c r="J14" s="2908"/>
      <c r="K14" s="2907"/>
      <c r="L14" s="3007"/>
      <c r="M14" s="2908"/>
      <c r="N14" s="2908"/>
    </row>
    <row r="15" spans="1:14" ht="15" customHeight="1" x14ac:dyDescent="0.25">
      <c r="A15" s="2899" t="s">
        <v>906</v>
      </c>
      <c r="B15" s="2904">
        <v>31</v>
      </c>
      <c r="C15" s="2905">
        <v>29</v>
      </c>
      <c r="D15" s="2906">
        <v>27</v>
      </c>
      <c r="E15" s="2907">
        <v>31</v>
      </c>
      <c r="F15" s="2908">
        <v>29</v>
      </c>
      <c r="G15" s="2908">
        <v>28</v>
      </c>
      <c r="H15" s="2909">
        <v>23</v>
      </c>
      <c r="I15" s="2907">
        <v>30</v>
      </c>
      <c r="J15" s="2908">
        <v>27</v>
      </c>
      <c r="K15" s="2907">
        <v>87</v>
      </c>
      <c r="L15" s="3007">
        <v>80</v>
      </c>
      <c r="M15" s="2908">
        <v>111</v>
      </c>
      <c r="N15" s="2908">
        <v>105</v>
      </c>
    </row>
    <row r="16" spans="1:14" ht="15" customHeight="1" x14ac:dyDescent="0.25">
      <c r="A16" s="2912" t="s">
        <v>907</v>
      </c>
      <c r="B16" s="2904">
        <v>164</v>
      </c>
      <c r="C16" s="2905">
        <v>144</v>
      </c>
      <c r="D16" s="2906">
        <v>149</v>
      </c>
      <c r="E16" s="2907">
        <v>165</v>
      </c>
      <c r="F16" s="2908">
        <v>162</v>
      </c>
      <c r="G16" s="2908">
        <v>158</v>
      </c>
      <c r="H16" s="2909">
        <v>149</v>
      </c>
      <c r="I16" s="2907">
        <v>143</v>
      </c>
      <c r="J16" s="2908">
        <v>140</v>
      </c>
      <c r="K16" s="2907">
        <v>457</v>
      </c>
      <c r="L16" s="3007">
        <v>469</v>
      </c>
      <c r="M16" s="2908">
        <v>634</v>
      </c>
      <c r="N16" s="2908">
        <v>560</v>
      </c>
    </row>
    <row r="17" spans="1:14" ht="15" customHeight="1" x14ac:dyDescent="0.25">
      <c r="A17" s="2912" t="s">
        <v>926</v>
      </c>
      <c r="B17" s="2904">
        <v>164</v>
      </c>
      <c r="C17" s="3008">
        <v>136</v>
      </c>
      <c r="D17" s="2906">
        <v>141</v>
      </c>
      <c r="E17" s="2907">
        <v>166</v>
      </c>
      <c r="F17" s="2908">
        <v>163</v>
      </c>
      <c r="G17" s="2908">
        <v>159</v>
      </c>
      <c r="H17" s="2909">
        <v>154</v>
      </c>
      <c r="I17" s="2907">
        <v>143</v>
      </c>
      <c r="J17" s="2908">
        <v>145</v>
      </c>
      <c r="K17" s="2907">
        <v>457</v>
      </c>
      <c r="L17" s="3007">
        <v>490</v>
      </c>
      <c r="M17" s="2908">
        <v>661</v>
      </c>
      <c r="N17" s="2908">
        <v>586</v>
      </c>
    </row>
    <row r="18" spans="1:14" ht="15" customHeight="1" x14ac:dyDescent="0.25">
      <c r="A18" s="2899" t="s">
        <v>911</v>
      </c>
      <c r="B18" s="2904">
        <v>0</v>
      </c>
      <c r="C18" s="2905">
        <v>8</v>
      </c>
      <c r="D18" s="2906">
        <v>8</v>
      </c>
      <c r="E18" s="2907">
        <v>-1</v>
      </c>
      <c r="F18" s="2908">
        <v>-1</v>
      </c>
      <c r="G18" s="2908">
        <v>-1</v>
      </c>
      <c r="H18" s="2909">
        <v>-5</v>
      </c>
      <c r="I18" s="2907">
        <v>0</v>
      </c>
      <c r="J18" s="2908">
        <v>-5</v>
      </c>
      <c r="K18" s="3009">
        <v>0</v>
      </c>
      <c r="L18" s="3007">
        <v>-21</v>
      </c>
      <c r="M18" s="2908">
        <v>-27</v>
      </c>
      <c r="N18" s="2908">
        <v>-26</v>
      </c>
    </row>
    <row r="19" spans="1:14" ht="15" customHeight="1" x14ac:dyDescent="0.25">
      <c r="A19" s="2912" t="s">
        <v>927</v>
      </c>
      <c r="B19" s="2904"/>
      <c r="C19" s="2905"/>
      <c r="D19" s="2906"/>
      <c r="E19" s="2907"/>
      <c r="F19" s="2908"/>
      <c r="G19" s="2908"/>
      <c r="H19" s="2909"/>
      <c r="I19" s="2907"/>
      <c r="J19" s="2908"/>
      <c r="K19" s="2907"/>
      <c r="L19" s="3007"/>
      <c r="M19" s="2908"/>
      <c r="N19" s="2908"/>
    </row>
    <row r="20" spans="1:14" ht="15" customHeight="1" x14ac:dyDescent="0.25">
      <c r="A20" s="2899" t="s">
        <v>906</v>
      </c>
      <c r="B20" s="2904">
        <v>31</v>
      </c>
      <c r="C20" s="2905">
        <v>29</v>
      </c>
      <c r="D20" s="2906">
        <v>27</v>
      </c>
      <c r="E20" s="2907">
        <v>31</v>
      </c>
      <c r="F20" s="2908">
        <v>29</v>
      </c>
      <c r="G20" s="2908">
        <v>28</v>
      </c>
      <c r="H20" s="2909">
        <v>23</v>
      </c>
      <c r="I20" s="2907">
        <v>30</v>
      </c>
      <c r="J20" s="2908">
        <v>27</v>
      </c>
      <c r="K20" s="2907">
        <v>87</v>
      </c>
      <c r="L20" s="3007">
        <v>80</v>
      </c>
      <c r="M20" s="2908">
        <v>111</v>
      </c>
      <c r="N20" s="2908">
        <v>105</v>
      </c>
    </row>
    <row r="21" spans="1:14" ht="15" customHeight="1" x14ac:dyDescent="0.25">
      <c r="A21" s="2912" t="s">
        <v>910</v>
      </c>
      <c r="B21" s="2904">
        <v>164</v>
      </c>
      <c r="C21" s="2905">
        <v>144</v>
      </c>
      <c r="D21" s="2906">
        <v>150</v>
      </c>
      <c r="E21" s="2907">
        <v>165</v>
      </c>
      <c r="F21" s="2908">
        <v>163</v>
      </c>
      <c r="G21" s="2908">
        <v>158</v>
      </c>
      <c r="H21" s="2909">
        <v>150</v>
      </c>
      <c r="I21" s="2907">
        <v>144</v>
      </c>
      <c r="J21" s="2908">
        <v>140</v>
      </c>
      <c r="K21" s="2907">
        <v>458</v>
      </c>
      <c r="L21" s="3007">
        <v>471</v>
      </c>
      <c r="M21" s="2908">
        <v>636</v>
      </c>
      <c r="N21" s="2908">
        <v>562</v>
      </c>
    </row>
    <row r="22" spans="1:14" ht="15" customHeight="1" x14ac:dyDescent="0.25">
      <c r="A22" s="2912" t="s">
        <v>926</v>
      </c>
      <c r="B22" s="2904">
        <v>164</v>
      </c>
      <c r="C22" s="2905">
        <v>136</v>
      </c>
      <c r="D22" s="2906">
        <v>141</v>
      </c>
      <c r="E22" s="2907">
        <v>167</v>
      </c>
      <c r="F22" s="2908">
        <v>164</v>
      </c>
      <c r="G22" s="2908">
        <v>160</v>
      </c>
      <c r="H22" s="2909">
        <v>154</v>
      </c>
      <c r="I22" s="2907">
        <v>143</v>
      </c>
      <c r="J22" s="2908">
        <v>145</v>
      </c>
      <c r="K22" s="2907">
        <v>458</v>
      </c>
      <c r="L22" s="3007">
        <v>491</v>
      </c>
      <c r="M22" s="2908">
        <v>662</v>
      </c>
      <c r="N22" s="2908">
        <v>587</v>
      </c>
    </row>
    <row r="23" spans="1:14" ht="15" customHeight="1" x14ac:dyDescent="0.25">
      <c r="A23" s="2899" t="s">
        <v>911</v>
      </c>
      <c r="B23" s="2904">
        <v>0</v>
      </c>
      <c r="C23" s="2905">
        <v>8</v>
      </c>
      <c r="D23" s="2906">
        <v>9</v>
      </c>
      <c r="E23" s="2907">
        <v>-2</v>
      </c>
      <c r="F23" s="2908">
        <v>-1</v>
      </c>
      <c r="G23" s="2908">
        <v>-2</v>
      </c>
      <c r="H23" s="2909">
        <v>-4</v>
      </c>
      <c r="I23" s="2913">
        <v>1</v>
      </c>
      <c r="J23" s="2915">
        <v>-5</v>
      </c>
      <c r="K23" s="2907">
        <v>0</v>
      </c>
      <c r="L23" s="3007">
        <v>-20</v>
      </c>
      <c r="M23" s="2915">
        <v>-26</v>
      </c>
      <c r="N23" s="2915">
        <v>-25</v>
      </c>
    </row>
    <row r="24" spans="1:14" ht="15" customHeight="1" x14ac:dyDescent="0.25">
      <c r="A24" s="2918" t="s">
        <v>928</v>
      </c>
      <c r="B24" s="2919"/>
      <c r="C24" s="2920"/>
      <c r="D24" s="2921"/>
      <c r="E24" s="2922"/>
      <c r="F24" s="2923"/>
      <c r="G24" s="2923"/>
      <c r="H24" s="2924"/>
      <c r="I24" s="2922"/>
      <c r="J24" s="2923"/>
      <c r="K24" s="2925"/>
      <c r="L24" s="3010"/>
      <c r="M24" s="2928"/>
      <c r="N24" s="2928"/>
    </row>
    <row r="25" spans="1:14" ht="15" customHeight="1" x14ac:dyDescent="0.25">
      <c r="A25" s="2899" t="s">
        <v>929</v>
      </c>
      <c r="B25" s="2930">
        <v>6.91</v>
      </c>
      <c r="C25" s="2950">
        <v>6.66</v>
      </c>
      <c r="D25" s="2932">
        <v>6.81</v>
      </c>
      <c r="E25" s="2933">
        <v>6.99</v>
      </c>
      <c r="F25" s="2934">
        <v>7.19</v>
      </c>
      <c r="G25" s="2934">
        <v>7.15</v>
      </c>
      <c r="H25" s="2935">
        <v>6.98</v>
      </c>
      <c r="I25" s="2933">
        <v>6.91</v>
      </c>
      <c r="J25" s="2934">
        <v>6.82</v>
      </c>
      <c r="K25" s="2936">
        <v>6.79</v>
      </c>
      <c r="L25" s="2937">
        <v>7.1</v>
      </c>
      <c r="M25" s="2934">
        <v>7.07</v>
      </c>
      <c r="N25" s="2934">
        <v>6.75</v>
      </c>
    </row>
    <row r="26" spans="1:14" ht="15" customHeight="1" x14ac:dyDescent="0.25">
      <c r="A26" s="2939" t="s">
        <v>930</v>
      </c>
      <c r="B26" s="2940"/>
      <c r="C26" s="2941"/>
      <c r="D26" s="2942"/>
      <c r="E26" s="2943"/>
      <c r="F26" s="2944"/>
      <c r="G26" s="2944"/>
      <c r="H26" s="2945"/>
      <c r="I26" s="2943"/>
      <c r="J26" s="2944"/>
      <c r="K26" s="2946"/>
      <c r="L26" s="2947"/>
      <c r="M26" s="2944"/>
      <c r="N26" s="2944"/>
    </row>
    <row r="27" spans="1:14" ht="15" customHeight="1" x14ac:dyDescent="0.25">
      <c r="A27" s="2949" t="s">
        <v>931</v>
      </c>
      <c r="B27" s="2930">
        <v>0.93</v>
      </c>
      <c r="C27" s="2950">
        <v>0.83</v>
      </c>
      <c r="D27" s="2932">
        <v>0.84</v>
      </c>
      <c r="E27" s="2933">
        <v>0.85</v>
      </c>
      <c r="F27" s="2934">
        <v>0.69</v>
      </c>
      <c r="G27" s="2934">
        <v>0.82</v>
      </c>
      <c r="H27" s="3011">
        <v>0.79</v>
      </c>
      <c r="I27" s="2933">
        <v>0.85</v>
      </c>
      <c r="J27" s="2934">
        <v>0.69</v>
      </c>
      <c r="K27" s="2936">
        <v>0.87</v>
      </c>
      <c r="L27" s="3011">
        <v>0.77</v>
      </c>
      <c r="M27" s="2934">
        <v>0.79</v>
      </c>
      <c r="N27" s="2934">
        <v>0.65</v>
      </c>
    </row>
    <row r="28" spans="1:14" ht="15" customHeight="1" x14ac:dyDescent="0.25">
      <c r="A28" s="2949" t="s">
        <v>932</v>
      </c>
      <c r="B28" s="2930">
        <v>0.83</v>
      </c>
      <c r="C28" s="2950">
        <v>0.74</v>
      </c>
      <c r="D28" s="2932">
        <v>0.83</v>
      </c>
      <c r="E28" s="2933">
        <v>0.91</v>
      </c>
      <c r="F28" s="2934">
        <v>0.91</v>
      </c>
      <c r="G28" s="2934">
        <v>0.75</v>
      </c>
      <c r="H28" s="3011">
        <v>0.79</v>
      </c>
      <c r="I28" s="2933">
        <v>0.96</v>
      </c>
      <c r="J28" s="2934">
        <v>0.89</v>
      </c>
      <c r="K28" s="2936">
        <v>0.8</v>
      </c>
      <c r="L28" s="3011">
        <v>0.82</v>
      </c>
      <c r="M28" s="2934">
        <v>0.84</v>
      </c>
      <c r="N28" s="2934">
        <v>0.71</v>
      </c>
    </row>
    <row r="29" spans="1:14" ht="15" customHeight="1" x14ac:dyDescent="0.25">
      <c r="A29" s="2949" t="s">
        <v>319</v>
      </c>
      <c r="B29" s="2953">
        <v>47.5</v>
      </c>
      <c r="C29" s="2954">
        <v>51.5</v>
      </c>
      <c r="D29" s="2955">
        <v>51.4</v>
      </c>
      <c r="E29" s="2956">
        <v>49.3</v>
      </c>
      <c r="F29" s="2957">
        <v>50</v>
      </c>
      <c r="G29" s="2957">
        <v>50.3</v>
      </c>
      <c r="H29" s="2962">
        <v>53.5</v>
      </c>
      <c r="I29" s="2956">
        <v>52.6</v>
      </c>
      <c r="J29" s="2957">
        <v>52.3</v>
      </c>
      <c r="K29" s="2959">
        <v>50.1</v>
      </c>
      <c r="L29" s="3012">
        <v>51.3</v>
      </c>
      <c r="M29" s="2957">
        <v>50.8</v>
      </c>
      <c r="N29" s="2957">
        <v>52.9</v>
      </c>
    </row>
    <row r="30" spans="1:14" ht="15" customHeight="1" x14ac:dyDescent="0.25">
      <c r="A30" s="2918" t="s">
        <v>890</v>
      </c>
      <c r="B30" s="2919"/>
      <c r="C30" s="2920"/>
      <c r="D30" s="2921"/>
      <c r="E30" s="2922"/>
      <c r="F30" s="2923"/>
      <c r="G30" s="2923"/>
      <c r="H30" s="2924"/>
      <c r="I30" s="2922"/>
      <c r="J30" s="2923"/>
      <c r="K30" s="2925"/>
      <c r="L30" s="3010"/>
      <c r="M30" s="2928"/>
      <c r="N30" s="2928"/>
    </row>
    <row r="31" spans="1:14" ht="15" customHeight="1" x14ac:dyDescent="0.25">
      <c r="A31" s="2929" t="s">
        <v>321</v>
      </c>
      <c r="B31" s="2953">
        <v>6.1</v>
      </c>
      <c r="C31" s="3013">
        <v>6.2</v>
      </c>
      <c r="D31" s="2955">
        <v>6.1</v>
      </c>
      <c r="E31" s="2959">
        <v>5.8</v>
      </c>
      <c r="F31" s="3014">
        <v>5.8</v>
      </c>
      <c r="G31" s="3014">
        <v>5.7</v>
      </c>
      <c r="H31" s="3012">
        <v>5.6</v>
      </c>
      <c r="I31" s="2959">
        <v>5.5</v>
      </c>
      <c r="J31" s="3014">
        <v>5.4</v>
      </c>
      <c r="K31" s="2959">
        <v>6.1</v>
      </c>
      <c r="L31" s="3012">
        <v>5.7</v>
      </c>
      <c r="M31" s="3014">
        <v>5.8</v>
      </c>
      <c r="N31" s="3014">
        <v>5.4</v>
      </c>
    </row>
    <row r="32" spans="1:14" ht="15" customHeight="1" x14ac:dyDescent="0.25">
      <c r="A32" s="2899" t="s">
        <v>353</v>
      </c>
      <c r="B32" s="2953">
        <v>2.6</v>
      </c>
      <c r="C32" s="2954">
        <v>2.7</v>
      </c>
      <c r="D32" s="2955">
        <v>2.7</v>
      </c>
      <c r="E32" s="2959">
        <v>2.5</v>
      </c>
      <c r="F32" s="3014">
        <v>2.5</v>
      </c>
      <c r="G32" s="3014">
        <v>2.4</v>
      </c>
      <c r="H32" s="3012">
        <v>2.4</v>
      </c>
      <c r="I32" s="2959">
        <v>2.5</v>
      </c>
      <c r="J32" s="3014">
        <v>2.2999999999999998</v>
      </c>
      <c r="K32" s="2959">
        <v>2.7</v>
      </c>
      <c r="L32" s="3012">
        <v>2.4</v>
      </c>
      <c r="M32" s="3014">
        <v>2.5</v>
      </c>
      <c r="N32" s="3014">
        <v>2.2999999999999998</v>
      </c>
    </row>
    <row r="33" spans="1:14" ht="15" customHeight="1" x14ac:dyDescent="0.25">
      <c r="A33" s="2899" t="s">
        <v>354</v>
      </c>
      <c r="B33" s="2953">
        <v>0.9</v>
      </c>
      <c r="C33" s="2954">
        <v>1</v>
      </c>
      <c r="D33" s="2955">
        <v>1</v>
      </c>
      <c r="E33" s="2959">
        <v>0.9</v>
      </c>
      <c r="F33" s="3014">
        <v>0.9</v>
      </c>
      <c r="G33" s="3014">
        <v>0.9</v>
      </c>
      <c r="H33" s="3012">
        <v>0.9</v>
      </c>
      <c r="I33" s="2959">
        <v>0.9</v>
      </c>
      <c r="J33" s="3014">
        <v>0.9</v>
      </c>
      <c r="K33" s="2959">
        <v>1</v>
      </c>
      <c r="L33" s="3012">
        <v>0.9</v>
      </c>
      <c r="M33" s="3014">
        <v>0.9</v>
      </c>
      <c r="N33" s="3014">
        <v>0.9</v>
      </c>
    </row>
    <row r="34" spans="1:14" ht="15" customHeight="1" x14ac:dyDescent="0.25">
      <c r="A34" s="2899" t="s">
        <v>324</v>
      </c>
      <c r="B34" s="2953">
        <v>6</v>
      </c>
      <c r="C34" s="2954">
        <v>6</v>
      </c>
      <c r="D34" s="2955">
        <v>6.1</v>
      </c>
      <c r="E34" s="2959">
        <v>6</v>
      </c>
      <c r="F34" s="3014">
        <v>5.9</v>
      </c>
      <c r="G34" s="3014">
        <v>5.9</v>
      </c>
      <c r="H34" s="3012">
        <v>5.9</v>
      </c>
      <c r="I34" s="2959">
        <v>5.6</v>
      </c>
      <c r="J34" s="3014">
        <v>5.4</v>
      </c>
      <c r="K34" s="2959">
        <v>6.1</v>
      </c>
      <c r="L34" s="3012">
        <v>5.9</v>
      </c>
      <c r="M34" s="3014">
        <v>5.8000000000000007</v>
      </c>
      <c r="N34" s="3014">
        <v>5.6</v>
      </c>
    </row>
    <row r="35" spans="1:14" ht="15" customHeight="1" x14ac:dyDescent="0.25">
      <c r="A35" s="2912" t="s">
        <v>355</v>
      </c>
      <c r="B35" s="2953">
        <v>15.6</v>
      </c>
      <c r="C35" s="2954">
        <v>15.9</v>
      </c>
      <c r="D35" s="2955">
        <v>15.9</v>
      </c>
      <c r="E35" s="2965">
        <v>15.2</v>
      </c>
      <c r="F35" s="3014">
        <v>15.1</v>
      </c>
      <c r="G35" s="3014">
        <v>14.9</v>
      </c>
      <c r="H35" s="3012">
        <v>14.8</v>
      </c>
      <c r="I35" s="2959">
        <v>14.5</v>
      </c>
      <c r="J35" s="3014">
        <v>14</v>
      </c>
      <c r="K35" s="2965">
        <v>15.9</v>
      </c>
      <c r="L35" s="2955">
        <v>14.9</v>
      </c>
      <c r="M35" s="2954">
        <v>15.000000000000002</v>
      </c>
      <c r="N35" s="2954">
        <v>14.2</v>
      </c>
    </row>
    <row r="36" spans="1:14" ht="15" customHeight="1" x14ac:dyDescent="0.25">
      <c r="A36" s="2912"/>
      <c r="B36" s="2953"/>
      <c r="C36" s="2954"/>
      <c r="D36" s="2955"/>
      <c r="E36" s="2965"/>
      <c r="F36" s="3014"/>
      <c r="G36" s="3014"/>
      <c r="H36" s="3012"/>
      <c r="I36" s="2959"/>
      <c r="J36" s="3014"/>
      <c r="K36" s="2965"/>
      <c r="L36" s="2955"/>
      <c r="M36" s="2954"/>
      <c r="N36" s="2954"/>
    </row>
    <row r="37" spans="1:14" ht="15" customHeight="1" x14ac:dyDescent="0.25">
      <c r="A37" s="3015" t="s">
        <v>330</v>
      </c>
      <c r="B37" s="3016">
        <v>22</v>
      </c>
      <c r="C37" s="3017">
        <v>21.7</v>
      </c>
      <c r="D37" s="3018">
        <v>20.8</v>
      </c>
      <c r="E37" s="3019">
        <v>20.100000000000001</v>
      </c>
      <c r="F37" s="3020">
        <v>20.3</v>
      </c>
      <c r="G37" s="3020">
        <v>20.100000000000001</v>
      </c>
      <c r="H37" s="3021">
        <v>19.8</v>
      </c>
      <c r="I37" s="3019">
        <v>20.3</v>
      </c>
      <c r="J37" s="3020">
        <v>19.899999999999999</v>
      </c>
      <c r="K37" s="3019">
        <v>21.5</v>
      </c>
      <c r="L37" s="3021">
        <v>20.100000000000001</v>
      </c>
      <c r="M37" s="3020">
        <v>20.100000000000001</v>
      </c>
      <c r="N37" s="3020">
        <v>19.8</v>
      </c>
    </row>
    <row r="38" spans="1:14" ht="12" customHeight="1" x14ac:dyDescent="0.25">
      <c r="A38" s="3022"/>
      <c r="B38" s="3022"/>
      <c r="C38" s="3022"/>
      <c r="D38" s="3022"/>
      <c r="E38" s="3022"/>
      <c r="F38" s="3022"/>
      <c r="G38" s="3022"/>
      <c r="H38" s="3022"/>
      <c r="I38" s="3022"/>
      <c r="J38" s="3022"/>
      <c r="K38" s="3022"/>
      <c r="L38" s="3022"/>
      <c r="M38" s="3022"/>
      <c r="N38" s="3022"/>
    </row>
    <row r="39" spans="1:14" ht="12" customHeight="1" x14ac:dyDescent="0.25">
      <c r="A39" s="3511" t="s">
        <v>360</v>
      </c>
      <c r="B39" s="3614" t="s">
        <v>14</v>
      </c>
      <c r="C39" s="3614" t="s">
        <v>14</v>
      </c>
      <c r="D39" s="3614" t="s">
        <v>14</v>
      </c>
      <c r="E39" s="3614" t="s">
        <v>14</v>
      </c>
      <c r="F39" s="3614" t="s">
        <v>14</v>
      </c>
      <c r="G39" s="3614" t="s">
        <v>14</v>
      </c>
      <c r="H39" s="3614" t="s">
        <v>14</v>
      </c>
      <c r="I39" s="3614" t="s">
        <v>14</v>
      </c>
      <c r="J39" s="3614" t="s">
        <v>14</v>
      </c>
      <c r="K39" s="3614" t="s">
        <v>14</v>
      </c>
      <c r="L39" s="3614" t="s">
        <v>14</v>
      </c>
      <c r="M39" s="3614" t="s">
        <v>14</v>
      </c>
      <c r="N39" s="3614" t="s">
        <v>14</v>
      </c>
    </row>
    <row r="40" spans="1:14" ht="12" customHeight="1" x14ac:dyDescent="0.25">
      <c r="A40" s="3511" t="s">
        <v>933</v>
      </c>
      <c r="B40" s="3614" t="s">
        <v>14</v>
      </c>
      <c r="C40" s="3614" t="s">
        <v>14</v>
      </c>
      <c r="D40" s="3614" t="s">
        <v>14</v>
      </c>
      <c r="E40" s="3614" t="s">
        <v>14</v>
      </c>
      <c r="F40" s="3614" t="s">
        <v>14</v>
      </c>
      <c r="G40" s="3614" t="s">
        <v>14</v>
      </c>
      <c r="H40" s="3614" t="s">
        <v>14</v>
      </c>
      <c r="I40" s="3614" t="s">
        <v>14</v>
      </c>
      <c r="J40" s="3614" t="s">
        <v>14</v>
      </c>
      <c r="K40" s="3614" t="s">
        <v>14</v>
      </c>
      <c r="L40" s="3614" t="s">
        <v>14</v>
      </c>
      <c r="M40" s="3614" t="s">
        <v>14</v>
      </c>
      <c r="N40" s="3614" t="s">
        <v>14</v>
      </c>
    </row>
    <row r="41" spans="1:14" ht="12" customHeight="1" x14ac:dyDescent="0.25">
      <c r="A41" s="3511" t="s">
        <v>934</v>
      </c>
      <c r="B41" s="3614" t="s">
        <v>14</v>
      </c>
      <c r="C41" s="3614" t="s">
        <v>14</v>
      </c>
      <c r="D41" s="3614" t="s">
        <v>14</v>
      </c>
      <c r="E41" s="3614" t="s">
        <v>14</v>
      </c>
      <c r="F41" s="3614" t="s">
        <v>14</v>
      </c>
      <c r="G41" s="3614" t="s">
        <v>14</v>
      </c>
      <c r="H41" s="3614" t="s">
        <v>14</v>
      </c>
      <c r="I41" s="3614" t="s">
        <v>14</v>
      </c>
      <c r="J41" s="3614" t="s">
        <v>14</v>
      </c>
      <c r="K41" s="3614" t="s">
        <v>14</v>
      </c>
      <c r="L41" s="3614" t="s">
        <v>14</v>
      </c>
      <c r="M41" s="3614" t="s">
        <v>14</v>
      </c>
      <c r="N41" s="3614" t="s">
        <v>14</v>
      </c>
    </row>
    <row r="42" spans="1:14" ht="12" customHeight="1" x14ac:dyDescent="0.25">
      <c r="A42" s="958" t="s">
        <v>935</v>
      </c>
      <c r="B42" s="3023"/>
      <c r="C42" s="3023"/>
      <c r="D42" s="3023"/>
      <c r="E42" s="3023"/>
      <c r="F42" s="3023"/>
      <c r="G42" s="3023"/>
      <c r="H42" s="3023"/>
      <c r="I42" s="3023"/>
      <c r="J42" s="3023"/>
      <c r="K42" s="3023"/>
      <c r="L42" s="3023"/>
      <c r="M42" s="3023"/>
      <c r="N42" s="3023"/>
    </row>
    <row r="43" spans="1:14" ht="12" customHeight="1" x14ac:dyDescent="0.25">
      <c r="A43" s="958" t="s">
        <v>384</v>
      </c>
      <c r="B43" s="3023"/>
      <c r="C43" s="3023"/>
      <c r="D43" s="3023"/>
      <c r="E43" s="3023"/>
      <c r="F43" s="3023"/>
      <c r="G43" s="3023"/>
      <c r="H43" s="3023"/>
      <c r="I43" s="3023"/>
      <c r="J43" s="3023"/>
      <c r="K43" s="3023"/>
      <c r="L43" s="3023"/>
      <c r="M43" s="3023"/>
      <c r="N43" s="3023"/>
    </row>
    <row r="44" spans="1:14" ht="12" customHeight="1" x14ac:dyDescent="0.25">
      <c r="A44" s="958" t="s">
        <v>385</v>
      </c>
      <c r="B44" s="3023"/>
      <c r="C44" s="3023"/>
      <c r="D44" s="3023"/>
      <c r="E44" s="3023"/>
      <c r="F44" s="3023"/>
      <c r="G44" s="3023"/>
      <c r="H44" s="3023"/>
      <c r="I44" s="3023"/>
      <c r="J44" s="3023"/>
      <c r="K44" s="3023"/>
      <c r="L44" s="3023"/>
      <c r="M44" s="3023"/>
      <c r="N44" s="3023"/>
    </row>
  </sheetData>
  <mergeCells count="9">
    <mergeCell ref="A39:N39"/>
    <mergeCell ref="A40:N40"/>
    <mergeCell ref="A41:N41"/>
    <mergeCell ref="A2:N2"/>
    <mergeCell ref="B3:D3"/>
    <mergeCell ref="E3:H3"/>
    <mergeCell ref="I3:J3"/>
    <mergeCell ref="K3:L3"/>
    <mergeCell ref="M3:N3"/>
  </mergeCells>
  <hyperlinks>
    <hyperlink ref="A1" location="ToC!A2" display="Back to Table of Contents" xr:uid="{32C1A6DC-44C9-44CA-AC6A-DB85986B3B81}"/>
  </hyperlinks>
  <pageMargins left="0.5" right="0.5" top="0.5" bottom="0.5" header="0.25" footer="0.25"/>
  <pageSetup scale="52" orientation="landscape" r:id="rId1"/>
  <headerFooter>
    <oddFooter>&amp;L&amp;G&amp;C&amp;"Scotia,Regular"&amp;9Supplementary Financial Information (SFI)&amp;R29&amp;"Scotia,Regular"&amp;7</oddFoot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0FC9-5A93-4D4C-BD5C-F7B897C3275D}">
  <sheetPr>
    <pageSetUpPr fitToPage="1"/>
  </sheetPr>
  <dimension ref="A1:N44"/>
  <sheetViews>
    <sheetView showGridLines="0" zoomScaleNormal="100" workbookViewId="0"/>
  </sheetViews>
  <sheetFormatPr defaultColWidth="8.77734375" defaultRowHeight="13.2" x14ac:dyDescent="0.25"/>
  <cols>
    <col min="1" max="1" width="82.21875" style="22" customWidth="1"/>
    <col min="2" max="14" width="12.5546875" style="22" customWidth="1"/>
    <col min="15" max="16384" width="8.77734375" style="22"/>
  </cols>
  <sheetData>
    <row r="1" spans="1:14" ht="19.95" customHeight="1" x14ac:dyDescent="0.25">
      <c r="A1" s="21" t="s">
        <v>12</v>
      </c>
    </row>
    <row r="2" spans="1:14" ht="25.35" customHeight="1" x14ac:dyDescent="0.25">
      <c r="A2" s="3474" t="s">
        <v>936</v>
      </c>
      <c r="B2" s="3474" t="s">
        <v>14</v>
      </c>
      <c r="C2" s="3474" t="s">
        <v>14</v>
      </c>
      <c r="D2" s="3474" t="s">
        <v>14</v>
      </c>
      <c r="E2" s="3474" t="s">
        <v>14</v>
      </c>
      <c r="F2" s="3474" t="s">
        <v>14</v>
      </c>
      <c r="G2" s="3474" t="s">
        <v>14</v>
      </c>
      <c r="H2" s="3474" t="s">
        <v>14</v>
      </c>
      <c r="I2" s="3474" t="s">
        <v>14</v>
      </c>
      <c r="J2" s="3474" t="s">
        <v>14</v>
      </c>
      <c r="K2" s="3474" t="s">
        <v>14</v>
      </c>
      <c r="L2" s="3474" t="s">
        <v>14</v>
      </c>
      <c r="M2" s="3474" t="s">
        <v>14</v>
      </c>
      <c r="N2" s="3474" t="s">
        <v>14</v>
      </c>
    </row>
    <row r="3" spans="1:14" ht="15" customHeight="1" x14ac:dyDescent="0.25">
      <c r="A3" s="2877"/>
      <c r="B3" s="3666" t="s">
        <v>172</v>
      </c>
      <c r="C3" s="3666" t="s">
        <v>14</v>
      </c>
      <c r="D3" s="3667" t="s">
        <v>14</v>
      </c>
      <c r="E3" s="3668" t="s">
        <v>343</v>
      </c>
      <c r="F3" s="3669" t="s">
        <v>14</v>
      </c>
      <c r="G3" s="3669" t="s">
        <v>14</v>
      </c>
      <c r="H3" s="3670" t="s">
        <v>14</v>
      </c>
      <c r="I3" s="3668" t="s">
        <v>344</v>
      </c>
      <c r="J3" s="3669" t="s">
        <v>14</v>
      </c>
      <c r="K3" s="3668" t="s">
        <v>173</v>
      </c>
      <c r="L3" s="3670" t="s">
        <v>14</v>
      </c>
      <c r="M3" s="3669" t="s">
        <v>174</v>
      </c>
      <c r="N3" s="3669" t="s">
        <v>14</v>
      </c>
    </row>
    <row r="4" spans="1:14" ht="15" customHeight="1" x14ac:dyDescent="0.25">
      <c r="A4" s="2878"/>
      <c r="B4" s="2983" t="s">
        <v>176</v>
      </c>
      <c r="C4" s="2984" t="s">
        <v>177</v>
      </c>
      <c r="D4" s="2985" t="s">
        <v>178</v>
      </c>
      <c r="E4" s="2986" t="s">
        <v>179</v>
      </c>
      <c r="F4" s="2987" t="s">
        <v>180</v>
      </c>
      <c r="G4" s="2987" t="s">
        <v>177</v>
      </c>
      <c r="H4" s="2988" t="s">
        <v>178</v>
      </c>
      <c r="I4" s="2986" t="s">
        <v>179</v>
      </c>
      <c r="J4" s="2987" t="s">
        <v>180</v>
      </c>
      <c r="K4" s="2989">
        <v>2025</v>
      </c>
      <c r="L4" s="2990">
        <v>2024</v>
      </c>
      <c r="M4" s="2991">
        <v>2024</v>
      </c>
      <c r="N4" s="2992">
        <v>2023</v>
      </c>
    </row>
    <row r="5" spans="1:14" ht="15" customHeight="1" x14ac:dyDescent="0.25">
      <c r="A5" s="2918" t="s">
        <v>937</v>
      </c>
      <c r="B5" s="2993"/>
      <c r="C5" s="2994"/>
      <c r="D5" s="2995"/>
      <c r="E5" s="2996"/>
      <c r="F5" s="2997"/>
      <c r="G5" s="2997"/>
      <c r="H5" s="2998"/>
      <c r="I5" s="2996"/>
      <c r="J5" s="2997"/>
      <c r="K5" s="2999"/>
      <c r="L5" s="3000"/>
      <c r="M5" s="2997"/>
      <c r="N5" s="2997"/>
    </row>
    <row r="6" spans="1:14" ht="15" customHeight="1" x14ac:dyDescent="0.25">
      <c r="A6" s="2929" t="s">
        <v>902</v>
      </c>
      <c r="B6" s="3001">
        <v>112</v>
      </c>
      <c r="C6" s="3002">
        <v>106</v>
      </c>
      <c r="D6" s="283">
        <v>108</v>
      </c>
      <c r="E6" s="3003">
        <v>99</v>
      </c>
      <c r="F6" s="3004">
        <v>112</v>
      </c>
      <c r="G6" s="3004">
        <v>99</v>
      </c>
      <c r="H6" s="3005">
        <v>98</v>
      </c>
      <c r="I6" s="3003">
        <v>98</v>
      </c>
      <c r="J6" s="3004">
        <v>106</v>
      </c>
      <c r="K6" s="3003">
        <v>326</v>
      </c>
      <c r="L6" s="3006">
        <v>309</v>
      </c>
      <c r="M6" s="3004">
        <v>408</v>
      </c>
      <c r="N6" s="3004">
        <v>428</v>
      </c>
    </row>
    <row r="7" spans="1:14" ht="15" customHeight="1" x14ac:dyDescent="0.25">
      <c r="A7" s="2899" t="s">
        <v>276</v>
      </c>
      <c r="B7" s="2904">
        <v>18</v>
      </c>
      <c r="C7" s="2905">
        <v>15</v>
      </c>
      <c r="D7" s="2906">
        <v>14</v>
      </c>
      <c r="E7" s="2907">
        <v>14</v>
      </c>
      <c r="F7" s="2908">
        <v>8</v>
      </c>
      <c r="G7" s="2908">
        <v>6</v>
      </c>
      <c r="H7" s="2909">
        <v>9</v>
      </c>
      <c r="I7" s="2907">
        <v>5</v>
      </c>
      <c r="J7" s="2908">
        <v>3</v>
      </c>
      <c r="K7" s="2907">
        <v>47</v>
      </c>
      <c r="L7" s="3007">
        <v>23</v>
      </c>
      <c r="M7" s="2908">
        <v>37</v>
      </c>
      <c r="N7" s="2908">
        <v>28</v>
      </c>
    </row>
    <row r="8" spans="1:14" ht="15" customHeight="1" x14ac:dyDescent="0.25">
      <c r="A8" s="2899" t="s">
        <v>303</v>
      </c>
      <c r="B8" s="2904">
        <v>78</v>
      </c>
      <c r="C8" s="2905">
        <v>76</v>
      </c>
      <c r="D8" s="2906">
        <v>83</v>
      </c>
      <c r="E8" s="2907">
        <v>72</v>
      </c>
      <c r="F8" s="2908">
        <v>77</v>
      </c>
      <c r="G8" s="2908">
        <v>76</v>
      </c>
      <c r="H8" s="2909">
        <v>78</v>
      </c>
      <c r="I8" s="2907">
        <v>75</v>
      </c>
      <c r="J8" s="2908">
        <v>79</v>
      </c>
      <c r="K8" s="2907">
        <v>237</v>
      </c>
      <c r="L8" s="3007">
        <v>231</v>
      </c>
      <c r="M8" s="2908">
        <v>303</v>
      </c>
      <c r="N8" s="2908">
        <v>311</v>
      </c>
    </row>
    <row r="9" spans="1:14" ht="15" customHeight="1" x14ac:dyDescent="0.25">
      <c r="A9" s="2899" t="s">
        <v>903</v>
      </c>
      <c r="B9" s="2904">
        <v>16</v>
      </c>
      <c r="C9" s="2905">
        <v>15</v>
      </c>
      <c r="D9" s="2906">
        <v>11</v>
      </c>
      <c r="E9" s="2907">
        <v>13</v>
      </c>
      <c r="F9" s="2908">
        <v>27</v>
      </c>
      <c r="G9" s="2908">
        <v>17</v>
      </c>
      <c r="H9" s="2909">
        <v>11</v>
      </c>
      <c r="I9" s="2907">
        <v>18</v>
      </c>
      <c r="J9" s="2908">
        <v>24</v>
      </c>
      <c r="K9" s="2907">
        <v>42</v>
      </c>
      <c r="L9" s="3007">
        <v>55</v>
      </c>
      <c r="M9" s="2908">
        <v>68</v>
      </c>
      <c r="N9" s="2908">
        <v>89</v>
      </c>
    </row>
    <row r="10" spans="1:14" ht="15" customHeight="1" x14ac:dyDescent="0.25">
      <c r="A10" s="2899" t="s">
        <v>304</v>
      </c>
      <c r="B10" s="2904">
        <v>7</v>
      </c>
      <c r="C10" s="2905">
        <v>5</v>
      </c>
      <c r="D10" s="2906">
        <v>2</v>
      </c>
      <c r="E10" s="2907">
        <v>6</v>
      </c>
      <c r="F10" s="2908">
        <v>7</v>
      </c>
      <c r="G10" s="2908">
        <v>6</v>
      </c>
      <c r="H10" s="2909">
        <v>0</v>
      </c>
      <c r="I10" s="2907">
        <v>3</v>
      </c>
      <c r="J10" s="2908">
        <v>6</v>
      </c>
      <c r="K10" s="2907">
        <v>14</v>
      </c>
      <c r="L10" s="3007">
        <v>13</v>
      </c>
      <c r="M10" s="2908">
        <v>19</v>
      </c>
      <c r="N10" s="2908">
        <v>26</v>
      </c>
    </row>
    <row r="11" spans="1:14" ht="15" customHeight="1" x14ac:dyDescent="0.25">
      <c r="A11" s="2912" t="s">
        <v>305</v>
      </c>
      <c r="B11" s="2904">
        <v>9</v>
      </c>
      <c r="C11" s="2905">
        <v>10</v>
      </c>
      <c r="D11" s="2906">
        <v>9</v>
      </c>
      <c r="E11" s="2907">
        <v>7</v>
      </c>
      <c r="F11" s="2908">
        <v>20</v>
      </c>
      <c r="G11" s="2908">
        <v>11</v>
      </c>
      <c r="H11" s="2909">
        <v>11</v>
      </c>
      <c r="I11" s="2907">
        <v>15</v>
      </c>
      <c r="J11" s="2908">
        <v>18</v>
      </c>
      <c r="K11" s="2907">
        <v>28</v>
      </c>
      <c r="L11" s="3007">
        <v>42</v>
      </c>
      <c r="M11" s="2908">
        <v>49</v>
      </c>
      <c r="N11" s="2908">
        <v>63</v>
      </c>
    </row>
    <row r="12" spans="1:14" ht="15" customHeight="1" x14ac:dyDescent="0.25">
      <c r="A12" s="2899" t="s">
        <v>281</v>
      </c>
      <c r="B12" s="2904">
        <v>0</v>
      </c>
      <c r="C12" s="2905">
        <v>0</v>
      </c>
      <c r="D12" s="2906">
        <v>0</v>
      </c>
      <c r="E12" s="2907">
        <v>0</v>
      </c>
      <c r="F12" s="2908">
        <v>0</v>
      </c>
      <c r="G12" s="2908">
        <v>0</v>
      </c>
      <c r="H12" s="2909">
        <v>0</v>
      </c>
      <c r="I12" s="2907">
        <v>0</v>
      </c>
      <c r="J12" s="2908">
        <v>0</v>
      </c>
      <c r="K12" s="2907">
        <v>0</v>
      </c>
      <c r="L12" s="3007">
        <v>0</v>
      </c>
      <c r="M12" s="2908">
        <v>0</v>
      </c>
      <c r="N12" s="2908">
        <v>0</v>
      </c>
    </row>
    <row r="13" spans="1:14" ht="15" customHeight="1" x14ac:dyDescent="0.25">
      <c r="A13" s="2912" t="s">
        <v>282</v>
      </c>
      <c r="B13" s="2904">
        <v>9</v>
      </c>
      <c r="C13" s="2905">
        <v>10</v>
      </c>
      <c r="D13" s="2906">
        <v>9</v>
      </c>
      <c r="E13" s="2913">
        <v>7</v>
      </c>
      <c r="F13" s="2908">
        <v>20</v>
      </c>
      <c r="G13" s="2908">
        <v>11</v>
      </c>
      <c r="H13" s="2909">
        <v>11</v>
      </c>
      <c r="I13" s="2907">
        <v>15</v>
      </c>
      <c r="J13" s="2908">
        <v>18</v>
      </c>
      <c r="K13" s="2913">
        <v>28</v>
      </c>
      <c r="L13" s="3007">
        <v>42</v>
      </c>
      <c r="M13" s="2915">
        <v>49</v>
      </c>
      <c r="N13" s="2915">
        <v>63</v>
      </c>
    </row>
    <row r="14" spans="1:14" ht="15" customHeight="1" x14ac:dyDescent="0.25">
      <c r="A14" s="2912" t="s">
        <v>312</v>
      </c>
      <c r="B14" s="2904"/>
      <c r="C14" s="2905"/>
      <c r="D14" s="2906"/>
      <c r="E14" s="2907"/>
      <c r="F14" s="2908"/>
      <c r="G14" s="2908"/>
      <c r="H14" s="2909"/>
      <c r="I14" s="2907"/>
      <c r="J14" s="2908"/>
      <c r="K14" s="2907"/>
      <c r="L14" s="3007"/>
      <c r="M14" s="2908"/>
      <c r="N14" s="2908"/>
    </row>
    <row r="15" spans="1:14" ht="15" customHeight="1" x14ac:dyDescent="0.25">
      <c r="A15" s="2899" t="s">
        <v>906</v>
      </c>
      <c r="B15" s="2904">
        <v>0</v>
      </c>
      <c r="C15" s="2905">
        <v>0</v>
      </c>
      <c r="D15" s="2906">
        <v>0</v>
      </c>
      <c r="E15" s="2907">
        <v>0</v>
      </c>
      <c r="F15" s="2908">
        <v>0</v>
      </c>
      <c r="G15" s="2908">
        <v>0</v>
      </c>
      <c r="H15" s="2909">
        <v>0</v>
      </c>
      <c r="I15" s="2907">
        <v>0</v>
      </c>
      <c r="J15" s="2908">
        <v>0</v>
      </c>
      <c r="K15" s="2907">
        <v>0</v>
      </c>
      <c r="L15" s="3007">
        <v>0</v>
      </c>
      <c r="M15" s="2908">
        <v>0</v>
      </c>
      <c r="N15" s="2908">
        <v>0</v>
      </c>
    </row>
    <row r="16" spans="1:14" ht="15" customHeight="1" x14ac:dyDescent="0.25">
      <c r="A16" s="2912" t="s">
        <v>907</v>
      </c>
      <c r="B16" s="2904">
        <v>9</v>
      </c>
      <c r="C16" s="2905">
        <v>10</v>
      </c>
      <c r="D16" s="2906">
        <v>9</v>
      </c>
      <c r="E16" s="2907">
        <v>7</v>
      </c>
      <c r="F16" s="2908">
        <v>20</v>
      </c>
      <c r="G16" s="2908">
        <v>11</v>
      </c>
      <c r="H16" s="2909">
        <v>11</v>
      </c>
      <c r="I16" s="2907">
        <v>15</v>
      </c>
      <c r="J16" s="2908">
        <v>18</v>
      </c>
      <c r="K16" s="2907">
        <v>28</v>
      </c>
      <c r="L16" s="3007">
        <v>42</v>
      </c>
      <c r="M16" s="2908">
        <v>49</v>
      </c>
      <c r="N16" s="2908">
        <v>63</v>
      </c>
    </row>
    <row r="17" spans="1:14" ht="15" customHeight="1" x14ac:dyDescent="0.25">
      <c r="A17" s="2912" t="s">
        <v>926</v>
      </c>
      <c r="B17" s="2904">
        <v>9</v>
      </c>
      <c r="C17" s="2905">
        <v>9</v>
      </c>
      <c r="D17" s="2906">
        <v>8</v>
      </c>
      <c r="E17" s="2907">
        <v>6</v>
      </c>
      <c r="F17" s="2908">
        <v>20</v>
      </c>
      <c r="G17" s="2908">
        <v>11</v>
      </c>
      <c r="H17" s="2909">
        <v>10</v>
      </c>
      <c r="I17" s="2907">
        <v>15</v>
      </c>
      <c r="J17" s="2908">
        <v>18</v>
      </c>
      <c r="K17" s="2907">
        <v>28</v>
      </c>
      <c r="L17" s="3007">
        <v>42</v>
      </c>
      <c r="M17" s="2908">
        <v>48</v>
      </c>
      <c r="N17" s="2908">
        <v>62</v>
      </c>
    </row>
    <row r="18" spans="1:14" ht="15" customHeight="1" x14ac:dyDescent="0.25">
      <c r="A18" s="2899" t="s">
        <v>911</v>
      </c>
      <c r="B18" s="2904">
        <v>0</v>
      </c>
      <c r="C18" s="2905">
        <v>1</v>
      </c>
      <c r="D18" s="2906">
        <v>1</v>
      </c>
      <c r="E18" s="2907">
        <v>1</v>
      </c>
      <c r="F18" s="2908">
        <v>0</v>
      </c>
      <c r="G18" s="2908">
        <v>0</v>
      </c>
      <c r="H18" s="2909">
        <v>1</v>
      </c>
      <c r="I18" s="2907">
        <v>0</v>
      </c>
      <c r="J18" s="2908">
        <v>0</v>
      </c>
      <c r="K18" s="2907">
        <v>0</v>
      </c>
      <c r="L18" s="3007">
        <v>0</v>
      </c>
      <c r="M18" s="2908">
        <v>1</v>
      </c>
      <c r="N18" s="2908">
        <v>1</v>
      </c>
    </row>
    <row r="19" spans="1:14" ht="15" customHeight="1" x14ac:dyDescent="0.25">
      <c r="A19" s="2912" t="s">
        <v>927</v>
      </c>
      <c r="B19" s="2904"/>
      <c r="C19" s="2905"/>
      <c r="D19" s="2906"/>
      <c r="E19" s="2907"/>
      <c r="F19" s="2908"/>
      <c r="G19" s="2908"/>
      <c r="H19" s="2909"/>
      <c r="I19" s="2907"/>
      <c r="J19" s="2908"/>
      <c r="K19" s="2907"/>
      <c r="L19" s="3007"/>
      <c r="M19" s="2908"/>
      <c r="N19" s="2908"/>
    </row>
    <row r="20" spans="1:14" ht="15" customHeight="1" x14ac:dyDescent="0.25">
      <c r="A20" s="2899" t="s">
        <v>906</v>
      </c>
      <c r="B20" s="2904">
        <v>0</v>
      </c>
      <c r="C20" s="2905">
        <v>0</v>
      </c>
      <c r="D20" s="2906">
        <v>0</v>
      </c>
      <c r="E20" s="2907">
        <v>0</v>
      </c>
      <c r="F20" s="2908">
        <v>0</v>
      </c>
      <c r="G20" s="2908">
        <v>0</v>
      </c>
      <c r="H20" s="2909">
        <v>0</v>
      </c>
      <c r="I20" s="2907">
        <v>0</v>
      </c>
      <c r="J20" s="2908">
        <v>0</v>
      </c>
      <c r="K20" s="2907">
        <v>0</v>
      </c>
      <c r="L20" s="3007">
        <v>0</v>
      </c>
      <c r="M20" s="2908">
        <v>0</v>
      </c>
      <c r="N20" s="2908">
        <v>0</v>
      </c>
    </row>
    <row r="21" spans="1:14" ht="15" customHeight="1" x14ac:dyDescent="0.25">
      <c r="A21" s="2912" t="s">
        <v>910</v>
      </c>
      <c r="B21" s="2904">
        <v>9</v>
      </c>
      <c r="C21" s="2905">
        <v>10</v>
      </c>
      <c r="D21" s="2906">
        <v>9</v>
      </c>
      <c r="E21" s="2907">
        <v>7</v>
      </c>
      <c r="F21" s="2908">
        <v>20</v>
      </c>
      <c r="G21" s="2908">
        <v>11</v>
      </c>
      <c r="H21" s="2909">
        <v>11</v>
      </c>
      <c r="I21" s="2907">
        <v>15</v>
      </c>
      <c r="J21" s="2908">
        <v>18</v>
      </c>
      <c r="K21" s="2907">
        <v>28</v>
      </c>
      <c r="L21" s="3007">
        <v>42</v>
      </c>
      <c r="M21" s="2908">
        <v>49</v>
      </c>
      <c r="N21" s="2908">
        <v>63</v>
      </c>
    </row>
    <row r="22" spans="1:14" ht="15" customHeight="1" x14ac:dyDescent="0.25">
      <c r="A22" s="2912" t="s">
        <v>926</v>
      </c>
      <c r="B22" s="2904">
        <v>9</v>
      </c>
      <c r="C22" s="2905">
        <v>9</v>
      </c>
      <c r="D22" s="3024">
        <v>9</v>
      </c>
      <c r="E22" s="3025">
        <v>6</v>
      </c>
      <c r="F22" s="2905">
        <v>20</v>
      </c>
      <c r="G22" s="2905">
        <v>12</v>
      </c>
      <c r="H22" s="3024">
        <v>10</v>
      </c>
      <c r="I22" s="3025">
        <v>16</v>
      </c>
      <c r="J22" s="2905">
        <v>19</v>
      </c>
      <c r="K22" s="2907">
        <v>28</v>
      </c>
      <c r="L22" s="3007">
        <v>43</v>
      </c>
      <c r="M22" s="2908">
        <v>50</v>
      </c>
      <c r="N22" s="2908">
        <v>64</v>
      </c>
    </row>
    <row r="23" spans="1:14" ht="15" customHeight="1" x14ac:dyDescent="0.25">
      <c r="A23" s="2899" t="s">
        <v>911</v>
      </c>
      <c r="B23" s="2904">
        <v>0</v>
      </c>
      <c r="C23" s="2905">
        <v>1</v>
      </c>
      <c r="D23" s="2906">
        <v>0</v>
      </c>
      <c r="E23" s="2907">
        <v>1</v>
      </c>
      <c r="F23" s="2908">
        <v>0</v>
      </c>
      <c r="G23" s="2908">
        <v>-1</v>
      </c>
      <c r="H23" s="2909">
        <v>1</v>
      </c>
      <c r="I23" s="2913">
        <v>-1</v>
      </c>
      <c r="J23" s="2915">
        <v>-1</v>
      </c>
      <c r="K23" s="2907">
        <v>0</v>
      </c>
      <c r="L23" s="3007">
        <v>-1</v>
      </c>
      <c r="M23" s="2915">
        <v>-1</v>
      </c>
      <c r="N23" s="2915">
        <v>-1</v>
      </c>
    </row>
    <row r="24" spans="1:14" ht="15" customHeight="1" x14ac:dyDescent="0.25">
      <c r="A24" s="2918" t="s">
        <v>928</v>
      </c>
      <c r="B24" s="2919"/>
      <c r="C24" s="2920"/>
      <c r="D24" s="2921"/>
      <c r="E24" s="2922"/>
      <c r="F24" s="2923"/>
      <c r="G24" s="2923"/>
      <c r="H24" s="2924"/>
      <c r="I24" s="2922"/>
      <c r="J24" s="2923"/>
      <c r="K24" s="2925"/>
      <c r="L24" s="3010"/>
      <c r="M24" s="2928"/>
      <c r="N24" s="2928"/>
    </row>
    <row r="25" spans="1:14" ht="15" customHeight="1" x14ac:dyDescent="0.25">
      <c r="A25" s="2899" t="s">
        <v>929</v>
      </c>
      <c r="B25" s="2930">
        <v>3.21</v>
      </c>
      <c r="C25" s="2950">
        <v>3.14</v>
      </c>
      <c r="D25" s="2932">
        <v>3.08</v>
      </c>
      <c r="E25" s="2933">
        <v>3.16</v>
      </c>
      <c r="F25" s="2934">
        <v>3.08</v>
      </c>
      <c r="G25" s="2934">
        <v>3.2</v>
      </c>
      <c r="H25" s="2935">
        <v>3.12</v>
      </c>
      <c r="I25" s="2933">
        <v>3.18</v>
      </c>
      <c r="J25" s="2934">
        <v>3.48</v>
      </c>
      <c r="K25" s="2936">
        <v>3.14</v>
      </c>
      <c r="L25" s="2937">
        <v>3.14</v>
      </c>
      <c r="M25" s="2934">
        <v>3.14</v>
      </c>
      <c r="N25" s="2934">
        <v>3.64</v>
      </c>
    </row>
    <row r="26" spans="1:14" ht="15" customHeight="1" x14ac:dyDescent="0.25">
      <c r="A26" s="2939" t="s">
        <v>930</v>
      </c>
      <c r="B26" s="2940"/>
      <c r="C26" s="2941"/>
      <c r="D26" s="2942"/>
      <c r="E26" s="2943"/>
      <c r="F26" s="2944"/>
      <c r="G26" s="2944"/>
      <c r="H26" s="2945"/>
      <c r="I26" s="2943"/>
      <c r="J26" s="2944"/>
      <c r="K26" s="2946"/>
      <c r="L26" s="2947"/>
      <c r="M26" s="2944"/>
      <c r="N26" s="2944"/>
    </row>
    <row r="27" spans="1:14" ht="15" customHeight="1" x14ac:dyDescent="0.25">
      <c r="A27" s="2949" t="s">
        <v>931</v>
      </c>
      <c r="B27" s="2930">
        <v>0.77</v>
      </c>
      <c r="C27" s="2950">
        <v>0.64</v>
      </c>
      <c r="D27" s="2932">
        <v>0.59</v>
      </c>
      <c r="E27" s="2933">
        <v>0.59</v>
      </c>
      <c r="F27" s="2934">
        <v>0.36</v>
      </c>
      <c r="G27" s="2934">
        <v>0.34</v>
      </c>
      <c r="H27" s="3011">
        <v>0.42</v>
      </c>
      <c r="I27" s="2933">
        <v>0.19</v>
      </c>
      <c r="J27" s="2934">
        <v>0.16</v>
      </c>
      <c r="K27" s="2936">
        <v>0.67</v>
      </c>
      <c r="L27" s="3011">
        <v>0.37</v>
      </c>
      <c r="M27" s="2934">
        <v>0.43</v>
      </c>
      <c r="N27" s="2934">
        <v>0.33</v>
      </c>
    </row>
    <row r="28" spans="1:14" ht="15" customHeight="1" x14ac:dyDescent="0.25">
      <c r="A28" s="2949" t="s">
        <v>932</v>
      </c>
      <c r="B28" s="2930">
        <v>0.66</v>
      </c>
      <c r="C28" s="2950">
        <v>0.67</v>
      </c>
      <c r="D28" s="2932">
        <v>1.44</v>
      </c>
      <c r="E28" s="2933">
        <v>0.93</v>
      </c>
      <c r="F28" s="2934">
        <v>0.68</v>
      </c>
      <c r="G28" s="2934">
        <v>0.63</v>
      </c>
      <c r="H28" s="3011">
        <v>1.02</v>
      </c>
      <c r="I28" s="2933">
        <v>0.57999999999999996</v>
      </c>
      <c r="J28" s="2934">
        <v>0.53</v>
      </c>
      <c r="K28" s="2936">
        <v>0.93</v>
      </c>
      <c r="L28" s="3011">
        <v>0.78</v>
      </c>
      <c r="M28" s="2934">
        <v>0.82</v>
      </c>
      <c r="N28" s="2934">
        <v>0.74</v>
      </c>
    </row>
    <row r="29" spans="1:14" ht="15" customHeight="1" x14ac:dyDescent="0.25">
      <c r="A29" s="2949" t="s">
        <v>319</v>
      </c>
      <c r="B29" s="2953">
        <v>69.7</v>
      </c>
      <c r="C29" s="2954">
        <v>72.099999999999994</v>
      </c>
      <c r="D29" s="2955">
        <v>76.900000000000006</v>
      </c>
      <c r="E29" s="2956">
        <v>73.7</v>
      </c>
      <c r="F29" s="2957">
        <v>69.099999999999994</v>
      </c>
      <c r="G29" s="2957">
        <v>77</v>
      </c>
      <c r="H29" s="2962">
        <v>79.599999999999994</v>
      </c>
      <c r="I29" s="2956">
        <v>76.599999999999994</v>
      </c>
      <c r="J29" s="2957">
        <v>74.8</v>
      </c>
      <c r="K29" s="2959">
        <v>72.8</v>
      </c>
      <c r="L29" s="3012">
        <v>75</v>
      </c>
      <c r="M29" s="2957">
        <v>74.7</v>
      </c>
      <c r="N29" s="2957">
        <v>72.7</v>
      </c>
    </row>
    <row r="30" spans="1:14" ht="15" customHeight="1" x14ac:dyDescent="0.25">
      <c r="A30" s="2918" t="s">
        <v>890</v>
      </c>
      <c r="B30" s="2919"/>
      <c r="C30" s="2920"/>
      <c r="D30" s="2921"/>
      <c r="E30" s="2922"/>
      <c r="F30" s="2923"/>
      <c r="G30" s="2923"/>
      <c r="H30" s="2924"/>
      <c r="I30" s="2922"/>
      <c r="J30" s="2923"/>
      <c r="K30" s="2925"/>
      <c r="L30" s="3010"/>
      <c r="M30" s="2928"/>
      <c r="N30" s="2928"/>
    </row>
    <row r="31" spans="1:14" ht="15" customHeight="1" x14ac:dyDescent="0.25">
      <c r="A31" s="2929" t="s">
        <v>321</v>
      </c>
      <c r="B31" s="2953">
        <v>3.1999999999999997</v>
      </c>
      <c r="C31" s="2954">
        <v>3.3</v>
      </c>
      <c r="D31" s="2955">
        <v>3.3</v>
      </c>
      <c r="E31" s="2959">
        <v>3.2</v>
      </c>
      <c r="F31" s="3014">
        <v>3.2</v>
      </c>
      <c r="G31" s="3014">
        <v>3.1</v>
      </c>
      <c r="H31" s="3012">
        <v>3.1</v>
      </c>
      <c r="I31" s="2959">
        <v>3.1</v>
      </c>
      <c r="J31" s="3014">
        <v>3</v>
      </c>
      <c r="K31" s="2959">
        <v>3.3</v>
      </c>
      <c r="L31" s="3012">
        <v>3.1</v>
      </c>
      <c r="M31" s="3014">
        <v>3.1</v>
      </c>
      <c r="N31" s="3014">
        <v>3</v>
      </c>
    </row>
    <row r="32" spans="1:14" ht="15" customHeight="1" x14ac:dyDescent="0.25">
      <c r="A32" s="2899" t="s">
        <v>353</v>
      </c>
      <c r="B32" s="2953">
        <v>1</v>
      </c>
      <c r="C32" s="2954">
        <v>1</v>
      </c>
      <c r="D32" s="2955">
        <v>1</v>
      </c>
      <c r="E32" s="2959">
        <v>0.9</v>
      </c>
      <c r="F32" s="3014">
        <v>0.9</v>
      </c>
      <c r="G32" s="3014">
        <v>0.9</v>
      </c>
      <c r="H32" s="3012">
        <v>0.8</v>
      </c>
      <c r="I32" s="2959">
        <v>0.8</v>
      </c>
      <c r="J32" s="3014">
        <v>0.8</v>
      </c>
      <c r="K32" s="2959">
        <v>1</v>
      </c>
      <c r="L32" s="3012">
        <v>0.9</v>
      </c>
      <c r="M32" s="3014">
        <v>0.9</v>
      </c>
      <c r="N32" s="3014">
        <v>0.8</v>
      </c>
    </row>
    <row r="33" spans="1:14" ht="15" customHeight="1" x14ac:dyDescent="0.25">
      <c r="A33" s="2899" t="s">
        <v>354</v>
      </c>
      <c r="B33" s="2953">
        <v>0.7</v>
      </c>
      <c r="C33" s="2954">
        <v>0.7</v>
      </c>
      <c r="D33" s="2955">
        <v>0.7</v>
      </c>
      <c r="E33" s="2959">
        <v>0.7</v>
      </c>
      <c r="F33" s="3014">
        <v>0.6</v>
      </c>
      <c r="G33" s="3014">
        <v>0.6</v>
      </c>
      <c r="H33" s="3012">
        <v>0.6</v>
      </c>
      <c r="I33" s="2959">
        <v>0.6</v>
      </c>
      <c r="J33" s="3014">
        <v>0.6</v>
      </c>
      <c r="K33" s="2959">
        <v>0.7</v>
      </c>
      <c r="L33" s="3012">
        <v>0.6</v>
      </c>
      <c r="M33" s="3014">
        <v>0.6</v>
      </c>
      <c r="N33" s="3014">
        <v>0.6</v>
      </c>
    </row>
    <row r="34" spans="1:14" ht="15" customHeight="1" x14ac:dyDescent="0.25">
      <c r="A34" s="2899" t="s">
        <v>324</v>
      </c>
      <c r="B34" s="2953">
        <v>4.4000000000000004</v>
      </c>
      <c r="C34" s="2954">
        <v>4.8</v>
      </c>
      <c r="D34" s="2955">
        <v>4.5999999999999996</v>
      </c>
      <c r="E34" s="2959">
        <v>4.2</v>
      </c>
      <c r="F34" s="3014">
        <v>4.2</v>
      </c>
      <c r="G34" s="3014">
        <v>4.2</v>
      </c>
      <c r="H34" s="3012">
        <v>4.0999999999999996</v>
      </c>
      <c r="I34" s="2959">
        <v>4.2</v>
      </c>
      <c r="J34" s="3014">
        <v>4.3</v>
      </c>
      <c r="K34" s="2959">
        <v>4.5999999999999996</v>
      </c>
      <c r="L34" s="3012">
        <v>4.2</v>
      </c>
      <c r="M34" s="3014">
        <v>4.2</v>
      </c>
      <c r="N34" s="3014">
        <v>4.4000000000000004</v>
      </c>
    </row>
    <row r="35" spans="1:14" ht="15" customHeight="1" x14ac:dyDescent="0.25">
      <c r="A35" s="2912" t="s">
        <v>355</v>
      </c>
      <c r="B35" s="2953">
        <v>9.3000000000000007</v>
      </c>
      <c r="C35" s="2954">
        <v>9.8000000000000007</v>
      </c>
      <c r="D35" s="2955">
        <v>9.6</v>
      </c>
      <c r="E35" s="2965">
        <v>9</v>
      </c>
      <c r="F35" s="3014">
        <v>8.9</v>
      </c>
      <c r="G35" s="3014">
        <v>8.8000000000000007</v>
      </c>
      <c r="H35" s="3012">
        <v>8.6</v>
      </c>
      <c r="I35" s="2959">
        <v>8.6999999999999993</v>
      </c>
      <c r="J35" s="3014">
        <v>8.6999999999999993</v>
      </c>
      <c r="K35" s="2965">
        <v>9.6</v>
      </c>
      <c r="L35" s="2955">
        <v>8.8000000000000007</v>
      </c>
      <c r="M35" s="2954">
        <v>8.8000000000000007</v>
      </c>
      <c r="N35" s="2954">
        <v>8.8000000000000007</v>
      </c>
    </row>
    <row r="36" spans="1:14" ht="15" customHeight="1" x14ac:dyDescent="0.25">
      <c r="A36" s="2912"/>
      <c r="B36" s="2953"/>
      <c r="C36" s="2954"/>
      <c r="D36" s="2955"/>
      <c r="E36" s="2965"/>
      <c r="F36" s="3014"/>
      <c r="G36" s="3014"/>
      <c r="H36" s="3012"/>
      <c r="I36" s="2959"/>
      <c r="J36" s="3014"/>
      <c r="K36" s="2965"/>
      <c r="L36" s="2955"/>
      <c r="M36" s="2954"/>
      <c r="N36" s="2954"/>
    </row>
    <row r="37" spans="1:14" ht="15" customHeight="1" x14ac:dyDescent="0.25">
      <c r="A37" s="3015" t="s">
        <v>330</v>
      </c>
      <c r="B37" s="3016">
        <v>6.5</v>
      </c>
      <c r="C37" s="3017">
        <v>6.8</v>
      </c>
      <c r="D37" s="3018">
        <v>6.8</v>
      </c>
      <c r="E37" s="3019">
        <v>6</v>
      </c>
      <c r="F37" s="3020">
        <v>6.1</v>
      </c>
      <c r="G37" s="3020">
        <v>5.7</v>
      </c>
      <c r="H37" s="3021">
        <v>5.5</v>
      </c>
      <c r="I37" s="3019">
        <v>5.6</v>
      </c>
      <c r="J37" s="3020">
        <v>5.5</v>
      </c>
      <c r="K37" s="3019">
        <v>6.7</v>
      </c>
      <c r="L37" s="3021">
        <v>5.8</v>
      </c>
      <c r="M37" s="3020">
        <v>5.8</v>
      </c>
      <c r="N37" s="3020">
        <v>5.5</v>
      </c>
    </row>
    <row r="38" spans="1:14" ht="12" customHeight="1" x14ac:dyDescent="0.25">
      <c r="A38" s="3022"/>
      <c r="B38" s="3022"/>
      <c r="C38" s="3022"/>
      <c r="D38" s="3022"/>
      <c r="E38" s="3022"/>
      <c r="F38" s="3022"/>
      <c r="G38" s="3022"/>
      <c r="H38" s="3022"/>
      <c r="I38" s="3022"/>
      <c r="J38" s="3022"/>
      <c r="K38" s="3022"/>
      <c r="L38" s="3022"/>
      <c r="M38" s="3022"/>
      <c r="N38" s="3022"/>
    </row>
    <row r="39" spans="1:14" ht="12" customHeight="1" x14ac:dyDescent="0.25">
      <c r="A39" s="3511" t="s">
        <v>360</v>
      </c>
      <c r="B39" s="3614" t="s">
        <v>14</v>
      </c>
      <c r="C39" s="3614" t="s">
        <v>14</v>
      </c>
      <c r="D39" s="3614" t="s">
        <v>14</v>
      </c>
      <c r="E39" s="3614" t="s">
        <v>14</v>
      </c>
      <c r="F39" s="3614" t="s">
        <v>14</v>
      </c>
      <c r="G39" s="3614" t="s">
        <v>14</v>
      </c>
      <c r="H39" s="3614" t="s">
        <v>14</v>
      </c>
      <c r="I39" s="3614" t="s">
        <v>14</v>
      </c>
      <c r="J39" s="3614" t="s">
        <v>14</v>
      </c>
      <c r="K39" s="3614" t="s">
        <v>14</v>
      </c>
      <c r="L39" s="3614" t="s">
        <v>14</v>
      </c>
      <c r="M39" s="3614" t="s">
        <v>14</v>
      </c>
      <c r="N39" s="3614" t="s">
        <v>14</v>
      </c>
    </row>
    <row r="40" spans="1:14" ht="12" customHeight="1" x14ac:dyDescent="0.25">
      <c r="A40" s="3511" t="s">
        <v>933</v>
      </c>
      <c r="B40" s="3614" t="s">
        <v>14</v>
      </c>
      <c r="C40" s="3614" t="s">
        <v>14</v>
      </c>
      <c r="D40" s="3614" t="s">
        <v>14</v>
      </c>
      <c r="E40" s="3614" t="s">
        <v>14</v>
      </c>
      <c r="F40" s="3614" t="s">
        <v>14</v>
      </c>
      <c r="G40" s="3614" t="s">
        <v>14</v>
      </c>
      <c r="H40" s="3614" t="s">
        <v>14</v>
      </c>
      <c r="I40" s="3614" t="s">
        <v>14</v>
      </c>
      <c r="J40" s="3614" t="s">
        <v>14</v>
      </c>
      <c r="K40" s="3614" t="s">
        <v>14</v>
      </c>
      <c r="L40" s="3614" t="s">
        <v>14</v>
      </c>
      <c r="M40" s="3614" t="s">
        <v>14</v>
      </c>
      <c r="N40" s="3614" t="s">
        <v>14</v>
      </c>
    </row>
    <row r="41" spans="1:14" ht="12" customHeight="1" x14ac:dyDescent="0.25">
      <c r="A41" s="3511" t="s">
        <v>934</v>
      </c>
      <c r="B41" s="3614" t="s">
        <v>14</v>
      </c>
      <c r="C41" s="3614" t="s">
        <v>14</v>
      </c>
      <c r="D41" s="3614" t="s">
        <v>14</v>
      </c>
      <c r="E41" s="3614" t="s">
        <v>14</v>
      </c>
      <c r="F41" s="3614" t="s">
        <v>14</v>
      </c>
      <c r="G41" s="3614" t="s">
        <v>14</v>
      </c>
      <c r="H41" s="3614" t="s">
        <v>14</v>
      </c>
      <c r="I41" s="3614" t="s">
        <v>14</v>
      </c>
      <c r="J41" s="3614" t="s">
        <v>14</v>
      </c>
      <c r="K41" s="3614" t="s">
        <v>14</v>
      </c>
      <c r="L41" s="3614" t="s">
        <v>14</v>
      </c>
      <c r="M41" s="3614" t="s">
        <v>14</v>
      </c>
      <c r="N41" s="3614" t="s">
        <v>14</v>
      </c>
    </row>
    <row r="42" spans="1:14" ht="12" customHeight="1" x14ac:dyDescent="0.25">
      <c r="A42" s="958" t="s">
        <v>935</v>
      </c>
      <c r="B42" s="3023"/>
      <c r="C42" s="3023"/>
      <c r="D42" s="3023"/>
      <c r="E42" s="3023"/>
      <c r="F42" s="3023"/>
      <c r="G42" s="3023"/>
      <c r="H42" s="3023"/>
      <c r="I42" s="3023"/>
      <c r="J42" s="3023"/>
      <c r="K42" s="3023"/>
      <c r="L42" s="3023"/>
      <c r="M42" s="3023"/>
      <c r="N42" s="3023"/>
    </row>
    <row r="43" spans="1:14" ht="12" customHeight="1" x14ac:dyDescent="0.25">
      <c r="A43" s="958" t="s">
        <v>384</v>
      </c>
      <c r="B43" s="3023"/>
      <c r="C43" s="3023"/>
      <c r="D43" s="3023"/>
      <c r="E43" s="3023"/>
      <c r="F43" s="3023"/>
      <c r="G43" s="3023"/>
      <c r="H43" s="3023"/>
      <c r="I43" s="3023"/>
      <c r="J43" s="3023"/>
      <c r="K43" s="3023"/>
      <c r="L43" s="3023"/>
      <c r="M43" s="3023"/>
      <c r="N43" s="3023"/>
    </row>
    <row r="44" spans="1:14" ht="12" customHeight="1" x14ac:dyDescent="0.25">
      <c r="A44" s="958" t="s">
        <v>385</v>
      </c>
      <c r="B44" s="3023"/>
      <c r="C44" s="3023"/>
      <c r="D44" s="3023"/>
      <c r="E44" s="3023"/>
      <c r="F44" s="3023"/>
      <c r="G44" s="3023"/>
      <c r="H44" s="3023"/>
      <c r="I44" s="3023"/>
      <c r="J44" s="3023"/>
      <c r="K44" s="3023"/>
      <c r="L44" s="3023"/>
      <c r="M44" s="3023"/>
      <c r="N44" s="3023"/>
    </row>
  </sheetData>
  <mergeCells count="9">
    <mergeCell ref="A39:N39"/>
    <mergeCell ref="A40:N40"/>
    <mergeCell ref="A41:N41"/>
    <mergeCell ref="A2:N2"/>
    <mergeCell ref="B3:D3"/>
    <mergeCell ref="E3:H3"/>
    <mergeCell ref="I3:J3"/>
    <mergeCell ref="K3:L3"/>
    <mergeCell ref="M3:N3"/>
  </mergeCells>
  <hyperlinks>
    <hyperlink ref="A1" location="ToC!A2" display="Back to Table of Contents" xr:uid="{7CC53E0C-8F77-4919-86D8-930D8DC5D528}"/>
  </hyperlinks>
  <pageMargins left="0.5" right="0.5" top="0.5" bottom="0.5" header="0.25" footer="0.25"/>
  <pageSetup scale="52" orientation="landscape" r:id="rId1"/>
  <headerFooter>
    <oddFooter>&amp;L&amp;G&amp;C&amp;"Scotia,Regular"&amp;9Supplementary Financial Information (SFI)&amp;R30&amp;"Scotia,Regular"&amp;7</oddFooter>
  </headerFooter>
  <ignoredErrors>
    <ignoredError sqref="B3:J3" numberStoredAsText="1"/>
  </ignoredErrors>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A755-2169-412C-B39C-2D0C1A16972F}">
  <sheetPr>
    <pageSetUpPr fitToPage="1"/>
  </sheetPr>
  <dimension ref="A1:N58"/>
  <sheetViews>
    <sheetView showGridLines="0" zoomScaleNormal="100" workbookViewId="0"/>
  </sheetViews>
  <sheetFormatPr defaultColWidth="8.77734375" defaultRowHeight="13.2" x14ac:dyDescent="0.25"/>
  <cols>
    <col min="1" max="1" width="85.77734375" style="22" customWidth="1"/>
    <col min="2" max="14" width="12.5546875" style="22" customWidth="1"/>
    <col min="15" max="16384" width="8.77734375" style="22"/>
  </cols>
  <sheetData>
    <row r="1" spans="1:14" ht="19.95" customHeight="1" x14ac:dyDescent="0.25">
      <c r="A1" s="21" t="s">
        <v>12</v>
      </c>
    </row>
    <row r="2" spans="1:14" ht="24.6" customHeight="1" x14ac:dyDescent="0.25">
      <c r="A2" s="3438" t="s">
        <v>938</v>
      </c>
      <c r="B2" s="3438" t="s">
        <v>14</v>
      </c>
      <c r="C2" s="3438" t="s">
        <v>14</v>
      </c>
      <c r="D2" s="3438" t="s">
        <v>14</v>
      </c>
      <c r="E2" s="3438" t="s">
        <v>14</v>
      </c>
      <c r="F2" s="3438" t="s">
        <v>14</v>
      </c>
      <c r="G2" s="3438" t="s">
        <v>14</v>
      </c>
      <c r="H2" s="3438" t="s">
        <v>14</v>
      </c>
      <c r="I2" s="3438" t="s">
        <v>14</v>
      </c>
      <c r="J2" s="3438" t="s">
        <v>14</v>
      </c>
      <c r="K2" s="3438" t="s">
        <v>14</v>
      </c>
      <c r="L2" s="3438" t="s">
        <v>14</v>
      </c>
      <c r="M2" s="3438" t="s">
        <v>14</v>
      </c>
      <c r="N2" s="3438" t="s">
        <v>14</v>
      </c>
    </row>
    <row r="3" spans="1:14" ht="12" customHeight="1" x14ac:dyDescent="0.25">
      <c r="A3" s="3672" t="s">
        <v>939</v>
      </c>
      <c r="B3" s="3672" t="s">
        <v>14</v>
      </c>
      <c r="C3" s="3672" t="s">
        <v>14</v>
      </c>
      <c r="D3" s="3672" t="s">
        <v>14</v>
      </c>
      <c r="E3" s="3672" t="s">
        <v>14</v>
      </c>
      <c r="F3" s="3672" t="s">
        <v>14</v>
      </c>
      <c r="G3" s="3672" t="s">
        <v>14</v>
      </c>
      <c r="H3" s="3672" t="s">
        <v>14</v>
      </c>
      <c r="I3" s="3672" t="s">
        <v>14</v>
      </c>
      <c r="J3" s="3672" t="s">
        <v>14</v>
      </c>
      <c r="K3" s="3672" t="s">
        <v>14</v>
      </c>
      <c r="L3" s="3672" t="s">
        <v>14</v>
      </c>
      <c r="M3" s="3026"/>
      <c r="N3" s="3026"/>
    </row>
    <row r="4" spans="1:14" ht="12" customHeight="1" x14ac:dyDescent="0.25">
      <c r="A4" s="3027"/>
      <c r="B4" s="3673" t="s">
        <v>940</v>
      </c>
      <c r="C4" s="3673" t="s">
        <v>14</v>
      </c>
      <c r="D4" s="3674" t="s">
        <v>14</v>
      </c>
      <c r="E4" s="3675">
        <v>2024</v>
      </c>
      <c r="F4" s="3676" t="s">
        <v>14</v>
      </c>
      <c r="G4" s="3676" t="s">
        <v>14</v>
      </c>
      <c r="H4" s="3677" t="s">
        <v>14</v>
      </c>
      <c r="I4" s="3678">
        <v>2023</v>
      </c>
      <c r="J4" s="3676" t="s">
        <v>14</v>
      </c>
      <c r="K4" s="3679" t="s">
        <v>941</v>
      </c>
      <c r="L4" s="3680" t="s">
        <v>14</v>
      </c>
      <c r="M4" s="3681" t="s">
        <v>942</v>
      </c>
      <c r="N4" s="3681" t="s">
        <v>14</v>
      </c>
    </row>
    <row r="5" spans="1:14" ht="12" customHeight="1" x14ac:dyDescent="0.25">
      <c r="A5" s="3027" t="s">
        <v>943</v>
      </c>
      <c r="B5" s="3028" t="s">
        <v>944</v>
      </c>
      <c r="C5" s="3029" t="s">
        <v>945</v>
      </c>
      <c r="D5" s="3030" t="s">
        <v>946</v>
      </c>
      <c r="E5" s="3031" t="s">
        <v>947</v>
      </c>
      <c r="F5" s="3032" t="s">
        <v>948</v>
      </c>
      <c r="G5" s="3032" t="s">
        <v>945</v>
      </c>
      <c r="H5" s="3033" t="s">
        <v>946</v>
      </c>
      <c r="I5" s="3031" t="s">
        <v>947</v>
      </c>
      <c r="J5" s="3032" t="s">
        <v>948</v>
      </c>
      <c r="K5" s="3034" t="s">
        <v>949</v>
      </c>
      <c r="L5" s="3035" t="s">
        <v>950</v>
      </c>
      <c r="M5" s="3036">
        <v>2024</v>
      </c>
      <c r="N5" s="3037">
        <v>2023</v>
      </c>
    </row>
    <row r="6" spans="1:14" ht="15" customHeight="1" x14ac:dyDescent="0.25">
      <c r="A6" s="3038" t="s">
        <v>951</v>
      </c>
      <c r="B6" s="3039"/>
      <c r="C6" s="3040"/>
      <c r="D6" s="3041"/>
      <c r="E6" s="3042"/>
      <c r="F6" s="3043"/>
      <c r="G6" s="3043"/>
      <c r="H6" s="3044"/>
      <c r="I6" s="3042"/>
      <c r="J6" s="3043"/>
      <c r="K6" s="3045"/>
      <c r="L6" s="3044"/>
      <c r="M6" s="3040"/>
      <c r="N6" s="3046"/>
    </row>
    <row r="7" spans="1:14" ht="12" customHeight="1" x14ac:dyDescent="0.25">
      <c r="A7" s="3047" t="s">
        <v>952</v>
      </c>
      <c r="B7" s="3048">
        <v>5493</v>
      </c>
      <c r="C7" s="3049">
        <v>5270</v>
      </c>
      <c r="D7" s="3050">
        <v>5173</v>
      </c>
      <c r="E7" s="3051">
        <v>4923</v>
      </c>
      <c r="F7" s="3052">
        <v>4862</v>
      </c>
      <c r="G7" s="3052">
        <v>4694</v>
      </c>
      <c r="H7" s="3053">
        <v>4773</v>
      </c>
      <c r="I7" s="3051">
        <v>4666</v>
      </c>
      <c r="J7" s="3052">
        <v>4573</v>
      </c>
      <c r="K7" s="3054">
        <v>15936</v>
      </c>
      <c r="L7" s="3053">
        <v>14329</v>
      </c>
      <c r="M7" s="3055">
        <v>19252</v>
      </c>
      <c r="N7" s="3056">
        <v>18262</v>
      </c>
    </row>
    <row r="8" spans="1:14" ht="12" customHeight="1" x14ac:dyDescent="0.25">
      <c r="A8" s="3057" t="s">
        <v>953</v>
      </c>
      <c r="B8" s="3048">
        <v>3993</v>
      </c>
      <c r="C8" s="3058">
        <v>3810</v>
      </c>
      <c r="D8" s="3059">
        <v>4199</v>
      </c>
      <c r="E8" s="3060">
        <v>3603</v>
      </c>
      <c r="F8" s="3061">
        <v>3502</v>
      </c>
      <c r="G8" s="3061">
        <v>3653</v>
      </c>
      <c r="H8" s="3062">
        <v>3660</v>
      </c>
      <c r="I8" s="3063">
        <v>3606</v>
      </c>
      <c r="J8" s="3061">
        <v>3494</v>
      </c>
      <c r="K8" s="3064">
        <v>12002</v>
      </c>
      <c r="L8" s="3062">
        <v>10815</v>
      </c>
      <c r="M8" s="3065">
        <v>14418</v>
      </c>
      <c r="N8" s="3066">
        <v>13952</v>
      </c>
    </row>
    <row r="9" spans="1:14" ht="12" customHeight="1" x14ac:dyDescent="0.25">
      <c r="A9" s="3067" t="s">
        <v>954</v>
      </c>
      <c r="B9" s="3048">
        <v>9486</v>
      </c>
      <c r="C9" s="3058">
        <v>9080</v>
      </c>
      <c r="D9" s="3059">
        <v>9372</v>
      </c>
      <c r="E9" s="3060">
        <v>8526</v>
      </c>
      <c r="F9" s="3061">
        <v>8364</v>
      </c>
      <c r="G9" s="3061">
        <v>8347</v>
      </c>
      <c r="H9" s="3062">
        <v>8433</v>
      </c>
      <c r="I9" s="3063">
        <v>8272</v>
      </c>
      <c r="J9" s="3061">
        <v>8067</v>
      </c>
      <c r="K9" s="3064">
        <v>27938</v>
      </c>
      <c r="L9" s="3062">
        <v>25144</v>
      </c>
      <c r="M9" s="3065">
        <v>33670</v>
      </c>
      <c r="N9" s="3066">
        <v>32214</v>
      </c>
    </row>
    <row r="10" spans="1:14" ht="12" customHeight="1" x14ac:dyDescent="0.25">
      <c r="A10" s="3068" t="s">
        <v>955</v>
      </c>
      <c r="B10" s="3048">
        <v>1041</v>
      </c>
      <c r="C10" s="3058">
        <v>1398</v>
      </c>
      <c r="D10" s="3059">
        <v>1162</v>
      </c>
      <c r="E10" s="3060">
        <v>1030</v>
      </c>
      <c r="F10" s="3061">
        <v>1052</v>
      </c>
      <c r="G10" s="3061">
        <v>1007</v>
      </c>
      <c r="H10" s="3062">
        <v>962</v>
      </c>
      <c r="I10" s="3063">
        <v>1256</v>
      </c>
      <c r="J10" s="3061">
        <v>819</v>
      </c>
      <c r="K10" s="3064">
        <v>3601</v>
      </c>
      <c r="L10" s="3062">
        <v>3021</v>
      </c>
      <c r="M10" s="3065">
        <v>4051</v>
      </c>
      <c r="N10" s="3066">
        <v>3422</v>
      </c>
    </row>
    <row r="11" spans="1:14" ht="12" customHeight="1" x14ac:dyDescent="0.25">
      <c r="A11" s="3069" t="s">
        <v>956</v>
      </c>
      <c r="B11" s="3048">
        <v>5089</v>
      </c>
      <c r="C11" s="3058">
        <v>5110</v>
      </c>
      <c r="D11" s="3059">
        <v>6491</v>
      </c>
      <c r="E11" s="3060">
        <v>5296</v>
      </c>
      <c r="F11" s="3061">
        <v>4949</v>
      </c>
      <c r="G11" s="3061">
        <v>4711</v>
      </c>
      <c r="H11" s="3062">
        <v>4739</v>
      </c>
      <c r="I11" s="3063">
        <v>5527</v>
      </c>
      <c r="J11" s="3061">
        <v>4559</v>
      </c>
      <c r="K11" s="3064">
        <v>16690</v>
      </c>
      <c r="L11" s="3062">
        <v>14399</v>
      </c>
      <c r="M11" s="3065">
        <v>19695</v>
      </c>
      <c r="N11" s="3066">
        <v>19121</v>
      </c>
    </row>
    <row r="12" spans="1:14" ht="12" customHeight="1" x14ac:dyDescent="0.25">
      <c r="A12" s="3068" t="s">
        <v>957</v>
      </c>
      <c r="B12" s="3048">
        <v>3356</v>
      </c>
      <c r="C12" s="3058">
        <v>2572</v>
      </c>
      <c r="D12" s="3059">
        <v>1719</v>
      </c>
      <c r="E12" s="3060">
        <v>2200</v>
      </c>
      <c r="F12" s="3061">
        <v>2363</v>
      </c>
      <c r="G12" s="3061">
        <v>2629</v>
      </c>
      <c r="H12" s="3062">
        <v>2732</v>
      </c>
      <c r="I12" s="3063">
        <v>1489</v>
      </c>
      <c r="J12" s="3061">
        <v>2689</v>
      </c>
      <c r="K12" s="3064">
        <v>7647</v>
      </c>
      <c r="L12" s="3062">
        <v>7724</v>
      </c>
      <c r="M12" s="3065">
        <v>9924</v>
      </c>
      <c r="N12" s="3066">
        <v>9671</v>
      </c>
    </row>
    <row r="13" spans="1:14" ht="12" customHeight="1" x14ac:dyDescent="0.25">
      <c r="A13" s="3069" t="s">
        <v>958</v>
      </c>
      <c r="B13" s="3048">
        <v>829</v>
      </c>
      <c r="C13" s="3058">
        <v>540</v>
      </c>
      <c r="D13" s="3059">
        <v>726</v>
      </c>
      <c r="E13" s="3060">
        <v>511</v>
      </c>
      <c r="F13" s="3061">
        <v>451</v>
      </c>
      <c r="G13" s="3061">
        <v>537</v>
      </c>
      <c r="H13" s="3062">
        <v>533</v>
      </c>
      <c r="I13" s="3063">
        <v>135</v>
      </c>
      <c r="J13" s="3061">
        <v>497</v>
      </c>
      <c r="K13" s="3064">
        <v>2095</v>
      </c>
      <c r="L13" s="3062">
        <v>1521</v>
      </c>
      <c r="M13" s="3065">
        <v>2032</v>
      </c>
      <c r="N13" s="3066">
        <v>2221</v>
      </c>
    </row>
    <row r="14" spans="1:14" ht="12" customHeight="1" x14ac:dyDescent="0.25">
      <c r="A14" s="3067" t="s">
        <v>959</v>
      </c>
      <c r="B14" s="3048">
        <v>2527</v>
      </c>
      <c r="C14" s="3058">
        <v>2032</v>
      </c>
      <c r="D14" s="3059">
        <v>993</v>
      </c>
      <c r="E14" s="3060">
        <v>1689</v>
      </c>
      <c r="F14" s="3061">
        <v>1912</v>
      </c>
      <c r="G14" s="3061">
        <v>2092</v>
      </c>
      <c r="H14" s="3062">
        <v>2199</v>
      </c>
      <c r="I14" s="3063">
        <v>1354</v>
      </c>
      <c r="J14" s="3061">
        <v>2192</v>
      </c>
      <c r="K14" s="3064">
        <v>5552</v>
      </c>
      <c r="L14" s="3062">
        <v>6203</v>
      </c>
      <c r="M14" s="3065">
        <v>7892</v>
      </c>
      <c r="N14" s="3066">
        <v>7450</v>
      </c>
    </row>
    <row r="15" spans="1:14" ht="12" customHeight="1" x14ac:dyDescent="0.25">
      <c r="A15" s="3068" t="s">
        <v>960</v>
      </c>
      <c r="B15" s="3048">
        <v>80</v>
      </c>
      <c r="C15" s="3058">
        <v>56</v>
      </c>
      <c r="D15" s="3059">
        <v>-154</v>
      </c>
      <c r="E15" s="3060">
        <v>47</v>
      </c>
      <c r="F15" s="3061">
        <v>36</v>
      </c>
      <c r="G15" s="3061">
        <v>26</v>
      </c>
      <c r="H15" s="3062">
        <v>25</v>
      </c>
      <c r="I15" s="3063">
        <v>31</v>
      </c>
      <c r="J15" s="3061">
        <v>20</v>
      </c>
      <c r="K15" s="3064">
        <v>-18</v>
      </c>
      <c r="L15" s="3062">
        <v>87</v>
      </c>
      <c r="M15" s="3065">
        <v>134</v>
      </c>
      <c r="N15" s="3066">
        <v>112</v>
      </c>
    </row>
    <row r="16" spans="1:14" ht="12" customHeight="1" x14ac:dyDescent="0.25">
      <c r="A16" s="3069" t="s">
        <v>961</v>
      </c>
      <c r="B16" s="3048">
        <v>2447</v>
      </c>
      <c r="C16" s="3058">
        <v>1976</v>
      </c>
      <c r="D16" s="3059">
        <v>1147</v>
      </c>
      <c r="E16" s="3060">
        <v>1642</v>
      </c>
      <c r="F16" s="3061">
        <v>1876</v>
      </c>
      <c r="G16" s="3061">
        <v>2066</v>
      </c>
      <c r="H16" s="3062">
        <v>2174</v>
      </c>
      <c r="I16" s="3063">
        <v>1323</v>
      </c>
      <c r="J16" s="3061">
        <v>2172</v>
      </c>
      <c r="K16" s="3064">
        <v>5570</v>
      </c>
      <c r="L16" s="3062">
        <v>6116</v>
      </c>
      <c r="M16" s="3065">
        <v>7758</v>
      </c>
      <c r="N16" s="3066">
        <v>7338</v>
      </c>
    </row>
    <row r="17" spans="1:14" ht="12" customHeight="1" x14ac:dyDescent="0.25">
      <c r="A17" s="3069" t="s">
        <v>962</v>
      </c>
      <c r="B17" s="3048">
        <v>134</v>
      </c>
      <c r="C17" s="3058">
        <v>135</v>
      </c>
      <c r="D17" s="3059">
        <v>122</v>
      </c>
      <c r="E17" s="3060">
        <v>121</v>
      </c>
      <c r="F17" s="3061">
        <v>120</v>
      </c>
      <c r="G17" s="3061">
        <v>123</v>
      </c>
      <c r="H17" s="3062">
        <v>108</v>
      </c>
      <c r="I17" s="3063">
        <v>109</v>
      </c>
      <c r="J17" s="3061">
        <v>105</v>
      </c>
      <c r="K17" s="3064">
        <v>391</v>
      </c>
      <c r="L17" s="3062">
        <v>351</v>
      </c>
      <c r="M17" s="3065">
        <v>472</v>
      </c>
      <c r="N17" s="3066">
        <v>419</v>
      </c>
    </row>
    <row r="18" spans="1:14" ht="12" customHeight="1" x14ac:dyDescent="0.25">
      <c r="A18" s="3069" t="s">
        <v>963</v>
      </c>
      <c r="B18" s="3070">
        <v>2313</v>
      </c>
      <c r="C18" s="3058">
        <v>1841</v>
      </c>
      <c r="D18" s="3059">
        <v>1025</v>
      </c>
      <c r="E18" s="3060">
        <v>1521</v>
      </c>
      <c r="F18" s="3061">
        <v>1756</v>
      </c>
      <c r="G18" s="3061">
        <v>1943</v>
      </c>
      <c r="H18" s="3062">
        <v>2066</v>
      </c>
      <c r="I18" s="3063">
        <v>1214</v>
      </c>
      <c r="J18" s="3061">
        <v>2067</v>
      </c>
      <c r="K18" s="3064">
        <v>5179</v>
      </c>
      <c r="L18" s="3062">
        <v>5765</v>
      </c>
      <c r="M18" s="3065">
        <v>7286</v>
      </c>
      <c r="N18" s="3066">
        <v>6919</v>
      </c>
    </row>
    <row r="19" spans="1:14" ht="12" customHeight="1" x14ac:dyDescent="0.25">
      <c r="A19" s="3069"/>
      <c r="B19" s="3071"/>
      <c r="C19" s="3072"/>
      <c r="D19" s="3073"/>
      <c r="E19" s="3074"/>
      <c r="F19" s="3075"/>
      <c r="G19" s="3075"/>
      <c r="H19" s="3076"/>
      <c r="I19" s="3077"/>
      <c r="J19" s="3075"/>
      <c r="K19" s="3078"/>
      <c r="L19" s="3076"/>
      <c r="M19" s="3071"/>
      <c r="N19" s="3075"/>
    </row>
    <row r="20" spans="1:14" ht="15" customHeight="1" x14ac:dyDescent="0.25">
      <c r="A20" s="3079" t="s">
        <v>964</v>
      </c>
      <c r="B20" s="3071"/>
      <c r="C20" s="3072"/>
      <c r="D20" s="3073"/>
      <c r="E20" s="3078"/>
      <c r="F20" s="3072"/>
      <c r="G20" s="3072"/>
      <c r="H20" s="3080"/>
      <c r="I20" s="3081"/>
      <c r="J20" s="3072"/>
      <c r="K20" s="3078"/>
      <c r="L20" s="3080"/>
      <c r="M20" s="3071"/>
      <c r="N20" s="3072"/>
    </row>
    <row r="21" spans="1:14" ht="15" customHeight="1" x14ac:dyDescent="0.25">
      <c r="A21" s="3068" t="s">
        <v>965</v>
      </c>
      <c r="B21" s="3048"/>
      <c r="C21" s="3072"/>
      <c r="D21" s="3073"/>
      <c r="E21" s="3078"/>
      <c r="F21" s="3072"/>
      <c r="G21" s="3072"/>
      <c r="H21" s="3080"/>
      <c r="I21" s="3081"/>
      <c r="J21" s="3072"/>
      <c r="K21" s="3078"/>
      <c r="L21" s="3080"/>
      <c r="M21" s="3071"/>
      <c r="N21" s="3072"/>
    </row>
    <row r="22" spans="1:14" ht="12" customHeight="1" x14ac:dyDescent="0.25">
      <c r="A22" s="3082" t="s">
        <v>966</v>
      </c>
      <c r="B22" s="3048">
        <v>0</v>
      </c>
      <c r="C22" s="3058">
        <v>9</v>
      </c>
      <c r="D22" s="3059">
        <v>0</v>
      </c>
      <c r="E22" s="3060">
        <v>0</v>
      </c>
      <c r="F22" s="3061">
        <v>143</v>
      </c>
      <c r="G22" s="3061">
        <v>0</v>
      </c>
      <c r="H22" s="3062">
        <v>0</v>
      </c>
      <c r="I22" s="3063">
        <v>-367</v>
      </c>
      <c r="J22" s="3061">
        <v>0</v>
      </c>
      <c r="K22" s="3064">
        <v>9</v>
      </c>
      <c r="L22" s="3062">
        <v>143</v>
      </c>
      <c r="M22" s="3065">
        <v>143</v>
      </c>
      <c r="N22" s="3066">
        <v>-367</v>
      </c>
    </row>
    <row r="23" spans="1:14" ht="12" customHeight="1" x14ac:dyDescent="0.25">
      <c r="A23" s="3082" t="s">
        <v>967</v>
      </c>
      <c r="B23" s="3048">
        <v>8</v>
      </c>
      <c r="C23" s="3058">
        <v>9</v>
      </c>
      <c r="D23" s="3059">
        <v>0</v>
      </c>
      <c r="E23" s="3060">
        <v>0</v>
      </c>
      <c r="F23" s="3061">
        <v>0</v>
      </c>
      <c r="G23" s="3061">
        <v>0</v>
      </c>
      <c r="H23" s="3062">
        <v>0</v>
      </c>
      <c r="I23" s="3063">
        <v>0</v>
      </c>
      <c r="J23" s="3061">
        <v>0</v>
      </c>
      <c r="K23" s="3064">
        <v>17</v>
      </c>
      <c r="L23" s="3062">
        <v>0</v>
      </c>
      <c r="M23" s="3065">
        <v>0</v>
      </c>
      <c r="N23" s="3066">
        <v>0</v>
      </c>
    </row>
    <row r="24" spans="1:14" ht="15" customHeight="1" x14ac:dyDescent="0.25">
      <c r="A24" s="3068" t="s">
        <v>968</v>
      </c>
      <c r="B24" s="3048">
        <v>8</v>
      </c>
      <c r="C24" s="3058">
        <v>18</v>
      </c>
      <c r="D24" s="3059">
        <v>0</v>
      </c>
      <c r="E24" s="3060">
        <v>0</v>
      </c>
      <c r="F24" s="3061">
        <v>143</v>
      </c>
      <c r="G24" s="3061">
        <v>0</v>
      </c>
      <c r="H24" s="3062">
        <v>0</v>
      </c>
      <c r="I24" s="3063">
        <v>-367</v>
      </c>
      <c r="J24" s="3061">
        <v>0</v>
      </c>
      <c r="K24" s="3064">
        <v>26</v>
      </c>
      <c r="L24" s="3062">
        <v>143</v>
      </c>
      <c r="M24" s="3083">
        <v>143</v>
      </c>
      <c r="N24" s="3066">
        <v>-367</v>
      </c>
    </row>
    <row r="25" spans="1:14" ht="12" customHeight="1" x14ac:dyDescent="0.25">
      <c r="A25" s="3068" t="s">
        <v>969</v>
      </c>
      <c r="B25" s="3048"/>
      <c r="C25" s="3058"/>
      <c r="D25" s="3059"/>
      <c r="E25" s="3060"/>
      <c r="F25" s="3061"/>
      <c r="G25" s="3061"/>
      <c r="H25" s="3062"/>
      <c r="I25" s="3063"/>
      <c r="J25" s="3061"/>
      <c r="K25" s="3064"/>
      <c r="L25" s="3062"/>
      <c r="M25" s="3065"/>
      <c r="N25" s="3066"/>
    </row>
    <row r="26" spans="1:14" ht="13.05" customHeight="1" x14ac:dyDescent="0.25">
      <c r="A26" s="3082" t="s">
        <v>966</v>
      </c>
      <c r="B26" s="3048">
        <v>-23</v>
      </c>
      <c r="C26" s="3058">
        <v>26</v>
      </c>
      <c r="D26" s="3059">
        <v>1362</v>
      </c>
      <c r="E26" s="3060">
        <v>0</v>
      </c>
      <c r="F26" s="3061">
        <v>-7</v>
      </c>
      <c r="G26" s="3061">
        <v>0</v>
      </c>
      <c r="H26" s="3062">
        <v>0</v>
      </c>
      <c r="I26" s="3063">
        <v>0</v>
      </c>
      <c r="J26" s="3061">
        <v>0</v>
      </c>
      <c r="K26" s="3064">
        <v>1365</v>
      </c>
      <c r="L26" s="3062">
        <v>-7</v>
      </c>
      <c r="M26" s="3065">
        <v>-7</v>
      </c>
      <c r="N26" s="3066">
        <v>0</v>
      </c>
    </row>
    <row r="27" spans="1:14" ht="12" customHeight="1" x14ac:dyDescent="0.25">
      <c r="A27" s="3082" t="s">
        <v>967</v>
      </c>
      <c r="B27" s="3048">
        <v>17</v>
      </c>
      <c r="C27" s="3058">
        <v>17</v>
      </c>
      <c r="D27" s="3059">
        <v>18</v>
      </c>
      <c r="E27" s="3060">
        <v>19</v>
      </c>
      <c r="F27" s="3061">
        <v>17</v>
      </c>
      <c r="G27" s="3061">
        <v>18</v>
      </c>
      <c r="H27" s="3062">
        <v>18</v>
      </c>
      <c r="I27" s="3063">
        <v>19</v>
      </c>
      <c r="J27" s="3061">
        <v>20</v>
      </c>
      <c r="K27" s="3064">
        <v>52</v>
      </c>
      <c r="L27" s="3062">
        <v>53</v>
      </c>
      <c r="M27" s="3065">
        <v>72</v>
      </c>
      <c r="N27" s="3066">
        <v>81</v>
      </c>
    </row>
    <row r="28" spans="1:14" ht="12" customHeight="1" x14ac:dyDescent="0.25">
      <c r="A28" s="3082" t="s">
        <v>970</v>
      </c>
      <c r="B28" s="3048">
        <v>0</v>
      </c>
      <c r="C28" s="3058">
        <v>0</v>
      </c>
      <c r="D28" s="3059">
        <v>0</v>
      </c>
      <c r="E28" s="3060">
        <v>53</v>
      </c>
      <c r="F28" s="3061">
        <v>0</v>
      </c>
      <c r="G28" s="3061">
        <v>0</v>
      </c>
      <c r="H28" s="3062">
        <v>0</v>
      </c>
      <c r="I28" s="3063">
        <v>354</v>
      </c>
      <c r="J28" s="3061">
        <v>0</v>
      </c>
      <c r="K28" s="3064">
        <v>0</v>
      </c>
      <c r="L28" s="3062">
        <v>0</v>
      </c>
      <c r="M28" s="3065">
        <v>53</v>
      </c>
      <c r="N28" s="3066">
        <v>354</v>
      </c>
    </row>
    <row r="29" spans="1:14" ht="12" customHeight="1" x14ac:dyDescent="0.25">
      <c r="A29" s="3082" t="s">
        <v>971</v>
      </c>
      <c r="B29" s="3048">
        <v>0</v>
      </c>
      <c r="C29" s="3058">
        <v>0</v>
      </c>
      <c r="D29" s="3059">
        <v>0</v>
      </c>
      <c r="E29" s="3060">
        <v>440</v>
      </c>
      <c r="F29" s="3061">
        <v>0</v>
      </c>
      <c r="G29" s="3061">
        <v>0</v>
      </c>
      <c r="H29" s="3062">
        <v>0</v>
      </c>
      <c r="I29" s="3063">
        <v>346</v>
      </c>
      <c r="J29" s="3061">
        <v>0</v>
      </c>
      <c r="K29" s="3064">
        <v>0</v>
      </c>
      <c r="L29" s="3062">
        <v>0</v>
      </c>
      <c r="M29" s="3065">
        <v>440</v>
      </c>
      <c r="N29" s="3066">
        <v>346</v>
      </c>
    </row>
    <row r="30" spans="1:14" ht="12" customHeight="1" x14ac:dyDescent="0.25">
      <c r="A30" s="3082" t="s">
        <v>972</v>
      </c>
      <c r="B30" s="3048">
        <v>0</v>
      </c>
      <c r="C30" s="3058">
        <v>0</v>
      </c>
      <c r="D30" s="3059">
        <v>0</v>
      </c>
      <c r="E30" s="3060">
        <v>0</v>
      </c>
      <c r="F30" s="3061">
        <v>176</v>
      </c>
      <c r="G30" s="3061">
        <v>0</v>
      </c>
      <c r="H30" s="3062">
        <v>0</v>
      </c>
      <c r="I30" s="3063">
        <v>0</v>
      </c>
      <c r="J30" s="3061">
        <v>0</v>
      </c>
      <c r="K30" s="3064">
        <v>0</v>
      </c>
      <c r="L30" s="3062">
        <v>176</v>
      </c>
      <c r="M30" s="3065">
        <v>176</v>
      </c>
      <c r="N30" s="3066">
        <v>0</v>
      </c>
    </row>
    <row r="31" spans="1:14" ht="12" customHeight="1" x14ac:dyDescent="0.25">
      <c r="A31" s="3082" t="s">
        <v>973</v>
      </c>
      <c r="B31" s="3048">
        <v>0</v>
      </c>
      <c r="C31" s="3058">
        <v>0</v>
      </c>
      <c r="D31" s="3059">
        <v>0</v>
      </c>
      <c r="E31" s="3060">
        <v>0</v>
      </c>
      <c r="F31" s="3061">
        <v>0</v>
      </c>
      <c r="G31" s="3061">
        <v>0</v>
      </c>
      <c r="H31" s="3062">
        <v>0</v>
      </c>
      <c r="I31" s="3063">
        <v>87</v>
      </c>
      <c r="J31" s="3061">
        <v>0</v>
      </c>
      <c r="K31" s="3064">
        <v>0</v>
      </c>
      <c r="L31" s="3062">
        <v>0</v>
      </c>
      <c r="M31" s="3065">
        <v>0</v>
      </c>
      <c r="N31" s="3066">
        <v>87</v>
      </c>
    </row>
    <row r="32" spans="1:14" ht="15" customHeight="1" x14ac:dyDescent="0.25">
      <c r="A32" s="3068" t="s">
        <v>974</v>
      </c>
      <c r="B32" s="3048">
        <v>-6</v>
      </c>
      <c r="C32" s="3058">
        <v>43</v>
      </c>
      <c r="D32" s="3059">
        <v>1380</v>
      </c>
      <c r="E32" s="3060">
        <v>512</v>
      </c>
      <c r="F32" s="3061">
        <v>186</v>
      </c>
      <c r="G32" s="3061">
        <v>18</v>
      </c>
      <c r="H32" s="3062">
        <v>18</v>
      </c>
      <c r="I32" s="3063">
        <v>806</v>
      </c>
      <c r="J32" s="3061">
        <v>20</v>
      </c>
      <c r="K32" s="3064">
        <v>1417</v>
      </c>
      <c r="L32" s="3062">
        <v>222</v>
      </c>
      <c r="M32" s="3083">
        <v>734</v>
      </c>
      <c r="N32" s="3066">
        <v>868</v>
      </c>
    </row>
    <row r="33" spans="1:14" ht="12" customHeight="1" x14ac:dyDescent="0.25">
      <c r="A33" s="3067" t="s">
        <v>975</v>
      </c>
      <c r="B33" s="3048">
        <v>2</v>
      </c>
      <c r="C33" s="3058">
        <v>61</v>
      </c>
      <c r="D33" s="3059">
        <v>1380</v>
      </c>
      <c r="E33" s="3060">
        <v>512</v>
      </c>
      <c r="F33" s="3061">
        <v>329</v>
      </c>
      <c r="G33" s="3061">
        <v>18</v>
      </c>
      <c r="H33" s="3062">
        <v>18</v>
      </c>
      <c r="I33" s="3063">
        <v>439</v>
      </c>
      <c r="J33" s="3061">
        <v>20</v>
      </c>
      <c r="K33" s="3084">
        <v>1443</v>
      </c>
      <c r="L33" s="3062">
        <v>365</v>
      </c>
      <c r="M33" s="3085">
        <v>877</v>
      </c>
      <c r="N33" s="3066">
        <v>501</v>
      </c>
    </row>
    <row r="34" spans="1:14" ht="12" customHeight="1" x14ac:dyDescent="0.25">
      <c r="A34" s="3068" t="s">
        <v>976</v>
      </c>
      <c r="B34" s="3048"/>
      <c r="C34" s="3058"/>
      <c r="D34" s="3059"/>
      <c r="E34" s="3060"/>
      <c r="F34" s="3061"/>
      <c r="G34" s="3061"/>
      <c r="H34" s="3062"/>
      <c r="I34" s="3063"/>
      <c r="J34" s="3061"/>
      <c r="K34" s="3064"/>
      <c r="L34" s="3062"/>
      <c r="M34" s="3065"/>
      <c r="N34" s="3066"/>
    </row>
    <row r="35" spans="1:14" ht="12" customHeight="1" x14ac:dyDescent="0.25">
      <c r="A35" s="3082" t="s">
        <v>966</v>
      </c>
      <c r="B35" s="3048">
        <v>-6</v>
      </c>
      <c r="C35" s="3058">
        <v>-15</v>
      </c>
      <c r="D35" s="3059">
        <v>-7</v>
      </c>
      <c r="E35" s="3060">
        <v>0</v>
      </c>
      <c r="F35" s="3061">
        <v>-46</v>
      </c>
      <c r="G35" s="3061">
        <v>0</v>
      </c>
      <c r="H35" s="3062">
        <v>0</v>
      </c>
      <c r="I35" s="3063">
        <v>48</v>
      </c>
      <c r="J35" s="3061">
        <v>0</v>
      </c>
      <c r="K35" s="3084">
        <v>-28</v>
      </c>
      <c r="L35" s="3062">
        <v>-46</v>
      </c>
      <c r="M35" s="3085">
        <v>-46</v>
      </c>
      <c r="N35" s="3066">
        <v>48</v>
      </c>
    </row>
    <row r="36" spans="1:14" ht="12" customHeight="1" x14ac:dyDescent="0.25">
      <c r="A36" s="3082" t="s">
        <v>967</v>
      </c>
      <c r="B36" s="3048">
        <v>-5</v>
      </c>
      <c r="C36" s="3058">
        <v>-6</v>
      </c>
      <c r="D36" s="3059">
        <v>-4</v>
      </c>
      <c r="E36" s="3060">
        <v>-6</v>
      </c>
      <c r="F36" s="3061">
        <v>-4</v>
      </c>
      <c r="G36" s="3061">
        <v>-5</v>
      </c>
      <c r="H36" s="3062">
        <v>-5</v>
      </c>
      <c r="I36" s="3063">
        <v>-5</v>
      </c>
      <c r="J36" s="3061">
        <v>-5</v>
      </c>
      <c r="K36" s="3084">
        <v>-15</v>
      </c>
      <c r="L36" s="3062">
        <v>-14</v>
      </c>
      <c r="M36" s="3085">
        <v>-20</v>
      </c>
      <c r="N36" s="3066">
        <v>-22</v>
      </c>
    </row>
    <row r="37" spans="1:14" ht="12" customHeight="1" x14ac:dyDescent="0.25">
      <c r="A37" s="3082" t="s">
        <v>970</v>
      </c>
      <c r="B37" s="3048">
        <v>0</v>
      </c>
      <c r="C37" s="3058">
        <v>0</v>
      </c>
      <c r="D37" s="3086">
        <v>0</v>
      </c>
      <c r="E37" s="3087">
        <v>-15</v>
      </c>
      <c r="F37" s="3088">
        <v>0</v>
      </c>
      <c r="G37" s="3088">
        <v>0</v>
      </c>
      <c r="H37" s="3089">
        <v>0</v>
      </c>
      <c r="I37" s="3090">
        <v>-96</v>
      </c>
      <c r="J37" s="3088">
        <v>0</v>
      </c>
      <c r="K37" s="3084">
        <v>0</v>
      </c>
      <c r="L37" s="3062">
        <v>0</v>
      </c>
      <c r="M37" s="3085">
        <v>-15</v>
      </c>
      <c r="N37" s="3066">
        <v>-96</v>
      </c>
    </row>
    <row r="38" spans="1:14" ht="12" customHeight="1" x14ac:dyDescent="0.25">
      <c r="A38" s="3082" t="s">
        <v>971</v>
      </c>
      <c r="B38" s="3048">
        <v>0</v>
      </c>
      <c r="C38" s="3058">
        <v>0</v>
      </c>
      <c r="D38" s="3086">
        <v>0</v>
      </c>
      <c r="E38" s="3087">
        <v>-61</v>
      </c>
      <c r="F38" s="3088">
        <v>0</v>
      </c>
      <c r="G38" s="3088">
        <v>0</v>
      </c>
      <c r="H38" s="3089">
        <v>0</v>
      </c>
      <c r="I38" s="3090">
        <v>-73</v>
      </c>
      <c r="J38" s="3088">
        <v>0</v>
      </c>
      <c r="K38" s="3084">
        <v>0</v>
      </c>
      <c r="L38" s="3062">
        <v>0</v>
      </c>
      <c r="M38" s="3085">
        <v>-61</v>
      </c>
      <c r="N38" s="3066">
        <v>-73</v>
      </c>
    </row>
    <row r="39" spans="1:14" ht="12" customHeight="1" x14ac:dyDescent="0.25">
      <c r="A39" s="3082" t="s">
        <v>973</v>
      </c>
      <c r="B39" s="3048">
        <v>0</v>
      </c>
      <c r="C39" s="3058">
        <v>0</v>
      </c>
      <c r="D39" s="3059">
        <v>0</v>
      </c>
      <c r="E39" s="3060">
        <v>0</v>
      </c>
      <c r="F39" s="3061">
        <v>0</v>
      </c>
      <c r="G39" s="3061">
        <v>0</v>
      </c>
      <c r="H39" s="3062">
        <v>0</v>
      </c>
      <c r="I39" s="3063">
        <v>-24</v>
      </c>
      <c r="J39" s="3061">
        <v>0</v>
      </c>
      <c r="K39" s="3084">
        <v>0</v>
      </c>
      <c r="L39" s="3062">
        <v>0</v>
      </c>
      <c r="M39" s="3065">
        <v>0</v>
      </c>
      <c r="N39" s="3066">
        <v>-24</v>
      </c>
    </row>
    <row r="40" spans="1:14" ht="12" customHeight="1" x14ac:dyDescent="0.25">
      <c r="A40" s="3082" t="s">
        <v>977</v>
      </c>
      <c r="B40" s="3048">
        <v>0</v>
      </c>
      <c r="C40" s="3058">
        <v>0</v>
      </c>
      <c r="D40" s="3059">
        <v>0</v>
      </c>
      <c r="E40" s="3060">
        <v>0</v>
      </c>
      <c r="F40" s="3061">
        <v>0</v>
      </c>
      <c r="G40" s="3061">
        <v>0</v>
      </c>
      <c r="H40" s="3062">
        <v>0</v>
      </c>
      <c r="I40" s="3063">
        <v>0</v>
      </c>
      <c r="J40" s="3061">
        <v>0</v>
      </c>
      <c r="K40" s="3084">
        <v>0</v>
      </c>
      <c r="L40" s="3062">
        <v>0</v>
      </c>
      <c r="M40" s="3065">
        <v>0</v>
      </c>
      <c r="N40" s="3066">
        <v>579</v>
      </c>
    </row>
    <row r="41" spans="1:14" ht="12" customHeight="1" x14ac:dyDescent="0.25">
      <c r="A41" s="3067" t="s">
        <v>978</v>
      </c>
      <c r="B41" s="3048">
        <v>-11</v>
      </c>
      <c r="C41" s="3091">
        <v>-21</v>
      </c>
      <c r="D41" s="3092">
        <v>-11</v>
      </c>
      <c r="E41" s="3060">
        <v>-82</v>
      </c>
      <c r="F41" s="3061">
        <v>-50</v>
      </c>
      <c r="G41" s="3061">
        <v>-5</v>
      </c>
      <c r="H41" s="3062">
        <v>-5</v>
      </c>
      <c r="I41" s="3063">
        <v>-150</v>
      </c>
      <c r="J41" s="3061">
        <v>-5</v>
      </c>
      <c r="K41" s="3064">
        <v>-43</v>
      </c>
      <c r="L41" s="3062">
        <v>-60</v>
      </c>
      <c r="M41" s="3065">
        <v>-142</v>
      </c>
      <c r="N41" s="3066">
        <v>412</v>
      </c>
    </row>
    <row r="42" spans="1:14" ht="12" customHeight="1" x14ac:dyDescent="0.25">
      <c r="A42" s="3067" t="s">
        <v>979</v>
      </c>
      <c r="B42" s="3048">
        <v>-9</v>
      </c>
      <c r="C42" s="3058">
        <v>40</v>
      </c>
      <c r="D42" s="3059">
        <v>1369</v>
      </c>
      <c r="E42" s="3060">
        <v>430</v>
      </c>
      <c r="F42" s="3061">
        <v>279</v>
      </c>
      <c r="G42" s="3061">
        <v>13</v>
      </c>
      <c r="H42" s="3062">
        <v>13</v>
      </c>
      <c r="I42" s="3063">
        <v>289</v>
      </c>
      <c r="J42" s="3061">
        <v>15</v>
      </c>
      <c r="K42" s="3064">
        <v>1400</v>
      </c>
      <c r="L42" s="3062">
        <v>305</v>
      </c>
      <c r="M42" s="3065">
        <v>735</v>
      </c>
      <c r="N42" s="3066">
        <v>913</v>
      </c>
    </row>
    <row r="43" spans="1:14" ht="12" customHeight="1" x14ac:dyDescent="0.25">
      <c r="A43" s="3068" t="s">
        <v>980</v>
      </c>
      <c r="B43" s="3048">
        <v>37</v>
      </c>
      <c r="C43" s="3058">
        <v>16</v>
      </c>
      <c r="D43" s="3059">
        <v>-191</v>
      </c>
      <c r="E43" s="3060">
        <v>0</v>
      </c>
      <c r="F43" s="3061">
        <v>-2</v>
      </c>
      <c r="G43" s="3061">
        <v>0</v>
      </c>
      <c r="H43" s="3062">
        <v>0</v>
      </c>
      <c r="I43" s="3063">
        <v>-3</v>
      </c>
      <c r="J43" s="3061">
        <v>0</v>
      </c>
      <c r="K43" s="3064">
        <v>-138</v>
      </c>
      <c r="L43" s="3062">
        <v>-2</v>
      </c>
      <c r="M43" s="3065">
        <v>-2</v>
      </c>
      <c r="N43" s="3066">
        <v>-3</v>
      </c>
    </row>
    <row r="44" spans="1:14" ht="24" customHeight="1" x14ac:dyDescent="0.25">
      <c r="A44" s="3067" t="s">
        <v>981</v>
      </c>
      <c r="B44" s="3070">
        <v>28</v>
      </c>
      <c r="C44" s="3058">
        <v>56</v>
      </c>
      <c r="D44" s="3059">
        <v>1178</v>
      </c>
      <c r="E44" s="3060">
        <v>430</v>
      </c>
      <c r="F44" s="3061">
        <v>277</v>
      </c>
      <c r="G44" s="3061">
        <v>13</v>
      </c>
      <c r="H44" s="3062">
        <v>13</v>
      </c>
      <c r="I44" s="3063">
        <v>286</v>
      </c>
      <c r="J44" s="3061">
        <v>15</v>
      </c>
      <c r="K44" s="3064">
        <v>1262</v>
      </c>
      <c r="L44" s="3062">
        <v>303</v>
      </c>
      <c r="M44" s="3065">
        <v>733</v>
      </c>
      <c r="N44" s="3066">
        <v>910</v>
      </c>
    </row>
    <row r="45" spans="1:14" ht="12" customHeight="1" x14ac:dyDescent="0.25">
      <c r="A45" s="3093"/>
      <c r="B45" s="3094"/>
      <c r="C45" s="3088"/>
      <c r="D45" s="3095"/>
      <c r="E45" s="3087"/>
      <c r="F45" s="3088"/>
      <c r="G45" s="3088"/>
      <c r="H45" s="3089"/>
      <c r="I45" s="3090"/>
      <c r="J45" s="3088"/>
      <c r="K45" s="3087"/>
      <c r="L45" s="3089"/>
      <c r="M45" s="3070"/>
      <c r="N45" s="3088"/>
    </row>
    <row r="46" spans="1:14" ht="15" customHeight="1" x14ac:dyDescent="0.25">
      <c r="A46" s="3079" t="s">
        <v>982</v>
      </c>
      <c r="B46" s="3070"/>
      <c r="C46" s="3075"/>
      <c r="D46" s="3096"/>
      <c r="E46" s="3097"/>
      <c r="F46" s="3098"/>
      <c r="G46" s="3098"/>
      <c r="H46" s="3099"/>
      <c r="I46" s="3100"/>
      <c r="J46" s="3098"/>
      <c r="K46" s="3074"/>
      <c r="L46" s="3099"/>
      <c r="M46" s="3094"/>
      <c r="N46" s="3101"/>
    </row>
    <row r="47" spans="1:14" ht="12" customHeight="1" x14ac:dyDescent="0.25">
      <c r="A47" s="3068" t="s">
        <v>983</v>
      </c>
      <c r="B47" s="3048">
        <v>5493</v>
      </c>
      <c r="C47" s="3088">
        <v>5270</v>
      </c>
      <c r="D47" s="3095">
        <v>5173</v>
      </c>
      <c r="E47" s="3087">
        <v>4923</v>
      </c>
      <c r="F47" s="3088">
        <v>4862</v>
      </c>
      <c r="G47" s="3088">
        <v>4694</v>
      </c>
      <c r="H47" s="3089">
        <v>4773</v>
      </c>
      <c r="I47" s="3090">
        <v>4666</v>
      </c>
      <c r="J47" s="3088">
        <v>4573</v>
      </c>
      <c r="K47" s="3087">
        <v>15936</v>
      </c>
      <c r="L47" s="3089">
        <v>14329</v>
      </c>
      <c r="M47" s="3102">
        <v>19252</v>
      </c>
      <c r="N47" s="3066">
        <v>18262</v>
      </c>
    </row>
    <row r="48" spans="1:14" ht="12" customHeight="1" x14ac:dyDescent="0.25">
      <c r="A48" s="3057" t="s">
        <v>984</v>
      </c>
      <c r="B48" s="3048">
        <v>4001</v>
      </c>
      <c r="C48" s="3058">
        <v>3828</v>
      </c>
      <c r="D48" s="3059">
        <v>4199</v>
      </c>
      <c r="E48" s="3060">
        <v>3603</v>
      </c>
      <c r="F48" s="3061">
        <v>3645</v>
      </c>
      <c r="G48" s="3061">
        <v>3653</v>
      </c>
      <c r="H48" s="3062">
        <v>3660</v>
      </c>
      <c r="I48" s="3063">
        <v>3239</v>
      </c>
      <c r="J48" s="3061">
        <v>3494</v>
      </c>
      <c r="K48" s="3064">
        <v>12028</v>
      </c>
      <c r="L48" s="3062">
        <v>10958</v>
      </c>
      <c r="M48" s="3065">
        <v>14561</v>
      </c>
      <c r="N48" s="3066">
        <v>13585</v>
      </c>
    </row>
    <row r="49" spans="1:14" ht="12" customHeight="1" x14ac:dyDescent="0.25">
      <c r="A49" s="3067" t="s">
        <v>985</v>
      </c>
      <c r="B49" s="3048">
        <v>9494</v>
      </c>
      <c r="C49" s="3058">
        <v>9098</v>
      </c>
      <c r="D49" s="3059">
        <v>9372</v>
      </c>
      <c r="E49" s="3060">
        <v>8526</v>
      </c>
      <c r="F49" s="3061">
        <v>8507</v>
      </c>
      <c r="G49" s="3061">
        <v>8347</v>
      </c>
      <c r="H49" s="3062">
        <v>8433</v>
      </c>
      <c r="I49" s="3063">
        <v>7905</v>
      </c>
      <c r="J49" s="3061">
        <v>8067</v>
      </c>
      <c r="K49" s="3064">
        <v>27964</v>
      </c>
      <c r="L49" s="3062">
        <v>25287</v>
      </c>
      <c r="M49" s="3065">
        <v>33813</v>
      </c>
      <c r="N49" s="3066">
        <v>31847</v>
      </c>
    </row>
    <row r="50" spans="1:14" ht="12" customHeight="1" x14ac:dyDescent="0.25">
      <c r="A50" s="3068" t="s">
        <v>986</v>
      </c>
      <c r="B50" s="3048">
        <v>1041</v>
      </c>
      <c r="C50" s="3058">
        <v>1398</v>
      </c>
      <c r="D50" s="3059">
        <v>1162</v>
      </c>
      <c r="E50" s="3060">
        <v>1030</v>
      </c>
      <c r="F50" s="3061">
        <v>1052</v>
      </c>
      <c r="G50" s="3061">
        <v>1007</v>
      </c>
      <c r="H50" s="3062">
        <v>962</v>
      </c>
      <c r="I50" s="3063">
        <v>1256</v>
      </c>
      <c r="J50" s="3061">
        <v>819</v>
      </c>
      <c r="K50" s="3064">
        <v>3601</v>
      </c>
      <c r="L50" s="3062">
        <v>3021</v>
      </c>
      <c r="M50" s="3065">
        <v>4051</v>
      </c>
      <c r="N50" s="3066">
        <v>3422</v>
      </c>
    </row>
    <row r="51" spans="1:14" ht="12" customHeight="1" x14ac:dyDescent="0.25">
      <c r="A51" s="3069" t="s">
        <v>987</v>
      </c>
      <c r="B51" s="3048">
        <v>5095</v>
      </c>
      <c r="C51" s="3058">
        <v>5067</v>
      </c>
      <c r="D51" s="3059">
        <v>5111</v>
      </c>
      <c r="E51" s="3060">
        <v>4784</v>
      </c>
      <c r="F51" s="3061">
        <v>4763</v>
      </c>
      <c r="G51" s="3061">
        <v>4693</v>
      </c>
      <c r="H51" s="3062">
        <v>4721</v>
      </c>
      <c r="I51" s="3063">
        <v>4721</v>
      </c>
      <c r="J51" s="3061">
        <v>4539</v>
      </c>
      <c r="K51" s="3064">
        <v>15273</v>
      </c>
      <c r="L51" s="3062">
        <v>14177</v>
      </c>
      <c r="M51" s="3065">
        <v>18961</v>
      </c>
      <c r="N51" s="3066">
        <v>18253</v>
      </c>
    </row>
    <row r="52" spans="1:14" ht="12" customHeight="1" x14ac:dyDescent="0.25">
      <c r="A52" s="3068" t="s">
        <v>988</v>
      </c>
      <c r="B52" s="3048">
        <v>3358</v>
      </c>
      <c r="C52" s="3058">
        <v>2633</v>
      </c>
      <c r="D52" s="3059">
        <v>3099</v>
      </c>
      <c r="E52" s="3060">
        <v>2712</v>
      </c>
      <c r="F52" s="3061">
        <v>2692</v>
      </c>
      <c r="G52" s="3061">
        <v>2647</v>
      </c>
      <c r="H52" s="3062">
        <v>2750</v>
      </c>
      <c r="I52" s="3063">
        <v>1928</v>
      </c>
      <c r="J52" s="3061">
        <v>2709</v>
      </c>
      <c r="K52" s="3064">
        <v>9090</v>
      </c>
      <c r="L52" s="3062">
        <v>8089</v>
      </c>
      <c r="M52" s="3065">
        <v>10801</v>
      </c>
      <c r="N52" s="3066">
        <v>10172</v>
      </c>
    </row>
    <row r="53" spans="1:14" ht="12" customHeight="1" x14ac:dyDescent="0.25">
      <c r="A53" s="3069" t="s">
        <v>989</v>
      </c>
      <c r="B53" s="3048">
        <v>840</v>
      </c>
      <c r="C53" s="3058">
        <v>561</v>
      </c>
      <c r="D53" s="3059">
        <v>737</v>
      </c>
      <c r="E53" s="3060">
        <v>593</v>
      </c>
      <c r="F53" s="3061">
        <v>501</v>
      </c>
      <c r="G53" s="3061">
        <v>542</v>
      </c>
      <c r="H53" s="3062">
        <v>538</v>
      </c>
      <c r="I53" s="3063">
        <v>285</v>
      </c>
      <c r="J53" s="3061">
        <v>502</v>
      </c>
      <c r="K53" s="3064">
        <v>2138</v>
      </c>
      <c r="L53" s="3062">
        <v>1581</v>
      </c>
      <c r="M53" s="3065">
        <v>2174</v>
      </c>
      <c r="N53" s="3066">
        <v>1809</v>
      </c>
    </row>
    <row r="54" spans="1:14" ht="12" customHeight="1" x14ac:dyDescent="0.25">
      <c r="A54" s="3067" t="s">
        <v>990</v>
      </c>
      <c r="B54" s="3048">
        <v>2518</v>
      </c>
      <c r="C54" s="3058">
        <v>2072</v>
      </c>
      <c r="D54" s="3059">
        <v>2362</v>
      </c>
      <c r="E54" s="3060">
        <v>2119</v>
      </c>
      <c r="F54" s="3061">
        <v>2191</v>
      </c>
      <c r="G54" s="3061">
        <v>2105</v>
      </c>
      <c r="H54" s="3062">
        <v>2212</v>
      </c>
      <c r="I54" s="3063">
        <v>1643</v>
      </c>
      <c r="J54" s="3061">
        <v>2207</v>
      </c>
      <c r="K54" s="3064">
        <v>6952</v>
      </c>
      <c r="L54" s="3062">
        <v>6508</v>
      </c>
      <c r="M54" s="3065">
        <v>8627</v>
      </c>
      <c r="N54" s="3066">
        <v>8363</v>
      </c>
    </row>
    <row r="55" spans="1:14" ht="12" customHeight="1" x14ac:dyDescent="0.25">
      <c r="A55" s="3068" t="s">
        <v>991</v>
      </c>
      <c r="B55" s="3048">
        <v>43</v>
      </c>
      <c r="C55" s="3058">
        <v>40</v>
      </c>
      <c r="D55" s="3059">
        <v>37</v>
      </c>
      <c r="E55" s="3060">
        <v>47</v>
      </c>
      <c r="F55" s="3061">
        <v>38</v>
      </c>
      <c r="G55" s="3061">
        <v>26</v>
      </c>
      <c r="H55" s="3062">
        <v>25</v>
      </c>
      <c r="I55" s="3063">
        <v>34</v>
      </c>
      <c r="J55" s="3061">
        <v>20</v>
      </c>
      <c r="K55" s="3064">
        <v>120</v>
      </c>
      <c r="L55" s="3062">
        <v>89</v>
      </c>
      <c r="M55" s="3065">
        <v>136</v>
      </c>
      <c r="N55" s="3066">
        <v>115</v>
      </c>
    </row>
    <row r="56" spans="1:14" ht="12" customHeight="1" x14ac:dyDescent="0.25">
      <c r="A56" s="3068" t="s">
        <v>992</v>
      </c>
      <c r="B56" s="3048">
        <v>2475</v>
      </c>
      <c r="C56" s="3058">
        <v>2032</v>
      </c>
      <c r="D56" s="3059">
        <v>2325</v>
      </c>
      <c r="E56" s="3060">
        <v>2072</v>
      </c>
      <c r="F56" s="3061">
        <v>2153</v>
      </c>
      <c r="G56" s="3061">
        <v>2079</v>
      </c>
      <c r="H56" s="3062">
        <v>2187</v>
      </c>
      <c r="I56" s="3063">
        <v>1609</v>
      </c>
      <c r="J56" s="3061">
        <v>2187</v>
      </c>
      <c r="K56" s="3064">
        <v>6832</v>
      </c>
      <c r="L56" s="3062">
        <v>6419</v>
      </c>
      <c r="M56" s="3065">
        <v>8491</v>
      </c>
      <c r="N56" s="3066">
        <v>8248</v>
      </c>
    </row>
    <row r="57" spans="1:14" ht="12" customHeight="1" x14ac:dyDescent="0.25">
      <c r="A57" s="3068" t="s">
        <v>993</v>
      </c>
      <c r="B57" s="3048">
        <v>134</v>
      </c>
      <c r="C57" s="3058">
        <v>135</v>
      </c>
      <c r="D57" s="3059">
        <v>122</v>
      </c>
      <c r="E57" s="3064">
        <v>121</v>
      </c>
      <c r="F57" s="3091">
        <v>120</v>
      </c>
      <c r="G57" s="3091">
        <v>123</v>
      </c>
      <c r="H57" s="3062">
        <v>108</v>
      </c>
      <c r="I57" s="3063">
        <v>109</v>
      </c>
      <c r="J57" s="3091">
        <v>105</v>
      </c>
      <c r="K57" s="3064">
        <v>391</v>
      </c>
      <c r="L57" s="3062">
        <v>351</v>
      </c>
      <c r="M57" s="3065">
        <v>472</v>
      </c>
      <c r="N57" s="3066">
        <v>419</v>
      </c>
    </row>
    <row r="58" spans="1:14" ht="12" customHeight="1" x14ac:dyDescent="0.25">
      <c r="A58" s="3068" t="s">
        <v>994</v>
      </c>
      <c r="B58" s="3048">
        <v>2341</v>
      </c>
      <c r="C58" s="3058">
        <v>1897</v>
      </c>
      <c r="D58" s="3059">
        <v>2203</v>
      </c>
      <c r="E58" s="3060">
        <v>1951</v>
      </c>
      <c r="F58" s="3061">
        <v>2033</v>
      </c>
      <c r="G58" s="3061">
        <v>1956</v>
      </c>
      <c r="H58" s="3062">
        <v>2079</v>
      </c>
      <c r="I58" s="3063">
        <v>1500</v>
      </c>
      <c r="J58" s="3061">
        <v>2082</v>
      </c>
      <c r="K58" s="3064">
        <v>6441</v>
      </c>
      <c r="L58" s="3062">
        <v>6068</v>
      </c>
      <c r="M58" s="3065">
        <v>8019</v>
      </c>
      <c r="N58" s="3066">
        <v>7829</v>
      </c>
    </row>
  </sheetData>
  <mergeCells count="7">
    <mergeCell ref="A2:N2"/>
    <mergeCell ref="A3:L3"/>
    <mergeCell ref="B4:D4"/>
    <mergeCell ref="E4:H4"/>
    <mergeCell ref="I4:J4"/>
    <mergeCell ref="K4:L4"/>
    <mergeCell ref="M4:N4"/>
  </mergeCells>
  <hyperlinks>
    <hyperlink ref="A1" location="ToC!A2" display="Back to Table of Contents" xr:uid="{A2AD9059-FF1A-4394-AC98-C6997BFC4F3D}"/>
  </hyperlinks>
  <pageMargins left="0.5" right="0.5" top="0.5" bottom="0.5" header="0.25" footer="0.25"/>
  <pageSetup scale="51" orientation="landscape" r:id="rId1"/>
  <headerFooter>
    <oddFooter>&amp;L&amp;G&amp;C&amp;"Scotia,Regular"&amp;9Supplementary Financial Information (SFI)&amp;R31&amp;"Scotia,Regular"&amp;7</oddFoot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8EB0-E700-49D6-9665-CB7A4DC4C998}">
  <sheetPr>
    <pageSetUpPr fitToPage="1"/>
  </sheetPr>
  <dimension ref="A1:N27"/>
  <sheetViews>
    <sheetView showGridLines="0" zoomScaleNormal="100" workbookViewId="0"/>
  </sheetViews>
  <sheetFormatPr defaultColWidth="8.77734375" defaultRowHeight="13.2" x14ac:dyDescent="0.25"/>
  <cols>
    <col min="1" max="1" width="85.77734375" style="22" customWidth="1"/>
    <col min="2" max="14" width="12.5546875" style="22" customWidth="1"/>
    <col min="15" max="16384" width="8.77734375" style="22"/>
  </cols>
  <sheetData>
    <row r="1" spans="1:14" ht="19.95" customHeight="1" x14ac:dyDescent="0.25">
      <c r="A1" s="21" t="s">
        <v>12</v>
      </c>
    </row>
    <row r="2" spans="1:14" ht="24.6" customHeight="1" x14ac:dyDescent="0.25">
      <c r="A2" s="3438" t="s">
        <v>938</v>
      </c>
      <c r="B2" s="3438" t="s">
        <v>14</v>
      </c>
      <c r="C2" s="3438" t="s">
        <v>14</v>
      </c>
      <c r="D2" s="3438" t="s">
        <v>14</v>
      </c>
      <c r="E2" s="3438" t="s">
        <v>14</v>
      </c>
      <c r="F2" s="3438" t="s">
        <v>14</v>
      </c>
      <c r="G2" s="3438" t="s">
        <v>14</v>
      </c>
      <c r="H2" s="3438" t="s">
        <v>14</v>
      </c>
      <c r="I2" s="3438" t="s">
        <v>14</v>
      </c>
      <c r="J2" s="3438" t="s">
        <v>14</v>
      </c>
      <c r="K2" s="3438" t="s">
        <v>14</v>
      </c>
      <c r="L2" s="3438" t="s">
        <v>14</v>
      </c>
      <c r="M2" s="3438" t="s">
        <v>14</v>
      </c>
      <c r="N2" s="3438" t="s">
        <v>14</v>
      </c>
    </row>
    <row r="3" spans="1:14" ht="12" customHeight="1" x14ac:dyDescent="0.25">
      <c r="A3" s="3672" t="s">
        <v>995</v>
      </c>
      <c r="B3" s="3672" t="s">
        <v>14</v>
      </c>
      <c r="C3" s="3672" t="s">
        <v>14</v>
      </c>
      <c r="D3" s="3672" t="s">
        <v>14</v>
      </c>
      <c r="E3" s="3672" t="s">
        <v>14</v>
      </c>
      <c r="F3" s="3672" t="s">
        <v>14</v>
      </c>
      <c r="G3" s="3672" t="s">
        <v>14</v>
      </c>
      <c r="H3" s="3672" t="s">
        <v>14</v>
      </c>
      <c r="I3" s="3672" t="s">
        <v>14</v>
      </c>
      <c r="J3" s="3672" t="s">
        <v>14</v>
      </c>
      <c r="K3" s="3672" t="s">
        <v>14</v>
      </c>
      <c r="L3" s="3672" t="s">
        <v>14</v>
      </c>
      <c r="M3" s="3026"/>
      <c r="N3" s="3026"/>
    </row>
    <row r="4" spans="1:14" ht="12" customHeight="1" x14ac:dyDescent="0.25">
      <c r="A4" s="3103"/>
      <c r="B4" s="3684" t="s">
        <v>940</v>
      </c>
      <c r="C4" s="3684" t="s">
        <v>14</v>
      </c>
      <c r="D4" s="3685" t="s">
        <v>14</v>
      </c>
      <c r="E4" s="3686">
        <v>2024</v>
      </c>
      <c r="F4" s="3687" t="s">
        <v>14</v>
      </c>
      <c r="G4" s="3687" t="s">
        <v>14</v>
      </c>
      <c r="H4" s="3677" t="s">
        <v>14</v>
      </c>
      <c r="I4" s="3688">
        <v>2023</v>
      </c>
      <c r="J4" s="3687" t="s">
        <v>14</v>
      </c>
      <c r="K4" s="3689" t="s">
        <v>941</v>
      </c>
      <c r="L4" s="3690" t="s">
        <v>14</v>
      </c>
      <c r="M4" s="3691" t="s">
        <v>942</v>
      </c>
      <c r="N4" s="3691" t="s">
        <v>14</v>
      </c>
    </row>
    <row r="5" spans="1:14" ht="12" customHeight="1" x14ac:dyDescent="0.25">
      <c r="A5" s="3103" t="s">
        <v>943</v>
      </c>
      <c r="B5" s="3104" t="s">
        <v>944</v>
      </c>
      <c r="C5" s="3105" t="s">
        <v>945</v>
      </c>
      <c r="D5" s="3030" t="s">
        <v>946</v>
      </c>
      <c r="E5" s="3031" t="s">
        <v>947</v>
      </c>
      <c r="F5" s="3032" t="s">
        <v>948</v>
      </c>
      <c r="G5" s="3032" t="s">
        <v>945</v>
      </c>
      <c r="H5" s="3106" t="s">
        <v>946</v>
      </c>
      <c r="I5" s="3031" t="s">
        <v>947</v>
      </c>
      <c r="J5" s="3032" t="s">
        <v>948</v>
      </c>
      <c r="K5" s="3034" t="s">
        <v>949</v>
      </c>
      <c r="L5" s="3107" t="s">
        <v>950</v>
      </c>
      <c r="M5" s="3108">
        <v>2024</v>
      </c>
      <c r="N5" s="3109">
        <v>2023</v>
      </c>
    </row>
    <row r="6" spans="1:14" ht="15" customHeight="1" x14ac:dyDescent="0.25">
      <c r="A6" s="3110" t="s">
        <v>951</v>
      </c>
      <c r="B6" s="3111"/>
      <c r="C6" s="3112"/>
      <c r="D6" s="3113"/>
      <c r="E6" s="3114"/>
      <c r="F6" s="3043"/>
      <c r="G6" s="3043"/>
      <c r="H6" s="3115"/>
      <c r="I6" s="3114"/>
      <c r="J6" s="3043"/>
      <c r="K6" s="3116"/>
      <c r="L6" s="3115"/>
      <c r="M6" s="3117"/>
      <c r="N6" s="3118"/>
    </row>
    <row r="7" spans="1:14" ht="15" customHeight="1" x14ac:dyDescent="0.25">
      <c r="A7" s="3047" t="s">
        <v>963</v>
      </c>
      <c r="B7" s="3119">
        <v>2313</v>
      </c>
      <c r="C7" s="3120">
        <v>1841</v>
      </c>
      <c r="D7" s="3121">
        <v>1025</v>
      </c>
      <c r="E7" s="3122">
        <v>1521</v>
      </c>
      <c r="F7" s="3123">
        <v>1756</v>
      </c>
      <c r="G7" s="3123">
        <v>1943</v>
      </c>
      <c r="H7" s="3124">
        <v>2066</v>
      </c>
      <c r="I7" s="3122">
        <v>1214</v>
      </c>
      <c r="J7" s="3123">
        <v>2067</v>
      </c>
      <c r="K7" s="3125">
        <v>5179</v>
      </c>
      <c r="L7" s="3126">
        <v>5765</v>
      </c>
      <c r="M7" s="3120">
        <v>7286</v>
      </c>
      <c r="N7" s="3127">
        <v>6919</v>
      </c>
    </row>
    <row r="8" spans="1:14" ht="15" customHeight="1" x14ac:dyDescent="0.25">
      <c r="A8" s="3128" t="s">
        <v>996</v>
      </c>
      <c r="B8" s="3119">
        <v>-22</v>
      </c>
      <c r="C8" s="3129">
        <v>0</v>
      </c>
      <c r="D8" s="3130">
        <v>0</v>
      </c>
      <c r="E8" s="3131">
        <v>0</v>
      </c>
      <c r="F8" s="3132">
        <v>0</v>
      </c>
      <c r="G8" s="3132">
        <v>0</v>
      </c>
      <c r="H8" s="3126">
        <v>0</v>
      </c>
      <c r="I8" s="3063">
        <v>0</v>
      </c>
      <c r="J8" s="3132">
        <v>0</v>
      </c>
      <c r="K8" s="3133">
        <v>-22</v>
      </c>
      <c r="L8" s="3126">
        <v>0</v>
      </c>
      <c r="M8" s="3134">
        <v>0</v>
      </c>
      <c r="N8" s="3134">
        <v>0</v>
      </c>
    </row>
    <row r="9" spans="1:14" ht="12" customHeight="1" x14ac:dyDescent="0.25">
      <c r="A9" s="3135" t="s">
        <v>997</v>
      </c>
      <c r="B9" s="3119">
        <v>2291</v>
      </c>
      <c r="C9" s="3129">
        <v>1841</v>
      </c>
      <c r="D9" s="3130">
        <v>1025</v>
      </c>
      <c r="E9" s="3131">
        <v>1521</v>
      </c>
      <c r="F9" s="3132">
        <v>1756</v>
      </c>
      <c r="G9" s="3132">
        <v>1943</v>
      </c>
      <c r="H9" s="3126">
        <v>2066</v>
      </c>
      <c r="I9" s="3063">
        <v>1214</v>
      </c>
      <c r="J9" s="3132">
        <v>2067</v>
      </c>
      <c r="K9" s="3133">
        <v>5157</v>
      </c>
      <c r="L9" s="3126">
        <v>5765</v>
      </c>
      <c r="M9" s="3134">
        <v>7286</v>
      </c>
      <c r="N9" s="3134">
        <v>6919</v>
      </c>
    </row>
    <row r="10" spans="1:14" ht="12" customHeight="1" x14ac:dyDescent="0.25">
      <c r="A10" s="3128" t="s">
        <v>998</v>
      </c>
      <c r="B10" s="3119">
        <v>0</v>
      </c>
      <c r="C10" s="3129">
        <v>0</v>
      </c>
      <c r="D10" s="3130">
        <v>-196</v>
      </c>
      <c r="E10" s="3131">
        <v>-3</v>
      </c>
      <c r="F10" s="3132">
        <v>-15</v>
      </c>
      <c r="G10" s="3132">
        <v>-15</v>
      </c>
      <c r="H10" s="3126">
        <v>-15</v>
      </c>
      <c r="I10" s="3063">
        <v>-11</v>
      </c>
      <c r="J10" s="3132">
        <v>2</v>
      </c>
      <c r="K10" s="3133">
        <v>-136</v>
      </c>
      <c r="L10" s="3126">
        <v>-46</v>
      </c>
      <c r="M10" s="3134">
        <v>-49</v>
      </c>
      <c r="N10" s="3134">
        <v>-36</v>
      </c>
    </row>
    <row r="11" spans="1:14" ht="12" customHeight="1" x14ac:dyDescent="0.25">
      <c r="A11" s="3136" t="s">
        <v>999</v>
      </c>
      <c r="B11" s="3119">
        <v>2291</v>
      </c>
      <c r="C11" s="3129">
        <v>1841</v>
      </c>
      <c r="D11" s="3130">
        <v>829</v>
      </c>
      <c r="E11" s="3131">
        <v>1518</v>
      </c>
      <c r="F11" s="3132">
        <v>1741</v>
      </c>
      <c r="G11" s="3132">
        <v>1928</v>
      </c>
      <c r="H11" s="3126">
        <v>2051</v>
      </c>
      <c r="I11" s="3063">
        <v>1203</v>
      </c>
      <c r="J11" s="3132">
        <v>2069</v>
      </c>
      <c r="K11" s="3133">
        <v>5021</v>
      </c>
      <c r="L11" s="3126">
        <v>5719</v>
      </c>
      <c r="M11" s="3134">
        <v>7237</v>
      </c>
      <c r="N11" s="3134">
        <v>6883</v>
      </c>
    </row>
    <row r="12" spans="1:14" ht="12" customHeight="1" x14ac:dyDescent="0.25">
      <c r="A12" s="3137" t="s">
        <v>1000</v>
      </c>
      <c r="B12" s="3119">
        <v>1245</v>
      </c>
      <c r="C12" s="3129">
        <v>1246</v>
      </c>
      <c r="D12" s="3130">
        <v>1250</v>
      </c>
      <c r="E12" s="3131">
        <v>1243</v>
      </c>
      <c r="F12" s="3132">
        <v>1235</v>
      </c>
      <c r="G12" s="3132">
        <v>1228</v>
      </c>
      <c r="H12" s="3126">
        <v>1221</v>
      </c>
      <c r="I12" s="3063">
        <v>1211</v>
      </c>
      <c r="J12" s="3132">
        <v>1214</v>
      </c>
      <c r="K12" s="3133">
        <v>1250</v>
      </c>
      <c r="L12" s="3126">
        <v>1228</v>
      </c>
      <c r="M12" s="3134">
        <v>1232</v>
      </c>
      <c r="N12" s="3134">
        <v>1204</v>
      </c>
    </row>
    <row r="13" spans="1:14" ht="12" customHeight="1" x14ac:dyDescent="0.25">
      <c r="A13" s="3136" t="s">
        <v>1001</v>
      </c>
      <c r="B13" s="3138">
        <v>1.84</v>
      </c>
      <c r="C13" s="3139">
        <v>1.48</v>
      </c>
      <c r="D13" s="3140">
        <v>0.66</v>
      </c>
      <c r="E13" s="3141">
        <v>1.22</v>
      </c>
      <c r="F13" s="3142">
        <v>1.41</v>
      </c>
      <c r="G13" s="3142">
        <v>1.57</v>
      </c>
      <c r="H13" s="3143">
        <v>1.68</v>
      </c>
      <c r="I13" s="3144">
        <v>0.99</v>
      </c>
      <c r="J13" s="3142">
        <v>1.7</v>
      </c>
      <c r="K13" s="3145">
        <v>4.0199999999999996</v>
      </c>
      <c r="L13" s="3143">
        <v>4.66</v>
      </c>
      <c r="M13" s="3146">
        <v>5.87</v>
      </c>
      <c r="N13" s="3146">
        <v>5.72</v>
      </c>
    </row>
    <row r="14" spans="1:14" ht="12" customHeight="1" x14ac:dyDescent="0.25">
      <c r="A14" s="3147"/>
      <c r="B14" s="3148"/>
      <c r="C14" s="3149"/>
      <c r="D14" s="3150"/>
      <c r="E14" s="3151"/>
      <c r="F14" s="3152"/>
      <c r="G14" s="3152"/>
      <c r="H14" s="3153"/>
      <c r="I14" s="3077"/>
      <c r="J14" s="3152"/>
      <c r="K14" s="3154"/>
      <c r="L14" s="3153"/>
      <c r="M14" s="3148"/>
      <c r="N14" s="3152"/>
    </row>
    <row r="15" spans="1:14" ht="15" customHeight="1" x14ac:dyDescent="0.25">
      <c r="A15" s="3155" t="s">
        <v>982</v>
      </c>
      <c r="B15" s="3156"/>
      <c r="C15" s="3152"/>
      <c r="D15" s="3157"/>
      <c r="E15" s="3158"/>
      <c r="F15" s="3159"/>
      <c r="G15" s="3159"/>
      <c r="H15" s="3160"/>
      <c r="I15" s="3100"/>
      <c r="J15" s="3159"/>
      <c r="K15" s="3151"/>
      <c r="L15" s="3160"/>
      <c r="M15" s="3161"/>
      <c r="N15" s="3162"/>
    </row>
    <row r="16" spans="1:14" ht="12" customHeight="1" x14ac:dyDescent="0.25">
      <c r="A16" s="3137" t="s">
        <v>997</v>
      </c>
      <c r="B16" s="3119">
        <v>2291</v>
      </c>
      <c r="C16" s="3163">
        <v>1841</v>
      </c>
      <c r="D16" s="3164">
        <v>1025</v>
      </c>
      <c r="E16" s="3165">
        <v>1521</v>
      </c>
      <c r="F16" s="3163">
        <v>1756</v>
      </c>
      <c r="G16" s="3163">
        <v>1943</v>
      </c>
      <c r="H16" s="3166">
        <v>2066</v>
      </c>
      <c r="I16" s="3090">
        <v>1214</v>
      </c>
      <c r="J16" s="3163">
        <v>2067</v>
      </c>
      <c r="K16" s="3165">
        <v>5157</v>
      </c>
      <c r="L16" s="3166">
        <v>5765</v>
      </c>
      <c r="M16" s="3167">
        <v>7286</v>
      </c>
      <c r="N16" s="3134">
        <v>6919</v>
      </c>
    </row>
    <row r="17" spans="1:14" ht="12" customHeight="1" x14ac:dyDescent="0.25">
      <c r="A17" s="3168" t="s">
        <v>1002</v>
      </c>
      <c r="B17" s="3119">
        <v>28</v>
      </c>
      <c r="C17" s="3129">
        <v>56</v>
      </c>
      <c r="D17" s="3130">
        <v>1178</v>
      </c>
      <c r="E17" s="3131">
        <v>430</v>
      </c>
      <c r="F17" s="3132">
        <v>277</v>
      </c>
      <c r="G17" s="3132">
        <v>13</v>
      </c>
      <c r="H17" s="3126">
        <v>13</v>
      </c>
      <c r="I17" s="3063">
        <v>286</v>
      </c>
      <c r="J17" s="3132">
        <v>15</v>
      </c>
      <c r="K17" s="3133">
        <v>1262</v>
      </c>
      <c r="L17" s="3126">
        <v>303</v>
      </c>
      <c r="M17" s="3134">
        <v>733</v>
      </c>
      <c r="N17" s="3134">
        <v>910</v>
      </c>
    </row>
    <row r="18" spans="1:14" ht="12" customHeight="1" x14ac:dyDescent="0.25">
      <c r="A18" s="3169" t="s">
        <v>1003</v>
      </c>
      <c r="B18" s="3119">
        <v>22</v>
      </c>
      <c r="C18" s="3129">
        <v>0</v>
      </c>
      <c r="D18" s="3130">
        <v>0</v>
      </c>
      <c r="E18" s="3131">
        <v>0</v>
      </c>
      <c r="F18" s="3132">
        <v>0</v>
      </c>
      <c r="G18" s="3132">
        <v>0</v>
      </c>
      <c r="H18" s="3126">
        <v>0</v>
      </c>
      <c r="I18" s="3063">
        <v>0</v>
      </c>
      <c r="J18" s="3132">
        <v>0</v>
      </c>
      <c r="K18" s="3133">
        <v>22</v>
      </c>
      <c r="L18" s="3126">
        <v>0</v>
      </c>
      <c r="M18" s="3134">
        <v>0</v>
      </c>
      <c r="N18" s="3134">
        <v>0</v>
      </c>
    </row>
    <row r="19" spans="1:14" ht="12" customHeight="1" x14ac:dyDescent="0.25">
      <c r="A19" s="3137" t="s">
        <v>1004</v>
      </c>
      <c r="B19" s="3119">
        <v>2341</v>
      </c>
      <c r="C19" s="3129">
        <v>1897</v>
      </c>
      <c r="D19" s="3130">
        <v>2203</v>
      </c>
      <c r="E19" s="3131">
        <v>1951</v>
      </c>
      <c r="F19" s="3132">
        <v>2033</v>
      </c>
      <c r="G19" s="3132">
        <v>1956</v>
      </c>
      <c r="H19" s="3126">
        <v>2079</v>
      </c>
      <c r="I19" s="3063">
        <v>1500</v>
      </c>
      <c r="J19" s="3132">
        <v>2082</v>
      </c>
      <c r="K19" s="3133">
        <v>6441</v>
      </c>
      <c r="L19" s="3126">
        <v>6068</v>
      </c>
      <c r="M19" s="3134">
        <v>8019</v>
      </c>
      <c r="N19" s="3134">
        <v>7829</v>
      </c>
    </row>
    <row r="20" spans="1:14" ht="12" customHeight="1" x14ac:dyDescent="0.25">
      <c r="A20" s="3147" t="s">
        <v>998</v>
      </c>
      <c r="B20" s="3119">
        <v>8</v>
      </c>
      <c r="C20" s="3129">
        <v>1</v>
      </c>
      <c r="D20" s="3130">
        <v>-7</v>
      </c>
      <c r="E20" s="3131">
        <v>-3</v>
      </c>
      <c r="F20" s="3132">
        <v>-16</v>
      </c>
      <c r="G20" s="3132">
        <v>-15</v>
      </c>
      <c r="H20" s="3126">
        <v>-15</v>
      </c>
      <c r="I20" s="3063">
        <v>-10</v>
      </c>
      <c r="J20" s="3132">
        <v>2</v>
      </c>
      <c r="K20" s="3133">
        <v>3</v>
      </c>
      <c r="L20" s="3126">
        <v>-46</v>
      </c>
      <c r="M20" s="3134">
        <v>-49</v>
      </c>
      <c r="N20" s="3134">
        <v>-34</v>
      </c>
    </row>
    <row r="21" spans="1:14" ht="12" customHeight="1" x14ac:dyDescent="0.25">
      <c r="A21" s="3136" t="s">
        <v>1005</v>
      </c>
      <c r="B21" s="3119">
        <v>2349</v>
      </c>
      <c r="C21" s="3129">
        <v>1898</v>
      </c>
      <c r="D21" s="3130">
        <v>2196</v>
      </c>
      <c r="E21" s="3131">
        <v>1948</v>
      </c>
      <c r="F21" s="3132">
        <v>2017</v>
      </c>
      <c r="G21" s="3132">
        <v>1941</v>
      </c>
      <c r="H21" s="3126">
        <v>2064</v>
      </c>
      <c r="I21" s="3063">
        <v>1490</v>
      </c>
      <c r="J21" s="3132">
        <v>2084</v>
      </c>
      <c r="K21" s="3133">
        <v>6444</v>
      </c>
      <c r="L21" s="3126">
        <v>6022</v>
      </c>
      <c r="M21" s="3134">
        <v>7970</v>
      </c>
      <c r="N21" s="3134">
        <v>7795</v>
      </c>
    </row>
    <row r="22" spans="1:14" ht="12" customHeight="1" x14ac:dyDescent="0.25">
      <c r="A22" s="3147" t="s">
        <v>1006</v>
      </c>
      <c r="B22" s="3119">
        <v>1249</v>
      </c>
      <c r="C22" s="3129">
        <v>1250</v>
      </c>
      <c r="D22" s="3130">
        <v>1250</v>
      </c>
      <c r="E22" s="3131">
        <v>1243</v>
      </c>
      <c r="F22" s="3132">
        <v>1235</v>
      </c>
      <c r="G22" s="3132">
        <v>1228</v>
      </c>
      <c r="H22" s="3126">
        <v>1221</v>
      </c>
      <c r="I22" s="3063">
        <v>1211</v>
      </c>
      <c r="J22" s="3132">
        <v>1214</v>
      </c>
      <c r="K22" s="3133">
        <v>1250</v>
      </c>
      <c r="L22" s="3126">
        <v>1228</v>
      </c>
      <c r="M22" s="3134">
        <v>1232</v>
      </c>
      <c r="N22" s="3134">
        <v>1204</v>
      </c>
    </row>
    <row r="23" spans="1:14" ht="12" customHeight="1" x14ac:dyDescent="0.25">
      <c r="A23" s="3137" t="s">
        <v>1007</v>
      </c>
      <c r="B23" s="3138">
        <v>1.88</v>
      </c>
      <c r="C23" s="3139">
        <v>1.52</v>
      </c>
      <c r="D23" s="3140">
        <v>1.76</v>
      </c>
      <c r="E23" s="3141">
        <v>1.57</v>
      </c>
      <c r="F23" s="3142">
        <v>1.63</v>
      </c>
      <c r="G23" s="3142">
        <v>1.58</v>
      </c>
      <c r="H23" s="3143">
        <v>1.69</v>
      </c>
      <c r="I23" s="3144">
        <v>1.23</v>
      </c>
      <c r="J23" s="3142">
        <v>1.72</v>
      </c>
      <c r="K23" s="3145">
        <v>5.16</v>
      </c>
      <c r="L23" s="3143">
        <v>4.9000000000000004</v>
      </c>
      <c r="M23" s="3146">
        <v>6.47</v>
      </c>
      <c r="N23" s="3146">
        <v>6.48</v>
      </c>
    </row>
    <row r="24" spans="1:14" ht="12" customHeight="1" x14ac:dyDescent="0.25">
      <c r="A24" s="3170" t="s">
        <v>1008</v>
      </c>
      <c r="B24" s="3171">
        <v>3.9999999999999813E-2</v>
      </c>
      <c r="C24" s="3172">
        <v>0.04</v>
      </c>
      <c r="D24" s="3173">
        <v>1.1000000000000001</v>
      </c>
      <c r="E24" s="3174">
        <v>0.35</v>
      </c>
      <c r="F24" s="3172">
        <v>0.22</v>
      </c>
      <c r="G24" s="3172">
        <v>0.01</v>
      </c>
      <c r="H24" s="3173">
        <v>0.01</v>
      </c>
      <c r="I24" s="3174">
        <v>0.24</v>
      </c>
      <c r="J24" s="3172">
        <v>0.02</v>
      </c>
      <c r="K24" s="3174">
        <v>1.1400000000000006</v>
      </c>
      <c r="L24" s="3173">
        <v>0.24000000000000021</v>
      </c>
      <c r="M24" s="3175">
        <v>0.59999999999999964</v>
      </c>
      <c r="N24" s="3176">
        <v>0.76000000000000068</v>
      </c>
    </row>
    <row r="25" spans="1:14" ht="12" customHeight="1" x14ac:dyDescent="0.25">
      <c r="A25" s="3177"/>
      <c r="B25" s="3178"/>
      <c r="C25" s="3179"/>
      <c r="D25" s="3179"/>
      <c r="E25" s="3179"/>
      <c r="F25" s="3179"/>
      <c r="G25" s="3179"/>
      <c r="H25" s="3179"/>
      <c r="I25" s="3179"/>
      <c r="J25" s="3179"/>
      <c r="K25" s="3179"/>
      <c r="L25" s="3179"/>
      <c r="M25" s="3180"/>
      <c r="N25" s="3181"/>
    </row>
    <row r="26" spans="1:14" ht="10.050000000000001" customHeight="1" x14ac:dyDescent="0.25">
      <c r="A26" s="3682" t="s">
        <v>1009</v>
      </c>
      <c r="B26" s="3682" t="s">
        <v>14</v>
      </c>
      <c r="C26" s="3682" t="s">
        <v>14</v>
      </c>
      <c r="D26" s="3683" t="s">
        <v>14</v>
      </c>
      <c r="E26" s="3683" t="s">
        <v>14</v>
      </c>
      <c r="F26" s="3683" t="s">
        <v>14</v>
      </c>
      <c r="G26" s="3683" t="s">
        <v>14</v>
      </c>
      <c r="H26" s="3683" t="s">
        <v>14</v>
      </c>
      <c r="I26" s="3683" t="s">
        <v>14</v>
      </c>
      <c r="J26" s="3683" t="s">
        <v>14</v>
      </c>
      <c r="K26" s="3683" t="s">
        <v>14</v>
      </c>
      <c r="L26" s="3683" t="s">
        <v>14</v>
      </c>
      <c r="M26" s="3182"/>
      <c r="N26" s="3182"/>
    </row>
    <row r="27" spans="1:14" ht="10.050000000000001" customHeight="1" x14ac:dyDescent="0.25">
      <c r="A27" s="3682"/>
      <c r="B27" s="3682" t="s">
        <v>14</v>
      </c>
      <c r="C27" s="3682" t="s">
        <v>14</v>
      </c>
      <c r="D27" s="3683" t="s">
        <v>14</v>
      </c>
      <c r="E27" s="3683" t="s">
        <v>14</v>
      </c>
      <c r="F27" s="3683" t="s">
        <v>14</v>
      </c>
      <c r="G27" s="3683" t="s">
        <v>14</v>
      </c>
      <c r="H27" s="3683" t="s">
        <v>14</v>
      </c>
      <c r="I27" s="3683" t="s">
        <v>14</v>
      </c>
      <c r="J27" s="3683" t="s">
        <v>14</v>
      </c>
      <c r="K27" s="3683" t="s">
        <v>14</v>
      </c>
      <c r="L27" s="3683" t="s">
        <v>14</v>
      </c>
      <c r="M27" s="3182"/>
      <c r="N27" s="3182"/>
    </row>
  </sheetData>
  <mergeCells count="9">
    <mergeCell ref="A26:L26"/>
    <mergeCell ref="A27:L27"/>
    <mergeCell ref="A2:N2"/>
    <mergeCell ref="A3:L3"/>
    <mergeCell ref="B4:D4"/>
    <mergeCell ref="E4:H4"/>
    <mergeCell ref="I4:J4"/>
    <mergeCell ref="K4:L4"/>
    <mergeCell ref="M4:N4"/>
  </mergeCells>
  <hyperlinks>
    <hyperlink ref="A1" location="ToC!A2" display="Back to Table of Contents" xr:uid="{ED702681-C423-4A40-A752-24181BE87DBC}"/>
  </hyperlinks>
  <pageMargins left="0.5" right="0.5" top="0.5" bottom="0.5" header="0.25" footer="0.25"/>
  <pageSetup scale="51" orientation="landscape" r:id="rId1"/>
  <headerFooter>
    <oddFooter>&amp;L&amp;G&amp;C&amp;"Scotia,Regular"&amp;9Supplementary Financial Information (SFI)&amp;R32&amp;"Scotia,Regular"&amp;7</oddFooter>
  </headerFooter>
  <ignoredErrors>
    <ignoredError sqref="B4 K5:L5" numberStoredAsText="1"/>
  </ignoredErrors>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A7E4-9EE6-4376-BD8F-B242286CC5FD}">
  <sheetPr>
    <pageSetUpPr fitToPage="1"/>
  </sheetPr>
  <dimension ref="A1:N55"/>
  <sheetViews>
    <sheetView showGridLines="0" zoomScaleNormal="100" workbookViewId="0"/>
  </sheetViews>
  <sheetFormatPr defaultColWidth="8.77734375" defaultRowHeight="13.2" x14ac:dyDescent="0.25"/>
  <cols>
    <col min="1" max="1" width="81.44140625" style="22" customWidth="1"/>
    <col min="2" max="14" width="20.77734375" style="22" customWidth="1"/>
    <col min="15" max="16384" width="8.77734375" style="22"/>
  </cols>
  <sheetData>
    <row r="1" spans="1:14" ht="19.95" customHeight="1" x14ac:dyDescent="0.25">
      <c r="A1" s="21" t="s">
        <v>12</v>
      </c>
    </row>
    <row r="2" spans="1:14" ht="25.05" customHeight="1" x14ac:dyDescent="0.25">
      <c r="A2" s="3438" t="s">
        <v>938</v>
      </c>
      <c r="B2" s="3438" t="s">
        <v>14</v>
      </c>
      <c r="C2" s="3438" t="s">
        <v>14</v>
      </c>
      <c r="D2" s="3438" t="s">
        <v>14</v>
      </c>
      <c r="E2" s="3438" t="s">
        <v>14</v>
      </c>
      <c r="F2" s="3438" t="s">
        <v>14</v>
      </c>
      <c r="G2" s="3438" t="s">
        <v>14</v>
      </c>
      <c r="H2" s="3438" t="s">
        <v>14</v>
      </c>
      <c r="I2" s="3438" t="s">
        <v>14</v>
      </c>
      <c r="J2" s="3438" t="s">
        <v>14</v>
      </c>
      <c r="K2" s="3438" t="s">
        <v>14</v>
      </c>
      <c r="L2" s="3438" t="s">
        <v>14</v>
      </c>
      <c r="M2" s="3438" t="s">
        <v>14</v>
      </c>
      <c r="N2" s="3438" t="s">
        <v>14</v>
      </c>
    </row>
    <row r="3" spans="1:14" ht="20.25" customHeight="1" x14ac:dyDescent="0.25">
      <c r="A3" s="3693" t="s">
        <v>1010</v>
      </c>
      <c r="B3" s="3693" t="s">
        <v>14</v>
      </c>
      <c r="C3" s="3693" t="s">
        <v>14</v>
      </c>
      <c r="D3" s="3693" t="s">
        <v>14</v>
      </c>
      <c r="E3" s="3693" t="s">
        <v>14</v>
      </c>
      <c r="F3" s="3693" t="s">
        <v>14</v>
      </c>
      <c r="G3" s="3693" t="s">
        <v>14</v>
      </c>
      <c r="H3" s="3693" t="s">
        <v>14</v>
      </c>
      <c r="I3" s="3693" t="s">
        <v>14</v>
      </c>
      <c r="J3" s="3693" t="s">
        <v>14</v>
      </c>
      <c r="K3" s="3693" t="s">
        <v>14</v>
      </c>
      <c r="L3" s="3693" t="s">
        <v>14</v>
      </c>
      <c r="M3" s="3693" t="s">
        <v>14</v>
      </c>
      <c r="N3" s="3693" t="s">
        <v>14</v>
      </c>
    </row>
    <row r="4" spans="1:14" ht="15" customHeight="1" x14ac:dyDescent="0.25">
      <c r="A4" s="3183"/>
      <c r="B4" s="3694" t="s">
        <v>172</v>
      </c>
      <c r="C4" s="3694" t="s">
        <v>14</v>
      </c>
      <c r="D4" s="3695" t="s">
        <v>14</v>
      </c>
      <c r="E4" s="3696">
        <v>2024</v>
      </c>
      <c r="F4" s="3697" t="s">
        <v>14</v>
      </c>
      <c r="G4" s="3697" t="s">
        <v>14</v>
      </c>
      <c r="H4" s="3698" t="s">
        <v>14</v>
      </c>
      <c r="I4" s="3696">
        <v>2023</v>
      </c>
      <c r="J4" s="3697" t="s">
        <v>14</v>
      </c>
      <c r="K4" s="3699" t="s">
        <v>173</v>
      </c>
      <c r="L4" s="3700" t="s">
        <v>14</v>
      </c>
      <c r="M4" s="3697" t="s">
        <v>174</v>
      </c>
      <c r="N4" s="3697" t="s">
        <v>14</v>
      </c>
    </row>
    <row r="5" spans="1:14" ht="18" customHeight="1" x14ac:dyDescent="0.25">
      <c r="A5" s="3184" t="s">
        <v>558</v>
      </c>
      <c r="B5" s="3185" t="s">
        <v>176</v>
      </c>
      <c r="C5" s="3186" t="s">
        <v>177</v>
      </c>
      <c r="D5" s="3187" t="s">
        <v>178</v>
      </c>
      <c r="E5" s="3188" t="s">
        <v>179</v>
      </c>
      <c r="F5" s="3186" t="s">
        <v>180</v>
      </c>
      <c r="G5" s="3186" t="s">
        <v>177</v>
      </c>
      <c r="H5" s="3187" t="s">
        <v>178</v>
      </c>
      <c r="I5" s="3188" t="s">
        <v>179</v>
      </c>
      <c r="J5" s="3186" t="s">
        <v>180</v>
      </c>
      <c r="K5" s="3188">
        <v>2025</v>
      </c>
      <c r="L5" s="3187">
        <v>2024</v>
      </c>
      <c r="M5" s="3186">
        <v>2024</v>
      </c>
      <c r="N5" s="3186">
        <v>2023</v>
      </c>
    </row>
    <row r="6" spans="1:14" ht="18" customHeight="1" x14ac:dyDescent="0.25">
      <c r="A6" s="3189" t="s">
        <v>1011</v>
      </c>
      <c r="B6" s="3190"/>
      <c r="C6" s="3191"/>
      <c r="D6" s="3192"/>
      <c r="E6" s="3193"/>
      <c r="F6" s="3191"/>
      <c r="G6" s="3191"/>
      <c r="H6" s="3192"/>
      <c r="I6" s="3193"/>
      <c r="J6" s="3191"/>
      <c r="K6" s="3194"/>
      <c r="L6" s="3195"/>
      <c r="M6" s="3191"/>
      <c r="N6" s="3191"/>
    </row>
    <row r="7" spans="1:14" ht="18" customHeight="1" x14ac:dyDescent="0.25">
      <c r="A7" s="3196" t="s">
        <v>312</v>
      </c>
      <c r="B7" s="3190"/>
      <c r="C7" s="3191"/>
      <c r="D7" s="3192"/>
      <c r="E7" s="3193"/>
      <c r="F7" s="3191"/>
      <c r="G7" s="3191"/>
      <c r="H7" s="3192"/>
      <c r="I7" s="3193"/>
      <c r="J7" s="3191"/>
      <c r="K7" s="3194"/>
      <c r="L7" s="3195"/>
      <c r="M7" s="3191"/>
      <c r="N7" s="3191"/>
    </row>
    <row r="8" spans="1:14" ht="18" customHeight="1" x14ac:dyDescent="0.25">
      <c r="A8" s="3192" t="s">
        <v>184</v>
      </c>
      <c r="B8" s="3197">
        <v>2313</v>
      </c>
      <c r="C8" s="3198">
        <v>1841</v>
      </c>
      <c r="D8" s="3199">
        <v>1025</v>
      </c>
      <c r="E8" s="3200">
        <v>1521</v>
      </c>
      <c r="F8" s="3201">
        <v>1756</v>
      </c>
      <c r="G8" s="3201">
        <v>1943</v>
      </c>
      <c r="H8" s="3199">
        <v>2066</v>
      </c>
      <c r="I8" s="3200">
        <v>1214</v>
      </c>
      <c r="J8" s="3201">
        <v>2067</v>
      </c>
      <c r="K8" s="3202">
        <v>5179</v>
      </c>
      <c r="L8" s="3203">
        <v>5765</v>
      </c>
      <c r="M8" s="3201">
        <v>7286</v>
      </c>
      <c r="N8" s="3201">
        <v>6919</v>
      </c>
    </row>
    <row r="9" spans="1:14" ht="18" customHeight="1" x14ac:dyDescent="0.25">
      <c r="A9" s="3192" t="s">
        <v>1012</v>
      </c>
      <c r="B9" s="3197">
        <v>74972</v>
      </c>
      <c r="C9" s="3198">
        <v>74625</v>
      </c>
      <c r="D9" s="3199">
        <v>74077</v>
      </c>
      <c r="E9" s="3200">
        <v>73158</v>
      </c>
      <c r="F9" s="3201">
        <v>71651</v>
      </c>
      <c r="G9" s="3201">
        <v>70277</v>
      </c>
      <c r="H9" s="3199">
        <v>69372</v>
      </c>
      <c r="I9" s="3200">
        <v>68352</v>
      </c>
      <c r="J9" s="3201">
        <v>68494</v>
      </c>
      <c r="K9" s="3202">
        <v>74524</v>
      </c>
      <c r="L9" s="3203">
        <v>70512</v>
      </c>
      <c r="M9" s="3201">
        <v>71127</v>
      </c>
      <c r="N9" s="3201">
        <v>67400</v>
      </c>
    </row>
    <row r="10" spans="1:14" ht="18" customHeight="1" x14ac:dyDescent="0.25">
      <c r="A10" s="3192" t="s">
        <v>1013</v>
      </c>
      <c r="B10" s="3204">
        <v>0.122</v>
      </c>
      <c r="C10" s="3205">
        <v>0.10100000000000001</v>
      </c>
      <c r="D10" s="3206">
        <v>5.5E-2</v>
      </c>
      <c r="E10" s="3207">
        <v>8.3000000000000004E-2</v>
      </c>
      <c r="F10" s="3208">
        <v>9.8000000000000004E-2</v>
      </c>
      <c r="G10" s="3208">
        <v>0.112</v>
      </c>
      <c r="H10" s="3206">
        <v>0.11799999999999999</v>
      </c>
      <c r="I10" s="3207">
        <v>7.0000000000000007E-2</v>
      </c>
      <c r="J10" s="3208">
        <v>0.12</v>
      </c>
      <c r="K10" s="3209">
        <v>9.2999999999999999E-2</v>
      </c>
      <c r="L10" s="3210">
        <v>0.109</v>
      </c>
      <c r="M10" s="3208">
        <v>0.10199999999999999</v>
      </c>
      <c r="N10" s="3208">
        <v>0.10299999999999999</v>
      </c>
    </row>
    <row r="11" spans="1:14" ht="18" customHeight="1" x14ac:dyDescent="0.25">
      <c r="A11" s="3192"/>
      <c r="B11" s="3190"/>
      <c r="C11" s="3211"/>
      <c r="D11" s="3192"/>
      <c r="E11" s="3193"/>
      <c r="F11" s="3191"/>
      <c r="G11" s="3191"/>
      <c r="H11" s="3192"/>
      <c r="I11" s="3193"/>
      <c r="J11" s="3191"/>
      <c r="K11" s="3194"/>
      <c r="L11" s="3195"/>
      <c r="M11" s="3191"/>
      <c r="N11" s="3191"/>
    </row>
    <row r="12" spans="1:14" ht="18" customHeight="1" x14ac:dyDescent="0.25">
      <c r="A12" s="3196" t="s">
        <v>317</v>
      </c>
      <c r="B12" s="3190"/>
      <c r="C12" s="3211"/>
      <c r="D12" s="3192"/>
      <c r="E12" s="3193"/>
      <c r="F12" s="3191"/>
      <c r="G12" s="3191"/>
      <c r="H12" s="3192"/>
      <c r="I12" s="3193"/>
      <c r="J12" s="3191"/>
      <c r="K12" s="3194"/>
      <c r="L12" s="3195"/>
      <c r="M12" s="3191"/>
      <c r="N12" s="3191"/>
    </row>
    <row r="13" spans="1:14" ht="18" customHeight="1" x14ac:dyDescent="0.25">
      <c r="A13" s="3192" t="s">
        <v>184</v>
      </c>
      <c r="B13" s="3197">
        <v>2341</v>
      </c>
      <c r="C13" s="3198">
        <v>1897</v>
      </c>
      <c r="D13" s="3199">
        <v>2203</v>
      </c>
      <c r="E13" s="3200">
        <v>1951</v>
      </c>
      <c r="F13" s="3201">
        <v>2033</v>
      </c>
      <c r="G13" s="3201">
        <v>1956</v>
      </c>
      <c r="H13" s="3199">
        <v>2079</v>
      </c>
      <c r="I13" s="3200">
        <v>1500</v>
      </c>
      <c r="J13" s="3201">
        <v>2082</v>
      </c>
      <c r="K13" s="3202">
        <v>6441</v>
      </c>
      <c r="L13" s="3203">
        <v>6068</v>
      </c>
      <c r="M13" s="3201">
        <v>8019</v>
      </c>
      <c r="N13" s="3201">
        <v>7829</v>
      </c>
    </row>
    <row r="14" spans="1:14" ht="18" customHeight="1" x14ac:dyDescent="0.25">
      <c r="A14" s="3192" t="s">
        <v>1013</v>
      </c>
      <c r="B14" s="3204">
        <v>0.124</v>
      </c>
      <c r="C14" s="3205">
        <v>0.104</v>
      </c>
      <c r="D14" s="3206">
        <v>0.11799999999999999</v>
      </c>
      <c r="E14" s="3207">
        <v>0.106</v>
      </c>
      <c r="F14" s="3208">
        <v>0.113</v>
      </c>
      <c r="G14" s="3208">
        <v>0.113</v>
      </c>
      <c r="H14" s="3206">
        <v>0.11899999999999999</v>
      </c>
      <c r="I14" s="3207">
        <v>8.6999999999999994E-2</v>
      </c>
      <c r="J14" s="3208">
        <v>0.121</v>
      </c>
      <c r="K14" s="3209">
        <v>0.11600000000000001</v>
      </c>
      <c r="L14" s="3210">
        <v>0.115</v>
      </c>
      <c r="M14" s="3208">
        <v>0.113</v>
      </c>
      <c r="N14" s="3208">
        <v>0.11600000000000001</v>
      </c>
    </row>
    <row r="15" spans="1:14" ht="18" customHeight="1" x14ac:dyDescent="0.25">
      <c r="A15" s="3212"/>
      <c r="B15" s="3213"/>
      <c r="C15" s="3214"/>
      <c r="D15" s="3212"/>
      <c r="E15" s="3215"/>
      <c r="F15" s="3216"/>
      <c r="G15" s="3216"/>
      <c r="H15" s="3212"/>
      <c r="I15" s="3215"/>
      <c r="J15" s="3216"/>
      <c r="K15" s="3215"/>
      <c r="L15" s="3212"/>
      <c r="M15" s="3216"/>
      <c r="N15" s="3216"/>
    </row>
    <row r="16" spans="1:14" ht="18" customHeight="1" x14ac:dyDescent="0.25">
      <c r="A16" s="3189" t="s">
        <v>1014</v>
      </c>
      <c r="B16" s="3190"/>
      <c r="C16" s="3211"/>
      <c r="D16" s="3192"/>
      <c r="E16" s="3193"/>
      <c r="F16" s="3191"/>
      <c r="G16" s="3191"/>
      <c r="H16" s="3192"/>
      <c r="I16" s="3193"/>
      <c r="J16" s="3191"/>
      <c r="K16" s="3194"/>
      <c r="L16" s="3195"/>
      <c r="M16" s="3191"/>
      <c r="N16" s="3191"/>
    </row>
    <row r="17" spans="1:14" ht="18" customHeight="1" x14ac:dyDescent="0.25">
      <c r="A17" s="3196" t="s">
        <v>312</v>
      </c>
      <c r="B17" s="3190"/>
      <c r="C17" s="3211"/>
      <c r="D17" s="3192"/>
      <c r="E17" s="3193"/>
      <c r="F17" s="3191"/>
      <c r="G17" s="3191"/>
      <c r="H17" s="3192"/>
      <c r="I17" s="3193"/>
      <c r="J17" s="3191"/>
      <c r="K17" s="3194"/>
      <c r="L17" s="3195"/>
      <c r="M17" s="3191"/>
      <c r="N17" s="3191"/>
    </row>
    <row r="18" spans="1:14" ht="18" customHeight="1" x14ac:dyDescent="0.25">
      <c r="A18" s="3192" t="s">
        <v>184</v>
      </c>
      <c r="B18" s="3197">
        <v>958</v>
      </c>
      <c r="C18" s="3198">
        <v>613</v>
      </c>
      <c r="D18" s="3199">
        <v>913</v>
      </c>
      <c r="E18" s="3200">
        <v>934</v>
      </c>
      <c r="F18" s="3201">
        <v>977</v>
      </c>
      <c r="G18" s="3201">
        <v>893</v>
      </c>
      <c r="H18" s="3199">
        <v>972</v>
      </c>
      <c r="I18" s="3200">
        <v>708</v>
      </c>
      <c r="J18" s="3201">
        <v>965</v>
      </c>
      <c r="K18" s="3202">
        <v>2484</v>
      </c>
      <c r="L18" s="3203">
        <v>2842</v>
      </c>
      <c r="M18" s="3201">
        <v>3776</v>
      </c>
      <c r="N18" s="3201">
        <v>3677</v>
      </c>
    </row>
    <row r="19" spans="1:14" ht="18" customHeight="1" x14ac:dyDescent="0.25">
      <c r="A19" s="3192" t="s">
        <v>1012</v>
      </c>
      <c r="B19" s="3197">
        <v>20624</v>
      </c>
      <c r="C19" s="3198">
        <v>20893</v>
      </c>
      <c r="D19" s="3199">
        <v>21636</v>
      </c>
      <c r="E19" s="3200">
        <v>21280</v>
      </c>
      <c r="F19" s="3201">
        <v>20535</v>
      </c>
      <c r="G19" s="3201">
        <v>20507</v>
      </c>
      <c r="H19" s="3199">
        <v>20015</v>
      </c>
      <c r="I19" s="3200">
        <v>18881</v>
      </c>
      <c r="J19" s="3201">
        <v>18678</v>
      </c>
      <c r="K19" s="3202">
        <v>21053</v>
      </c>
      <c r="L19" s="3203">
        <v>20351</v>
      </c>
      <c r="M19" s="3201">
        <v>20585</v>
      </c>
      <c r="N19" s="3201">
        <v>18846</v>
      </c>
    </row>
    <row r="20" spans="1:14" ht="18" customHeight="1" x14ac:dyDescent="0.25">
      <c r="A20" s="3192" t="s">
        <v>1013</v>
      </c>
      <c r="B20" s="3204">
        <v>0.184</v>
      </c>
      <c r="C20" s="3205">
        <v>0.12</v>
      </c>
      <c r="D20" s="3206">
        <v>0.16700000000000001</v>
      </c>
      <c r="E20" s="3207">
        <v>0.17499999999999999</v>
      </c>
      <c r="F20" s="3208">
        <v>0.189</v>
      </c>
      <c r="G20" s="3208">
        <v>0.17699999999999999</v>
      </c>
      <c r="H20" s="3206">
        <v>0.193</v>
      </c>
      <c r="I20" s="3207">
        <v>0.14899999999999999</v>
      </c>
      <c r="J20" s="3208">
        <v>0.20499999999999999</v>
      </c>
      <c r="K20" s="3209">
        <v>0.158</v>
      </c>
      <c r="L20" s="3210">
        <v>0.187</v>
      </c>
      <c r="M20" s="3208">
        <v>0.183</v>
      </c>
      <c r="N20" s="3208">
        <v>0.19500000000000001</v>
      </c>
    </row>
    <row r="21" spans="1:14" ht="18" customHeight="1" x14ac:dyDescent="0.25">
      <c r="A21" s="3192"/>
      <c r="B21" s="3190"/>
      <c r="C21" s="3211"/>
      <c r="D21" s="3192"/>
      <c r="E21" s="3193"/>
      <c r="F21" s="3191"/>
      <c r="G21" s="3191"/>
      <c r="H21" s="3192"/>
      <c r="I21" s="3193"/>
      <c r="J21" s="3191"/>
      <c r="K21" s="3194"/>
      <c r="L21" s="3195"/>
      <c r="M21" s="3191"/>
      <c r="N21" s="3191"/>
    </row>
    <row r="22" spans="1:14" ht="18" customHeight="1" x14ac:dyDescent="0.25">
      <c r="A22" s="3196" t="s">
        <v>317</v>
      </c>
      <c r="B22" s="3190"/>
      <c r="C22" s="3211"/>
      <c r="D22" s="3192"/>
      <c r="E22" s="3193"/>
      <c r="F22" s="3191"/>
      <c r="G22" s="3191"/>
      <c r="H22" s="3192"/>
      <c r="I22" s="3193"/>
      <c r="J22" s="3191"/>
      <c r="K22" s="3194"/>
      <c r="L22" s="3195"/>
      <c r="M22" s="3191"/>
      <c r="N22" s="3191"/>
    </row>
    <row r="23" spans="1:14" ht="18" customHeight="1" x14ac:dyDescent="0.25">
      <c r="A23" s="3192" t="s">
        <v>184</v>
      </c>
      <c r="B23" s="3197">
        <v>959</v>
      </c>
      <c r="C23" s="3198">
        <v>613</v>
      </c>
      <c r="D23" s="3199">
        <v>914</v>
      </c>
      <c r="E23" s="3200">
        <v>935</v>
      </c>
      <c r="F23" s="3201">
        <v>978</v>
      </c>
      <c r="G23" s="3201">
        <v>893</v>
      </c>
      <c r="H23" s="3199">
        <v>973</v>
      </c>
      <c r="I23" s="3200">
        <v>708</v>
      </c>
      <c r="J23" s="3201">
        <v>966</v>
      </c>
      <c r="K23" s="3202">
        <v>2486</v>
      </c>
      <c r="L23" s="3203">
        <v>2844</v>
      </c>
      <c r="M23" s="3201">
        <v>3779</v>
      </c>
      <c r="N23" s="3201">
        <v>3680</v>
      </c>
    </row>
    <row r="24" spans="1:14" ht="18" customHeight="1" x14ac:dyDescent="0.25">
      <c r="A24" s="3192" t="s">
        <v>1013</v>
      </c>
      <c r="B24" s="3204">
        <v>0.185</v>
      </c>
      <c r="C24" s="3205">
        <v>0.12</v>
      </c>
      <c r="D24" s="3206">
        <v>0.16700000000000001</v>
      </c>
      <c r="E24" s="3207">
        <v>0.17499999999999999</v>
      </c>
      <c r="F24" s="3208">
        <v>0.19</v>
      </c>
      <c r="G24" s="3208">
        <v>0.17699999999999999</v>
      </c>
      <c r="H24" s="3206">
        <v>0.193</v>
      </c>
      <c r="I24" s="3207">
        <v>0.14899999999999999</v>
      </c>
      <c r="J24" s="3208">
        <v>0.20499999999999999</v>
      </c>
      <c r="K24" s="3209">
        <v>0.158</v>
      </c>
      <c r="L24" s="3210">
        <v>0.187</v>
      </c>
      <c r="M24" s="3208">
        <v>0.184</v>
      </c>
      <c r="N24" s="3208">
        <v>0.19500000000000001</v>
      </c>
    </row>
    <row r="25" spans="1:14" ht="18" customHeight="1" x14ac:dyDescent="0.25">
      <c r="A25" s="3217"/>
      <c r="B25" s="3218"/>
      <c r="C25" s="3219"/>
      <c r="D25" s="3217"/>
      <c r="E25" s="3220"/>
      <c r="F25" s="3221"/>
      <c r="G25" s="3221"/>
      <c r="H25" s="3217"/>
      <c r="I25" s="3220"/>
      <c r="J25" s="3221"/>
      <c r="K25" s="3222"/>
      <c r="L25" s="3223"/>
      <c r="M25" s="3221"/>
      <c r="N25" s="3221"/>
    </row>
    <row r="26" spans="1:14" ht="18" customHeight="1" x14ac:dyDescent="0.25">
      <c r="A26" s="3189" t="s">
        <v>1015</v>
      </c>
      <c r="B26" s="3190"/>
      <c r="C26" s="3211"/>
      <c r="D26" s="3192"/>
      <c r="E26" s="3193"/>
      <c r="F26" s="3191"/>
      <c r="G26" s="3191"/>
      <c r="H26" s="3192"/>
      <c r="I26" s="3193"/>
      <c r="J26" s="3191"/>
      <c r="K26" s="3194"/>
      <c r="L26" s="3195"/>
      <c r="M26" s="3191"/>
      <c r="N26" s="3191"/>
    </row>
    <row r="27" spans="1:14" ht="18" customHeight="1" x14ac:dyDescent="0.25">
      <c r="A27" s="3196" t="s">
        <v>312</v>
      </c>
      <c r="B27" s="3190"/>
      <c r="C27" s="3211"/>
      <c r="D27" s="3192"/>
      <c r="E27" s="3193"/>
      <c r="F27" s="3191"/>
      <c r="G27" s="3191"/>
      <c r="H27" s="3192"/>
      <c r="I27" s="3193"/>
      <c r="J27" s="3191"/>
      <c r="K27" s="3194"/>
      <c r="L27" s="3195"/>
      <c r="M27" s="3191"/>
      <c r="N27" s="3191"/>
    </row>
    <row r="28" spans="1:14" ht="18" customHeight="1" x14ac:dyDescent="0.25">
      <c r="A28" s="3192" t="s">
        <v>184</v>
      </c>
      <c r="B28" s="3197">
        <v>670</v>
      </c>
      <c r="C28" s="3198">
        <v>676</v>
      </c>
      <c r="D28" s="3199">
        <v>651</v>
      </c>
      <c r="E28" s="3200">
        <v>600</v>
      </c>
      <c r="F28" s="3201">
        <v>629</v>
      </c>
      <c r="G28" s="3201">
        <v>639</v>
      </c>
      <c r="H28" s="3199">
        <v>712</v>
      </c>
      <c r="I28" s="3200">
        <v>517</v>
      </c>
      <c r="J28" s="3201">
        <v>591</v>
      </c>
      <c r="K28" s="3202">
        <v>1997</v>
      </c>
      <c r="L28" s="3203">
        <v>1980</v>
      </c>
      <c r="M28" s="3201">
        <v>2580</v>
      </c>
      <c r="N28" s="3201">
        <v>2315</v>
      </c>
    </row>
    <row r="29" spans="1:14" ht="18" customHeight="1" x14ac:dyDescent="0.25">
      <c r="A29" s="3192" t="s">
        <v>1012</v>
      </c>
      <c r="B29" s="3197">
        <v>17856</v>
      </c>
      <c r="C29" s="3198">
        <v>18087</v>
      </c>
      <c r="D29" s="3199">
        <v>18191</v>
      </c>
      <c r="E29" s="3200">
        <v>18788</v>
      </c>
      <c r="F29" s="3201">
        <v>19077</v>
      </c>
      <c r="G29" s="3201">
        <v>19144</v>
      </c>
      <c r="H29" s="3199">
        <v>19582</v>
      </c>
      <c r="I29" s="3200">
        <v>18188</v>
      </c>
      <c r="J29" s="3201">
        <v>18683</v>
      </c>
      <c r="K29" s="3202">
        <v>18044</v>
      </c>
      <c r="L29" s="3203">
        <v>19269</v>
      </c>
      <c r="M29" s="3201">
        <v>19148</v>
      </c>
      <c r="N29" s="3201">
        <v>19120</v>
      </c>
    </row>
    <row r="30" spans="1:14" ht="18" customHeight="1" x14ac:dyDescent="0.25">
      <c r="A30" s="3192" t="s">
        <v>1013</v>
      </c>
      <c r="B30" s="3204">
        <v>0.14899999999999999</v>
      </c>
      <c r="C30" s="3205">
        <v>0.153</v>
      </c>
      <c r="D30" s="3206">
        <v>0.14199999999999999</v>
      </c>
      <c r="E30" s="3207">
        <v>0.127</v>
      </c>
      <c r="F30" s="3208">
        <v>0.13100000000000001</v>
      </c>
      <c r="G30" s="3208">
        <v>0.13600000000000001</v>
      </c>
      <c r="H30" s="3206">
        <v>0.14499999999999999</v>
      </c>
      <c r="I30" s="3207">
        <v>0.113</v>
      </c>
      <c r="J30" s="3208">
        <v>0.125</v>
      </c>
      <c r="K30" s="3209">
        <v>0.14799999999999999</v>
      </c>
      <c r="L30" s="3210">
        <v>0.13700000000000001</v>
      </c>
      <c r="M30" s="3208">
        <v>0.13500000000000001</v>
      </c>
      <c r="N30" s="3208">
        <v>0.121</v>
      </c>
    </row>
    <row r="31" spans="1:14" ht="18" customHeight="1" x14ac:dyDescent="0.25">
      <c r="A31" s="3192"/>
      <c r="B31" s="3190"/>
      <c r="C31" s="3211"/>
      <c r="D31" s="3192"/>
      <c r="E31" s="3193"/>
      <c r="F31" s="3191"/>
      <c r="G31" s="3191"/>
      <c r="H31" s="3192"/>
      <c r="I31" s="3193"/>
      <c r="J31" s="3191"/>
      <c r="K31" s="3194"/>
      <c r="L31" s="3195"/>
      <c r="M31" s="3191"/>
      <c r="N31" s="3191"/>
    </row>
    <row r="32" spans="1:14" ht="18" customHeight="1" x14ac:dyDescent="0.25">
      <c r="A32" s="3196" t="s">
        <v>317</v>
      </c>
      <c r="B32" s="3190"/>
      <c r="C32" s="3211"/>
      <c r="D32" s="3192"/>
      <c r="E32" s="3193"/>
      <c r="F32" s="3191"/>
      <c r="G32" s="3191"/>
      <c r="H32" s="3192"/>
      <c r="I32" s="3193"/>
      <c r="J32" s="3191"/>
      <c r="K32" s="3194"/>
      <c r="L32" s="3195"/>
      <c r="M32" s="3191"/>
      <c r="N32" s="3191"/>
    </row>
    <row r="33" spans="1:14" ht="18" customHeight="1" x14ac:dyDescent="0.25">
      <c r="A33" s="3192" t="s">
        <v>184</v>
      </c>
      <c r="B33" s="3197">
        <v>675</v>
      </c>
      <c r="C33" s="3198">
        <v>681</v>
      </c>
      <c r="D33" s="3199">
        <v>657</v>
      </c>
      <c r="E33" s="3200">
        <v>606</v>
      </c>
      <c r="F33" s="3201">
        <v>634</v>
      </c>
      <c r="G33" s="3201">
        <v>645</v>
      </c>
      <c r="H33" s="3199">
        <v>718</v>
      </c>
      <c r="I33" s="3200">
        <v>525</v>
      </c>
      <c r="J33" s="3201">
        <v>598</v>
      </c>
      <c r="K33" s="3202">
        <v>2013</v>
      </c>
      <c r="L33" s="3203">
        <v>1997</v>
      </c>
      <c r="M33" s="3201">
        <v>2603</v>
      </c>
      <c r="N33" s="3201">
        <v>2345</v>
      </c>
    </row>
    <row r="34" spans="1:14" ht="18" customHeight="1" x14ac:dyDescent="0.25">
      <c r="A34" s="3192" t="s">
        <v>1013</v>
      </c>
      <c r="B34" s="3204">
        <v>0.15</v>
      </c>
      <c r="C34" s="3205">
        <v>0.155</v>
      </c>
      <c r="D34" s="3206">
        <v>0.14299999999999999</v>
      </c>
      <c r="E34" s="3207">
        <v>0.128</v>
      </c>
      <c r="F34" s="3208">
        <v>0.13200000000000001</v>
      </c>
      <c r="G34" s="3208">
        <v>0.13700000000000001</v>
      </c>
      <c r="H34" s="3206">
        <v>0.14599999999999999</v>
      </c>
      <c r="I34" s="3207">
        <v>0.114</v>
      </c>
      <c r="J34" s="3208">
        <v>0.127</v>
      </c>
      <c r="K34" s="3209">
        <v>0.14899999999999999</v>
      </c>
      <c r="L34" s="3210">
        <v>0.13800000000000001</v>
      </c>
      <c r="M34" s="3208">
        <v>0.13600000000000001</v>
      </c>
      <c r="N34" s="3208">
        <v>0.123</v>
      </c>
    </row>
    <row r="35" spans="1:14" ht="18" customHeight="1" x14ac:dyDescent="0.25">
      <c r="A35" s="3217"/>
      <c r="B35" s="3218"/>
      <c r="C35" s="3219"/>
      <c r="D35" s="3217"/>
      <c r="E35" s="3220"/>
      <c r="F35" s="3221"/>
      <c r="G35" s="3221"/>
      <c r="H35" s="3217"/>
      <c r="I35" s="3220"/>
      <c r="J35" s="3221"/>
      <c r="K35" s="3222"/>
      <c r="L35" s="3223"/>
      <c r="M35" s="3221"/>
      <c r="N35" s="3221"/>
    </row>
    <row r="36" spans="1:14" ht="18" customHeight="1" x14ac:dyDescent="0.25">
      <c r="A36" s="3189" t="s">
        <v>1016</v>
      </c>
      <c r="B36" s="3190"/>
      <c r="C36" s="3211"/>
      <c r="D36" s="3192"/>
      <c r="E36" s="3193"/>
      <c r="F36" s="3191"/>
      <c r="G36" s="3191"/>
      <c r="H36" s="3192"/>
      <c r="I36" s="3193"/>
      <c r="J36" s="3191"/>
      <c r="K36" s="3194"/>
      <c r="L36" s="3195"/>
      <c r="M36" s="3191"/>
      <c r="N36" s="3191"/>
    </row>
    <row r="37" spans="1:14" ht="18" customHeight="1" x14ac:dyDescent="0.25">
      <c r="A37" s="3196" t="s">
        <v>312</v>
      </c>
      <c r="B37" s="3190"/>
      <c r="C37" s="3211"/>
      <c r="D37" s="3192"/>
      <c r="E37" s="3193"/>
      <c r="F37" s="3191"/>
      <c r="G37" s="3191"/>
      <c r="H37" s="3192"/>
      <c r="I37" s="3193"/>
      <c r="J37" s="3191"/>
      <c r="K37" s="3194"/>
      <c r="L37" s="3195"/>
      <c r="M37" s="3191"/>
      <c r="N37" s="3191"/>
    </row>
    <row r="38" spans="1:14" ht="18" customHeight="1" x14ac:dyDescent="0.25">
      <c r="A38" s="3192" t="s">
        <v>184</v>
      </c>
      <c r="B38" s="3197">
        <v>417</v>
      </c>
      <c r="C38" s="3198">
        <v>399</v>
      </c>
      <c r="D38" s="3199">
        <v>407</v>
      </c>
      <c r="E38" s="3200">
        <v>380</v>
      </c>
      <c r="F38" s="3201">
        <v>367</v>
      </c>
      <c r="G38" s="3201">
        <v>340</v>
      </c>
      <c r="H38" s="3199">
        <v>330</v>
      </c>
      <c r="I38" s="3200">
        <v>286</v>
      </c>
      <c r="J38" s="3201">
        <v>325</v>
      </c>
      <c r="K38" s="3202">
        <v>1223</v>
      </c>
      <c r="L38" s="3203">
        <v>1037</v>
      </c>
      <c r="M38" s="3201">
        <v>1417</v>
      </c>
      <c r="N38" s="3201">
        <v>1271</v>
      </c>
    </row>
    <row r="39" spans="1:14" ht="18" customHeight="1" x14ac:dyDescent="0.25">
      <c r="A39" s="3192" t="s">
        <v>1012</v>
      </c>
      <c r="B39" s="3197">
        <v>10552</v>
      </c>
      <c r="C39" s="3198">
        <v>10332</v>
      </c>
      <c r="D39" s="3199">
        <v>10183</v>
      </c>
      <c r="E39" s="3200">
        <v>10230</v>
      </c>
      <c r="F39" s="3201">
        <v>10195</v>
      </c>
      <c r="G39" s="3201">
        <v>10222</v>
      </c>
      <c r="H39" s="3199">
        <v>10193</v>
      </c>
      <c r="I39" s="3200">
        <v>9797</v>
      </c>
      <c r="J39" s="3201">
        <v>9743</v>
      </c>
      <c r="K39" s="3202">
        <v>10356</v>
      </c>
      <c r="L39" s="3203">
        <v>10203</v>
      </c>
      <c r="M39" s="3201">
        <v>10210</v>
      </c>
      <c r="N39" s="3201">
        <v>9777</v>
      </c>
    </row>
    <row r="40" spans="1:14" ht="18" customHeight="1" x14ac:dyDescent="0.25">
      <c r="A40" s="3192" t="s">
        <v>1013</v>
      </c>
      <c r="B40" s="3204">
        <v>0.157</v>
      </c>
      <c r="C40" s="3205">
        <v>0.158</v>
      </c>
      <c r="D40" s="3206">
        <v>0.158</v>
      </c>
      <c r="E40" s="3207">
        <v>0.14799999999999999</v>
      </c>
      <c r="F40" s="3208">
        <v>0.14299999999999999</v>
      </c>
      <c r="G40" s="3208">
        <v>0.13600000000000001</v>
      </c>
      <c r="H40" s="3206">
        <v>0.129</v>
      </c>
      <c r="I40" s="3207">
        <v>0.11600000000000001</v>
      </c>
      <c r="J40" s="3208">
        <v>0.13200000000000001</v>
      </c>
      <c r="K40" s="3209">
        <v>0.158</v>
      </c>
      <c r="L40" s="3210">
        <v>0.13600000000000001</v>
      </c>
      <c r="M40" s="3208">
        <v>0.13900000000000001</v>
      </c>
      <c r="N40" s="3208">
        <v>0.13</v>
      </c>
    </row>
    <row r="41" spans="1:14" ht="18" customHeight="1" x14ac:dyDescent="0.25">
      <c r="A41" s="3192"/>
      <c r="B41" s="3190"/>
      <c r="C41" s="3211"/>
      <c r="D41" s="3192"/>
      <c r="E41" s="3193"/>
      <c r="F41" s="3191"/>
      <c r="G41" s="3191"/>
      <c r="H41" s="3192"/>
      <c r="I41" s="3193"/>
      <c r="J41" s="3191"/>
      <c r="K41" s="3194"/>
      <c r="L41" s="3195"/>
      <c r="M41" s="3191"/>
      <c r="N41" s="3191"/>
    </row>
    <row r="42" spans="1:14" ht="18" customHeight="1" x14ac:dyDescent="0.25">
      <c r="A42" s="3196" t="s">
        <v>317</v>
      </c>
      <c r="B42" s="3190"/>
      <c r="C42" s="3211"/>
      <c r="D42" s="3192"/>
      <c r="E42" s="3193"/>
      <c r="F42" s="3191"/>
      <c r="G42" s="3191"/>
      <c r="H42" s="3192"/>
      <c r="I42" s="3193"/>
      <c r="J42" s="3191"/>
      <c r="K42" s="3194"/>
      <c r="L42" s="3195"/>
      <c r="M42" s="3191"/>
      <c r="N42" s="3191"/>
    </row>
    <row r="43" spans="1:14" ht="18" customHeight="1" x14ac:dyDescent="0.25">
      <c r="A43" s="3192" t="s">
        <v>184</v>
      </c>
      <c r="B43" s="3197">
        <v>424</v>
      </c>
      <c r="C43" s="3198">
        <v>405</v>
      </c>
      <c r="D43" s="3199">
        <v>414</v>
      </c>
      <c r="E43" s="3200">
        <v>386</v>
      </c>
      <c r="F43" s="3201">
        <v>374</v>
      </c>
      <c r="G43" s="3201">
        <v>347</v>
      </c>
      <c r="H43" s="3199">
        <v>336</v>
      </c>
      <c r="I43" s="3200">
        <v>292</v>
      </c>
      <c r="J43" s="3201">
        <v>332</v>
      </c>
      <c r="K43" s="3202">
        <v>1243</v>
      </c>
      <c r="L43" s="3203">
        <v>1057</v>
      </c>
      <c r="M43" s="3201">
        <v>1443</v>
      </c>
      <c r="N43" s="3201">
        <v>1297</v>
      </c>
    </row>
    <row r="44" spans="1:14" ht="18" customHeight="1" x14ac:dyDescent="0.25">
      <c r="A44" s="3192" t="s">
        <v>1013</v>
      </c>
      <c r="B44" s="3204">
        <v>0.159</v>
      </c>
      <c r="C44" s="3205">
        <v>0.161</v>
      </c>
      <c r="D44" s="3206">
        <v>0.161</v>
      </c>
      <c r="E44" s="3207">
        <v>0.15</v>
      </c>
      <c r="F44" s="3208">
        <v>0.14599999999999999</v>
      </c>
      <c r="G44" s="3208">
        <v>0.13800000000000001</v>
      </c>
      <c r="H44" s="3206">
        <v>0.13100000000000001</v>
      </c>
      <c r="I44" s="3207">
        <v>0.11799999999999999</v>
      </c>
      <c r="J44" s="3208">
        <v>0.13500000000000001</v>
      </c>
      <c r="K44" s="3209">
        <v>0.161</v>
      </c>
      <c r="L44" s="3210">
        <v>0.13800000000000001</v>
      </c>
      <c r="M44" s="3208">
        <v>0.14099999999999999</v>
      </c>
      <c r="N44" s="3208">
        <v>0.13300000000000001</v>
      </c>
    </row>
    <row r="45" spans="1:14" ht="18" customHeight="1" x14ac:dyDescent="0.25">
      <c r="A45" s="3217"/>
      <c r="B45" s="3218"/>
      <c r="C45" s="3219"/>
      <c r="D45" s="3217"/>
      <c r="E45" s="3220"/>
      <c r="F45" s="3221"/>
      <c r="G45" s="3221"/>
      <c r="H45" s="3217"/>
      <c r="I45" s="3220"/>
      <c r="J45" s="3221"/>
      <c r="K45" s="3222"/>
      <c r="L45" s="3223"/>
      <c r="M45" s="3221"/>
      <c r="N45" s="3221"/>
    </row>
    <row r="46" spans="1:14" ht="18" customHeight="1" x14ac:dyDescent="0.25">
      <c r="A46" s="3224" t="s">
        <v>884</v>
      </c>
      <c r="B46" s="3225"/>
      <c r="C46" s="3186"/>
      <c r="D46" s="3226"/>
      <c r="E46" s="3227"/>
      <c r="F46" s="3228"/>
      <c r="G46" s="3228"/>
      <c r="H46" s="3226"/>
      <c r="I46" s="3227"/>
      <c r="J46" s="3228"/>
      <c r="K46" s="3227"/>
      <c r="L46" s="3226"/>
      <c r="M46" s="3228"/>
      <c r="N46" s="3228"/>
    </row>
    <row r="47" spans="1:14" ht="18" customHeight="1" x14ac:dyDescent="0.25">
      <c r="A47" s="3196" t="s">
        <v>312</v>
      </c>
      <c r="B47" s="3190"/>
      <c r="C47" s="3211"/>
      <c r="D47" s="3192"/>
      <c r="E47" s="3193"/>
      <c r="F47" s="3191"/>
      <c r="G47" s="3191"/>
      <c r="H47" s="3192"/>
      <c r="I47" s="3193"/>
      <c r="J47" s="3191"/>
      <c r="K47" s="3194"/>
      <c r="L47" s="3195"/>
      <c r="M47" s="3191"/>
      <c r="N47" s="3191"/>
    </row>
    <row r="48" spans="1:14" ht="18" customHeight="1" x14ac:dyDescent="0.25">
      <c r="A48" s="3192" t="s">
        <v>184</v>
      </c>
      <c r="B48" s="3197">
        <v>473</v>
      </c>
      <c r="C48" s="3198">
        <v>413</v>
      </c>
      <c r="D48" s="3199">
        <v>517</v>
      </c>
      <c r="E48" s="3200">
        <v>347</v>
      </c>
      <c r="F48" s="3201">
        <v>368</v>
      </c>
      <c r="G48" s="3201">
        <v>374</v>
      </c>
      <c r="H48" s="3199">
        <v>388</v>
      </c>
      <c r="I48" s="3200">
        <v>363</v>
      </c>
      <c r="J48" s="3201">
        <v>378</v>
      </c>
      <c r="K48" s="3202">
        <v>1403</v>
      </c>
      <c r="L48" s="3203">
        <v>1130</v>
      </c>
      <c r="M48" s="3201">
        <v>1477</v>
      </c>
      <c r="N48" s="3201">
        <v>1581</v>
      </c>
    </row>
    <row r="49" spans="1:14" ht="18" customHeight="1" x14ac:dyDescent="0.25">
      <c r="A49" s="3192" t="s">
        <v>1012</v>
      </c>
      <c r="B49" s="3197">
        <v>14879</v>
      </c>
      <c r="C49" s="3198">
        <v>14970</v>
      </c>
      <c r="D49" s="3199">
        <v>15361</v>
      </c>
      <c r="E49" s="3200">
        <v>15369</v>
      </c>
      <c r="F49" s="3201">
        <v>15389</v>
      </c>
      <c r="G49" s="3201">
        <v>14865</v>
      </c>
      <c r="H49" s="3199">
        <v>15734</v>
      </c>
      <c r="I49" s="3200">
        <v>13287</v>
      </c>
      <c r="J49" s="3201">
        <v>13310</v>
      </c>
      <c r="K49" s="3202">
        <v>15071</v>
      </c>
      <c r="L49" s="3203">
        <v>15333</v>
      </c>
      <c r="M49" s="3201">
        <v>15342</v>
      </c>
      <c r="N49" s="3201">
        <v>14420</v>
      </c>
    </row>
    <row r="50" spans="1:14" ht="19.05" customHeight="1" x14ac:dyDescent="0.25">
      <c r="A50" s="3229" t="s">
        <v>1013</v>
      </c>
      <c r="B50" s="3230">
        <v>0.126</v>
      </c>
      <c r="C50" s="3231">
        <v>0.113</v>
      </c>
      <c r="D50" s="3232">
        <v>0.13300000000000001</v>
      </c>
      <c r="E50" s="3233">
        <v>0.09</v>
      </c>
      <c r="F50" s="3234">
        <v>9.5000000000000001E-2</v>
      </c>
      <c r="G50" s="3234">
        <v>0.10199999999999999</v>
      </c>
      <c r="H50" s="3232">
        <v>9.8000000000000004E-2</v>
      </c>
      <c r="I50" s="3233">
        <v>0.108</v>
      </c>
      <c r="J50" s="3234">
        <v>0.113</v>
      </c>
      <c r="K50" s="3235">
        <v>0.124</v>
      </c>
      <c r="L50" s="3236">
        <v>9.8000000000000004E-2</v>
      </c>
      <c r="M50" s="3234">
        <v>9.6000000000000002E-2</v>
      </c>
      <c r="N50" s="3234">
        <v>0.11</v>
      </c>
    </row>
    <row r="51" spans="1:14" ht="5.25" customHeight="1" x14ac:dyDescent="0.25">
      <c r="A51" s="3237"/>
      <c r="B51" s="3238"/>
      <c r="C51" s="3239"/>
      <c r="D51" s="3238"/>
      <c r="E51" s="3238"/>
      <c r="F51" s="3238"/>
      <c r="G51" s="3238"/>
      <c r="H51" s="3238"/>
      <c r="I51" s="3238"/>
      <c r="J51" s="3238"/>
      <c r="K51" s="3238"/>
      <c r="L51" s="3238"/>
      <c r="M51" s="3238"/>
      <c r="N51" s="3238"/>
    </row>
    <row r="52" spans="1:14" ht="19.05" customHeight="1" x14ac:dyDescent="0.25">
      <c r="A52" s="3614" t="s">
        <v>1017</v>
      </c>
      <c r="B52" s="3614" t="s">
        <v>14</v>
      </c>
      <c r="C52" s="3614" t="s">
        <v>14</v>
      </c>
      <c r="D52" s="3614" t="s">
        <v>14</v>
      </c>
      <c r="E52" s="3614" t="s">
        <v>14</v>
      </c>
      <c r="F52" s="3614" t="s">
        <v>14</v>
      </c>
      <c r="G52" s="3614" t="s">
        <v>14</v>
      </c>
      <c r="H52" s="3614" t="s">
        <v>14</v>
      </c>
      <c r="I52" s="3614" t="s">
        <v>14</v>
      </c>
      <c r="J52" s="3614" t="s">
        <v>14</v>
      </c>
      <c r="K52" s="3614" t="s">
        <v>14</v>
      </c>
      <c r="L52" s="3614" t="s">
        <v>14</v>
      </c>
      <c r="M52" s="3614" t="s">
        <v>14</v>
      </c>
      <c r="N52" s="3614" t="s">
        <v>14</v>
      </c>
    </row>
    <row r="53" spans="1:14" ht="19.05" customHeight="1" x14ac:dyDescent="0.25">
      <c r="A53" s="3614" t="s">
        <v>1018</v>
      </c>
      <c r="B53" s="3614" t="s">
        <v>14</v>
      </c>
      <c r="C53" s="3614" t="s">
        <v>14</v>
      </c>
      <c r="D53" s="3614" t="s">
        <v>14</v>
      </c>
      <c r="E53" s="3614" t="s">
        <v>14</v>
      </c>
      <c r="F53" s="3614" t="s">
        <v>14</v>
      </c>
      <c r="G53" s="3614" t="s">
        <v>14</v>
      </c>
      <c r="H53" s="3614" t="s">
        <v>14</v>
      </c>
      <c r="I53" s="3614" t="s">
        <v>14</v>
      </c>
      <c r="J53" s="3614" t="s">
        <v>14</v>
      </c>
      <c r="K53" s="3614" t="s">
        <v>14</v>
      </c>
      <c r="L53" s="3614" t="s">
        <v>14</v>
      </c>
      <c r="M53" s="3614" t="s">
        <v>14</v>
      </c>
      <c r="N53" s="3614" t="s">
        <v>14</v>
      </c>
    </row>
    <row r="54" spans="1:14" ht="19.05" customHeight="1" x14ac:dyDescent="0.25">
      <c r="A54" s="3692"/>
      <c r="B54" s="3692" t="s">
        <v>14</v>
      </c>
      <c r="C54" s="3692" t="s">
        <v>14</v>
      </c>
      <c r="D54" s="3692" t="s">
        <v>14</v>
      </c>
      <c r="E54" s="3692" t="s">
        <v>14</v>
      </c>
      <c r="F54" s="3692" t="s">
        <v>14</v>
      </c>
      <c r="G54" s="3692" t="s">
        <v>14</v>
      </c>
      <c r="H54" s="3692" t="s">
        <v>14</v>
      </c>
      <c r="I54" s="3692" t="s">
        <v>14</v>
      </c>
      <c r="J54" s="3692" t="s">
        <v>14</v>
      </c>
      <c r="K54" s="3692" t="s">
        <v>14</v>
      </c>
      <c r="L54" s="3692" t="s">
        <v>14</v>
      </c>
      <c r="M54" s="3692" t="s">
        <v>14</v>
      </c>
      <c r="N54" s="3692" t="s">
        <v>14</v>
      </c>
    </row>
    <row r="55" spans="1:14" ht="19.05" customHeight="1" x14ac:dyDescent="0.25">
      <c r="A55" s="3240"/>
      <c r="B55" s="3241"/>
      <c r="C55" s="3242"/>
      <c r="D55" s="3241"/>
      <c r="E55" s="3241"/>
      <c r="F55" s="3241"/>
      <c r="G55" s="3241"/>
      <c r="H55" s="3241"/>
      <c r="I55" s="3241"/>
      <c r="J55" s="3241"/>
      <c r="K55" s="3241"/>
      <c r="L55" s="3241"/>
      <c r="M55" s="3241"/>
      <c r="N55" s="3241"/>
    </row>
  </sheetData>
  <mergeCells count="10">
    <mergeCell ref="A52:N52"/>
    <mergeCell ref="A53:N53"/>
    <mergeCell ref="A54:N54"/>
    <mergeCell ref="A2:N2"/>
    <mergeCell ref="A3:N3"/>
    <mergeCell ref="B4:D4"/>
    <mergeCell ref="E4:H4"/>
    <mergeCell ref="I4:J4"/>
    <mergeCell ref="K4:L4"/>
    <mergeCell ref="M4:N4"/>
  </mergeCells>
  <hyperlinks>
    <hyperlink ref="A1" location="ToC!A2" display="Back to Table of Contents" xr:uid="{48793C5A-6DDE-4692-98A8-FD5EC49067C4}"/>
  </hyperlinks>
  <pageMargins left="0.5" right="0.5" top="0.5" bottom="0.5" header="0.25" footer="0.25"/>
  <pageSetup scale="36" orientation="landscape" horizontalDpi="72" verticalDpi="72" r:id="rId1"/>
  <headerFooter>
    <oddFooter>&amp;L&amp;G&amp;C&amp;"Scotia,Regular"&amp;9Supplementary Financial Information (SFI)&amp;R33&amp;"Scotia,Regular"&amp;7</oddFooter>
  </headerFooter>
  <ignoredErrors>
    <ignoredError sqref="B4" numberStoredAsText="1"/>
  </ignoredErrors>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B4EA-8D23-4070-A0EE-D490F6CC8098}">
  <sheetPr>
    <pageSetUpPr fitToPage="1"/>
  </sheetPr>
  <dimension ref="A1:N47"/>
  <sheetViews>
    <sheetView showGridLines="0" zoomScaleNormal="100" workbookViewId="0"/>
  </sheetViews>
  <sheetFormatPr defaultColWidth="8.77734375" defaultRowHeight="13.2" x14ac:dyDescent="0.25"/>
  <cols>
    <col min="1" max="1" width="70.77734375" style="22" customWidth="1"/>
    <col min="2" max="14" width="15.5546875" style="22" customWidth="1"/>
    <col min="15" max="16384" width="8.77734375" style="22"/>
  </cols>
  <sheetData>
    <row r="1" spans="1:14" ht="19.95" customHeight="1" x14ac:dyDescent="0.25">
      <c r="A1" s="21" t="s">
        <v>12</v>
      </c>
    </row>
    <row r="2" spans="1:14" ht="25.05" customHeight="1" x14ac:dyDescent="0.25">
      <c r="A2" s="3701" t="s">
        <v>938</v>
      </c>
      <c r="B2" s="3701" t="s">
        <v>14</v>
      </c>
      <c r="C2" s="3701" t="s">
        <v>14</v>
      </c>
      <c r="D2" s="3701" t="s">
        <v>14</v>
      </c>
      <c r="E2" s="3701" t="s">
        <v>14</v>
      </c>
      <c r="F2" s="3701" t="s">
        <v>14</v>
      </c>
      <c r="G2" s="3701" t="s">
        <v>14</v>
      </c>
      <c r="H2" s="3701" t="s">
        <v>14</v>
      </c>
      <c r="I2" s="3701" t="s">
        <v>14</v>
      </c>
      <c r="J2" s="3701" t="s">
        <v>14</v>
      </c>
      <c r="K2" s="3701" t="s">
        <v>14</v>
      </c>
      <c r="L2" s="3701" t="s">
        <v>14</v>
      </c>
      <c r="M2" s="3701" t="s">
        <v>14</v>
      </c>
      <c r="N2" s="3701" t="s">
        <v>14</v>
      </c>
    </row>
    <row r="3" spans="1:14" ht="19.05" customHeight="1" x14ac:dyDescent="0.25">
      <c r="A3" s="3702" t="s">
        <v>1019</v>
      </c>
      <c r="B3" s="3702" t="s">
        <v>14</v>
      </c>
      <c r="C3" s="3702" t="s">
        <v>14</v>
      </c>
      <c r="D3" s="3702" t="s">
        <v>14</v>
      </c>
      <c r="E3" s="3702" t="s">
        <v>14</v>
      </c>
      <c r="F3" s="3702" t="s">
        <v>14</v>
      </c>
      <c r="G3" s="3702" t="s">
        <v>14</v>
      </c>
      <c r="H3" s="3702" t="s">
        <v>14</v>
      </c>
      <c r="I3" s="3702" t="s">
        <v>14</v>
      </c>
      <c r="J3" s="3702" t="s">
        <v>14</v>
      </c>
      <c r="K3" s="3702" t="s">
        <v>14</v>
      </c>
      <c r="L3" s="3702" t="s">
        <v>14</v>
      </c>
      <c r="M3" s="3702" t="s">
        <v>14</v>
      </c>
      <c r="N3" s="3702" t="s">
        <v>14</v>
      </c>
    </row>
    <row r="4" spans="1:14" ht="18.600000000000001" customHeight="1" x14ac:dyDescent="0.25">
      <c r="A4" s="3243"/>
      <c r="B4" s="3703" t="s">
        <v>172</v>
      </c>
      <c r="C4" s="3703" t="s">
        <v>14</v>
      </c>
      <c r="D4" s="3704" t="s">
        <v>14</v>
      </c>
      <c r="E4" s="3705">
        <v>2024</v>
      </c>
      <c r="F4" s="3706" t="s">
        <v>14</v>
      </c>
      <c r="G4" s="3706" t="s">
        <v>14</v>
      </c>
      <c r="H4" s="3707" t="s">
        <v>14</v>
      </c>
      <c r="I4" s="3705">
        <v>2023</v>
      </c>
      <c r="J4" s="3706" t="s">
        <v>14</v>
      </c>
      <c r="K4" s="3708" t="s">
        <v>173</v>
      </c>
      <c r="L4" s="3709" t="s">
        <v>14</v>
      </c>
      <c r="M4" s="3706" t="s">
        <v>174</v>
      </c>
      <c r="N4" s="3706" t="s">
        <v>14</v>
      </c>
    </row>
    <row r="5" spans="1:14" ht="18.600000000000001" customHeight="1" x14ac:dyDescent="0.25">
      <c r="A5" s="3244" t="s">
        <v>558</v>
      </c>
      <c r="B5" s="3245" t="s">
        <v>176</v>
      </c>
      <c r="C5" s="3246" t="s">
        <v>177</v>
      </c>
      <c r="D5" s="3247" t="s">
        <v>178</v>
      </c>
      <c r="E5" s="3248" t="s">
        <v>179</v>
      </c>
      <c r="F5" s="3246" t="s">
        <v>180</v>
      </c>
      <c r="G5" s="3246" t="s">
        <v>177</v>
      </c>
      <c r="H5" s="3247" t="s">
        <v>178</v>
      </c>
      <c r="I5" s="3249" t="s">
        <v>179</v>
      </c>
      <c r="J5" s="3246" t="s">
        <v>180</v>
      </c>
      <c r="K5" s="3250" t="s">
        <v>181</v>
      </c>
      <c r="L5" s="3251">
        <v>2024</v>
      </c>
      <c r="M5" s="3252">
        <v>2024</v>
      </c>
      <c r="N5" s="3253">
        <v>2023</v>
      </c>
    </row>
    <row r="6" spans="1:14" ht="18.600000000000001" customHeight="1" x14ac:dyDescent="0.25">
      <c r="A6" s="3254" t="s">
        <v>1011</v>
      </c>
      <c r="B6" s="3255"/>
      <c r="C6" s="3256"/>
      <c r="D6" s="3257"/>
      <c r="E6" s="3258"/>
      <c r="F6" s="3255"/>
      <c r="G6" s="3255"/>
      <c r="H6" s="3257"/>
      <c r="I6" s="3259"/>
      <c r="J6" s="3260"/>
      <c r="K6" s="3261"/>
      <c r="L6" s="3262"/>
      <c r="M6" s="3263"/>
      <c r="N6" s="3260"/>
    </row>
    <row r="7" spans="1:14" ht="18.600000000000001" customHeight="1" x14ac:dyDescent="0.25">
      <c r="A7" s="3264" t="s">
        <v>1020</v>
      </c>
      <c r="B7" s="3265">
        <v>1445858</v>
      </c>
      <c r="C7" s="3266">
        <v>1468310</v>
      </c>
      <c r="D7" s="3267">
        <v>1460615</v>
      </c>
      <c r="E7" s="3268">
        <v>1418795</v>
      </c>
      <c r="F7" s="3269">
        <v>1422740</v>
      </c>
      <c r="G7" s="3269">
        <v>1411181</v>
      </c>
      <c r="H7" s="3267">
        <v>1423337</v>
      </c>
      <c r="I7" s="3268">
        <v>1410124</v>
      </c>
      <c r="J7" s="3269">
        <v>1401783</v>
      </c>
      <c r="K7" s="3270">
        <v>1458099</v>
      </c>
      <c r="L7" s="3271">
        <v>1419395</v>
      </c>
      <c r="M7" s="3269">
        <v>1419284</v>
      </c>
      <c r="N7" s="3272">
        <v>1396092</v>
      </c>
    </row>
    <row r="8" spans="1:14" ht="18.600000000000001" customHeight="1" x14ac:dyDescent="0.25">
      <c r="A8" s="3273" t="s">
        <v>1021</v>
      </c>
      <c r="B8" s="3265">
        <v>114263</v>
      </c>
      <c r="C8" s="3274">
        <v>118403</v>
      </c>
      <c r="D8" s="3275">
        <v>115155</v>
      </c>
      <c r="E8" s="3276">
        <v>106621</v>
      </c>
      <c r="F8" s="3274">
        <v>105539</v>
      </c>
      <c r="G8" s="3274">
        <v>108405</v>
      </c>
      <c r="H8" s="3275">
        <v>110932</v>
      </c>
      <c r="I8" s="3276">
        <v>116453</v>
      </c>
      <c r="J8" s="3274">
        <v>109411</v>
      </c>
      <c r="K8" s="3277">
        <v>115861</v>
      </c>
      <c r="L8" s="3278">
        <v>108556</v>
      </c>
      <c r="M8" s="3274">
        <v>108110</v>
      </c>
      <c r="N8" s="3274">
        <v>114375</v>
      </c>
    </row>
    <row r="9" spans="1:14" ht="18.600000000000001" customHeight="1" x14ac:dyDescent="0.25">
      <c r="A9" s="3273" t="s">
        <v>1022</v>
      </c>
      <c r="B9" s="3265">
        <v>1331595</v>
      </c>
      <c r="C9" s="3279">
        <v>1349907</v>
      </c>
      <c r="D9" s="3280">
        <v>1345460</v>
      </c>
      <c r="E9" s="3281">
        <v>1312174</v>
      </c>
      <c r="F9" s="3279">
        <v>1317201</v>
      </c>
      <c r="G9" s="3279">
        <v>1302776</v>
      </c>
      <c r="H9" s="3280">
        <v>1312405</v>
      </c>
      <c r="I9" s="3281">
        <v>1293671</v>
      </c>
      <c r="J9" s="3279">
        <v>1292372</v>
      </c>
      <c r="K9" s="3282">
        <v>1342238</v>
      </c>
      <c r="L9" s="3283">
        <v>1310839</v>
      </c>
      <c r="M9" s="3279">
        <v>1311174</v>
      </c>
      <c r="N9" s="3279">
        <v>1281717</v>
      </c>
    </row>
    <row r="10" spans="1:14" ht="18.600000000000001" customHeight="1" x14ac:dyDescent="0.25">
      <c r="A10" s="3273" t="s">
        <v>1023</v>
      </c>
      <c r="B10" s="3265"/>
      <c r="C10" s="3279"/>
      <c r="D10" s="3280"/>
      <c r="E10" s="3281"/>
      <c r="F10" s="3279"/>
      <c r="G10" s="3279"/>
      <c r="H10" s="3280"/>
      <c r="I10" s="3281"/>
      <c r="J10" s="3279"/>
      <c r="K10" s="3282"/>
      <c r="L10" s="3283"/>
      <c r="M10" s="3279"/>
      <c r="N10" s="3279"/>
    </row>
    <row r="11" spans="1:14" ht="18.600000000000001" customHeight="1" x14ac:dyDescent="0.25">
      <c r="A11" s="3284" t="s">
        <v>429</v>
      </c>
      <c r="B11" s="3265">
        <v>148567</v>
      </c>
      <c r="C11" s="3279">
        <v>150997</v>
      </c>
      <c r="D11" s="3280">
        <v>156540</v>
      </c>
      <c r="E11" s="3281">
        <v>145195</v>
      </c>
      <c r="F11" s="3279">
        <v>153248</v>
      </c>
      <c r="G11" s="3279">
        <v>144737</v>
      </c>
      <c r="H11" s="3280">
        <v>142014</v>
      </c>
      <c r="I11" s="3281">
        <v>126217</v>
      </c>
      <c r="J11" s="3279">
        <v>124939</v>
      </c>
      <c r="K11" s="3282">
        <v>152046</v>
      </c>
      <c r="L11" s="3283">
        <v>146680</v>
      </c>
      <c r="M11" s="3279">
        <v>146307</v>
      </c>
      <c r="N11" s="3279">
        <v>121735</v>
      </c>
    </row>
    <row r="12" spans="1:14" ht="15" customHeight="1" x14ac:dyDescent="0.25">
      <c r="A12" s="3284" t="s">
        <v>614</v>
      </c>
      <c r="B12" s="3265">
        <v>200737</v>
      </c>
      <c r="C12" s="3279">
        <v>206266</v>
      </c>
      <c r="D12" s="3280">
        <v>200930</v>
      </c>
      <c r="E12" s="3281">
        <v>196305</v>
      </c>
      <c r="F12" s="3279">
        <v>189557</v>
      </c>
      <c r="G12" s="3279">
        <v>191661</v>
      </c>
      <c r="H12" s="3280">
        <v>194807</v>
      </c>
      <c r="I12" s="3281">
        <v>196039</v>
      </c>
      <c r="J12" s="3279">
        <v>191030</v>
      </c>
      <c r="K12" s="3282">
        <v>202604</v>
      </c>
      <c r="L12" s="3283">
        <v>192011</v>
      </c>
      <c r="M12" s="3279">
        <v>193090</v>
      </c>
      <c r="N12" s="3279">
        <v>187927</v>
      </c>
    </row>
    <row r="13" spans="1:14" ht="18.600000000000001" customHeight="1" x14ac:dyDescent="0.25">
      <c r="A13" s="3284" t="s">
        <v>1024</v>
      </c>
      <c r="B13" s="3265">
        <v>36154</v>
      </c>
      <c r="C13" s="3279">
        <v>35003</v>
      </c>
      <c r="D13" s="3280">
        <v>33491</v>
      </c>
      <c r="E13" s="3281">
        <v>31292</v>
      </c>
      <c r="F13" s="3279">
        <v>49172</v>
      </c>
      <c r="G13" s="3279">
        <v>62497</v>
      </c>
      <c r="H13" s="3280">
        <v>72504</v>
      </c>
      <c r="I13" s="3281">
        <v>75526</v>
      </c>
      <c r="J13" s="3279">
        <v>75717</v>
      </c>
      <c r="K13" s="3282">
        <v>34883</v>
      </c>
      <c r="L13" s="3283">
        <v>61383</v>
      </c>
      <c r="M13" s="3279">
        <v>53819</v>
      </c>
      <c r="N13" s="3279">
        <v>73780</v>
      </c>
    </row>
    <row r="14" spans="1:14" ht="18.600000000000001" customHeight="1" x14ac:dyDescent="0.25">
      <c r="A14" s="3285" t="s">
        <v>1025</v>
      </c>
      <c r="B14" s="3265">
        <v>946137</v>
      </c>
      <c r="C14" s="3279">
        <v>957641</v>
      </c>
      <c r="D14" s="3280">
        <v>954499</v>
      </c>
      <c r="E14" s="3281">
        <v>939382</v>
      </c>
      <c r="F14" s="3279">
        <v>925224</v>
      </c>
      <c r="G14" s="3279">
        <v>903881</v>
      </c>
      <c r="H14" s="3280">
        <v>903080</v>
      </c>
      <c r="I14" s="3281">
        <v>895889</v>
      </c>
      <c r="J14" s="3279">
        <v>900686</v>
      </c>
      <c r="K14" s="3282">
        <v>952705</v>
      </c>
      <c r="L14" s="3283">
        <v>910765</v>
      </c>
      <c r="M14" s="3279">
        <v>917958</v>
      </c>
      <c r="N14" s="3279">
        <v>898275</v>
      </c>
    </row>
    <row r="15" spans="1:14" ht="18.600000000000001" customHeight="1" x14ac:dyDescent="0.25">
      <c r="A15" s="3285" t="s">
        <v>1026</v>
      </c>
      <c r="B15" s="3265">
        <v>5493</v>
      </c>
      <c r="C15" s="3279">
        <v>5270</v>
      </c>
      <c r="D15" s="3280">
        <v>5173</v>
      </c>
      <c r="E15" s="3281">
        <v>4923</v>
      </c>
      <c r="F15" s="3279">
        <v>4862</v>
      </c>
      <c r="G15" s="3279">
        <v>4694</v>
      </c>
      <c r="H15" s="3280">
        <v>4773</v>
      </c>
      <c r="I15" s="3281">
        <v>4666</v>
      </c>
      <c r="J15" s="3279">
        <v>4573</v>
      </c>
      <c r="K15" s="3282">
        <v>15936</v>
      </c>
      <c r="L15" s="3283">
        <v>14329</v>
      </c>
      <c r="M15" s="3279">
        <v>19252</v>
      </c>
      <c r="N15" s="3279">
        <v>18262</v>
      </c>
    </row>
    <row r="16" spans="1:14" ht="18.600000000000001" customHeight="1" x14ac:dyDescent="0.25">
      <c r="A16" s="3273" t="s">
        <v>1027</v>
      </c>
      <c r="B16" s="3265">
        <v>-143</v>
      </c>
      <c r="C16" s="3279">
        <v>-135</v>
      </c>
      <c r="D16" s="3280">
        <v>-200</v>
      </c>
      <c r="E16" s="3281">
        <v>-158</v>
      </c>
      <c r="F16" s="3279">
        <v>-125</v>
      </c>
      <c r="G16" s="3279">
        <v>-139</v>
      </c>
      <c r="H16" s="3280">
        <v>-198</v>
      </c>
      <c r="I16" s="3281">
        <v>-197</v>
      </c>
      <c r="J16" s="3279">
        <v>-192</v>
      </c>
      <c r="K16" s="3282">
        <v>-478</v>
      </c>
      <c r="L16" s="3283">
        <v>-462</v>
      </c>
      <c r="M16" s="3279">
        <v>-620</v>
      </c>
      <c r="N16" s="3279">
        <v>-798</v>
      </c>
    </row>
    <row r="17" spans="1:14" ht="18.600000000000001" customHeight="1" x14ac:dyDescent="0.25">
      <c r="A17" s="3285" t="s">
        <v>1028</v>
      </c>
      <c r="B17" s="3265">
        <v>5636</v>
      </c>
      <c r="C17" s="3279">
        <v>5405</v>
      </c>
      <c r="D17" s="3280">
        <v>5373</v>
      </c>
      <c r="E17" s="3281">
        <v>5081</v>
      </c>
      <c r="F17" s="3279">
        <v>4987</v>
      </c>
      <c r="G17" s="3279">
        <v>4833</v>
      </c>
      <c r="H17" s="3280">
        <v>4971</v>
      </c>
      <c r="I17" s="3281">
        <v>4863</v>
      </c>
      <c r="J17" s="3279">
        <v>4765</v>
      </c>
      <c r="K17" s="3282">
        <v>16414</v>
      </c>
      <c r="L17" s="3283">
        <v>14791</v>
      </c>
      <c r="M17" s="3279">
        <v>19872</v>
      </c>
      <c r="N17" s="3279">
        <v>19060</v>
      </c>
    </row>
    <row r="18" spans="1:14" ht="18.600000000000001" customHeight="1" x14ac:dyDescent="0.25">
      <c r="A18" s="3285" t="s">
        <v>1029</v>
      </c>
      <c r="B18" s="3286">
        <v>2.36</v>
      </c>
      <c r="C18" s="3287">
        <v>2.31</v>
      </c>
      <c r="D18" s="3288">
        <v>2.23</v>
      </c>
      <c r="E18" s="3289">
        <v>2.15</v>
      </c>
      <c r="F18" s="3287">
        <v>2.14</v>
      </c>
      <c r="G18" s="3287">
        <v>2.17</v>
      </c>
      <c r="H18" s="3288">
        <v>2.19</v>
      </c>
      <c r="I18" s="3289">
        <v>2.15</v>
      </c>
      <c r="J18" s="3287">
        <v>2.1</v>
      </c>
      <c r="K18" s="3290">
        <v>2.2999999999999998</v>
      </c>
      <c r="L18" s="3291">
        <v>2.17</v>
      </c>
      <c r="M18" s="3290">
        <v>2.16</v>
      </c>
      <c r="N18" s="3290">
        <v>2.12</v>
      </c>
    </row>
    <row r="19" spans="1:14" ht="9" customHeight="1" x14ac:dyDescent="0.25">
      <c r="A19" s="3284"/>
      <c r="B19" s="3265"/>
      <c r="C19" s="3279"/>
      <c r="D19" s="3292"/>
      <c r="E19" s="3281"/>
      <c r="F19" s="3279"/>
      <c r="G19" s="3279"/>
      <c r="H19" s="3292"/>
      <c r="I19" s="3281"/>
      <c r="J19" s="3279"/>
      <c r="K19" s="3282"/>
      <c r="L19" s="3283"/>
      <c r="M19" s="3279"/>
      <c r="N19" s="3279"/>
    </row>
    <row r="20" spans="1:14" ht="18.600000000000001" customHeight="1" x14ac:dyDescent="0.25">
      <c r="A20" s="3254" t="s">
        <v>1014</v>
      </c>
      <c r="B20" s="3256"/>
      <c r="C20" s="3255"/>
      <c r="D20" s="3257"/>
      <c r="E20" s="3258"/>
      <c r="F20" s="3255"/>
      <c r="G20" s="3255"/>
      <c r="H20" s="3257"/>
      <c r="I20" s="3259"/>
      <c r="J20" s="3260"/>
      <c r="K20" s="3261"/>
      <c r="L20" s="3262"/>
      <c r="M20" s="3263"/>
      <c r="N20" s="3260"/>
    </row>
    <row r="21" spans="1:14" ht="18.600000000000001" customHeight="1" x14ac:dyDescent="0.25">
      <c r="A21" s="3264" t="s">
        <v>1020</v>
      </c>
      <c r="B21" s="3293">
        <v>463108</v>
      </c>
      <c r="C21" s="3269">
        <v>461444</v>
      </c>
      <c r="D21" s="3267">
        <v>459895</v>
      </c>
      <c r="E21" s="3268">
        <v>456806</v>
      </c>
      <c r="F21" s="3269">
        <v>451194</v>
      </c>
      <c r="G21" s="3269">
        <v>444923</v>
      </c>
      <c r="H21" s="3267">
        <v>444856</v>
      </c>
      <c r="I21" s="3276">
        <v>447390</v>
      </c>
      <c r="J21" s="3269">
        <v>450192</v>
      </c>
      <c r="K21" s="3270">
        <v>461483</v>
      </c>
      <c r="L21" s="3271">
        <v>447006</v>
      </c>
      <c r="M21" s="3269">
        <v>449469</v>
      </c>
      <c r="N21" s="3272">
        <v>449555</v>
      </c>
    </row>
    <row r="22" spans="1:14" ht="18.600000000000001" customHeight="1" x14ac:dyDescent="0.25">
      <c r="A22" s="3273" t="s">
        <v>1021</v>
      </c>
      <c r="B22" s="3294">
        <v>4681</v>
      </c>
      <c r="C22" s="3274">
        <v>4607</v>
      </c>
      <c r="D22" s="3275">
        <v>4753</v>
      </c>
      <c r="E22" s="3276">
        <v>4756</v>
      </c>
      <c r="F22" s="3274">
        <v>4313</v>
      </c>
      <c r="G22" s="3274">
        <v>4191</v>
      </c>
      <c r="H22" s="3275">
        <v>4312</v>
      </c>
      <c r="I22" s="3281">
        <v>4080</v>
      </c>
      <c r="J22" s="3274">
        <v>4066</v>
      </c>
      <c r="K22" s="3277">
        <v>4681</v>
      </c>
      <c r="L22" s="3278">
        <v>4272</v>
      </c>
      <c r="M22" s="3274">
        <v>4393</v>
      </c>
      <c r="N22" s="3274">
        <v>4035</v>
      </c>
    </row>
    <row r="23" spans="1:14" ht="18.600000000000001" customHeight="1" x14ac:dyDescent="0.25">
      <c r="A23" s="3273" t="s">
        <v>1022</v>
      </c>
      <c r="B23" s="3265">
        <v>458427</v>
      </c>
      <c r="C23" s="3279">
        <v>456837</v>
      </c>
      <c r="D23" s="3280">
        <v>455142</v>
      </c>
      <c r="E23" s="3281">
        <v>452050</v>
      </c>
      <c r="F23" s="3279">
        <v>446881</v>
      </c>
      <c r="G23" s="3279">
        <v>440732</v>
      </c>
      <c r="H23" s="3280">
        <v>440544</v>
      </c>
      <c r="I23" s="3281">
        <v>443310</v>
      </c>
      <c r="J23" s="3279">
        <v>446126</v>
      </c>
      <c r="K23" s="3282">
        <v>456802</v>
      </c>
      <c r="L23" s="3283">
        <v>442734</v>
      </c>
      <c r="M23" s="3279">
        <v>445076</v>
      </c>
      <c r="N23" s="3279">
        <v>445520</v>
      </c>
    </row>
    <row r="24" spans="1:14" ht="18.600000000000001" customHeight="1" x14ac:dyDescent="0.25">
      <c r="A24" s="3273" t="s">
        <v>1023</v>
      </c>
      <c r="B24" s="3265"/>
      <c r="C24" s="3279"/>
      <c r="D24" s="3280"/>
      <c r="E24" s="3281"/>
      <c r="F24" s="3279"/>
      <c r="G24" s="3279"/>
      <c r="H24" s="3280"/>
      <c r="I24" s="3281"/>
      <c r="J24" s="3279"/>
      <c r="K24" s="3282"/>
      <c r="L24" s="3283"/>
      <c r="M24" s="3279"/>
      <c r="N24" s="3279"/>
    </row>
    <row r="25" spans="1:14" ht="18.600000000000001" customHeight="1" x14ac:dyDescent="0.25">
      <c r="A25" s="3284" t="s">
        <v>1024</v>
      </c>
      <c r="B25" s="3265">
        <v>181</v>
      </c>
      <c r="C25" s="3279">
        <v>179</v>
      </c>
      <c r="D25" s="3280">
        <v>187</v>
      </c>
      <c r="E25" s="3281">
        <v>1187</v>
      </c>
      <c r="F25" s="3279">
        <v>13197</v>
      </c>
      <c r="G25" s="3279">
        <v>22421</v>
      </c>
      <c r="H25" s="3280">
        <v>28843</v>
      </c>
      <c r="I25" s="3281">
        <v>31010</v>
      </c>
      <c r="J25" s="3279">
        <v>30123</v>
      </c>
      <c r="K25" s="3282">
        <v>183</v>
      </c>
      <c r="L25" s="3283">
        <v>21481</v>
      </c>
      <c r="M25" s="3279">
        <v>16380</v>
      </c>
      <c r="N25" s="3279">
        <v>29273</v>
      </c>
    </row>
    <row r="26" spans="1:14" ht="18.600000000000001" customHeight="1" x14ac:dyDescent="0.25">
      <c r="A26" s="3285" t="s">
        <v>1025</v>
      </c>
      <c r="B26" s="3265">
        <v>458246</v>
      </c>
      <c r="C26" s="3279">
        <v>456658</v>
      </c>
      <c r="D26" s="3280">
        <v>454955</v>
      </c>
      <c r="E26" s="3281">
        <v>450863</v>
      </c>
      <c r="F26" s="3279">
        <v>433684</v>
      </c>
      <c r="G26" s="3279">
        <v>418311</v>
      </c>
      <c r="H26" s="3280">
        <v>411701</v>
      </c>
      <c r="I26" s="3281">
        <v>412300</v>
      </c>
      <c r="J26" s="3279">
        <v>416003</v>
      </c>
      <c r="K26" s="3282">
        <v>456619</v>
      </c>
      <c r="L26" s="3283">
        <v>421253</v>
      </c>
      <c r="M26" s="3279">
        <v>428696</v>
      </c>
      <c r="N26" s="3279">
        <v>416247</v>
      </c>
    </row>
    <row r="27" spans="1:14" ht="18.600000000000001" customHeight="1" x14ac:dyDescent="0.25">
      <c r="A27" s="3285" t="s">
        <v>1026</v>
      </c>
      <c r="B27" s="3265">
        <v>2641</v>
      </c>
      <c r="C27" s="3279">
        <v>2524</v>
      </c>
      <c r="D27" s="3280">
        <v>2647</v>
      </c>
      <c r="E27" s="3281">
        <v>2635</v>
      </c>
      <c r="F27" s="3279">
        <v>2577</v>
      </c>
      <c r="G27" s="3279">
        <v>2482</v>
      </c>
      <c r="H27" s="3280">
        <v>2491</v>
      </c>
      <c r="I27" s="3281">
        <v>2455</v>
      </c>
      <c r="J27" s="3279">
        <v>2361</v>
      </c>
      <c r="K27" s="3282">
        <v>7812</v>
      </c>
      <c r="L27" s="3283">
        <v>7550</v>
      </c>
      <c r="M27" s="3279">
        <v>10185</v>
      </c>
      <c r="N27" s="3279">
        <v>9375</v>
      </c>
    </row>
    <row r="28" spans="1:14" ht="18.600000000000001" customHeight="1" x14ac:dyDescent="0.25">
      <c r="A28" s="3273" t="s">
        <v>1027</v>
      </c>
      <c r="B28" s="3265">
        <v>0</v>
      </c>
      <c r="C28" s="3279">
        <v>0</v>
      </c>
      <c r="D28" s="3280">
        <v>0</v>
      </c>
      <c r="E28" s="3281">
        <v>2</v>
      </c>
      <c r="F28" s="3279">
        <v>0</v>
      </c>
      <c r="G28" s="3279">
        <v>0</v>
      </c>
      <c r="H28" s="3280">
        <v>0</v>
      </c>
      <c r="I28" s="3281">
        <v>0</v>
      </c>
      <c r="J28" s="3279">
        <v>0</v>
      </c>
      <c r="K28" s="3282">
        <v>0</v>
      </c>
      <c r="L28" s="3283">
        <v>0</v>
      </c>
      <c r="M28" s="3279">
        <v>2</v>
      </c>
      <c r="N28" s="3279">
        <v>0</v>
      </c>
    </row>
    <row r="29" spans="1:14" ht="18.600000000000001" customHeight="1" x14ac:dyDescent="0.25">
      <c r="A29" s="3285" t="s">
        <v>1028</v>
      </c>
      <c r="B29" s="3265">
        <v>2641</v>
      </c>
      <c r="C29" s="3279">
        <v>2524</v>
      </c>
      <c r="D29" s="3280">
        <v>2647</v>
      </c>
      <c r="E29" s="3281">
        <v>2633</v>
      </c>
      <c r="F29" s="3279">
        <v>2577</v>
      </c>
      <c r="G29" s="3279">
        <v>2482</v>
      </c>
      <c r="H29" s="3280">
        <v>2491</v>
      </c>
      <c r="I29" s="3281">
        <v>2455</v>
      </c>
      <c r="J29" s="3279">
        <v>2361</v>
      </c>
      <c r="K29" s="3282">
        <v>7812</v>
      </c>
      <c r="L29" s="3283">
        <v>7550</v>
      </c>
      <c r="M29" s="3279">
        <v>10183</v>
      </c>
      <c r="N29" s="3279">
        <v>9375</v>
      </c>
    </row>
    <row r="30" spans="1:14" ht="18.600000000000001" customHeight="1" x14ac:dyDescent="0.25">
      <c r="A30" s="3285" t="s">
        <v>1029</v>
      </c>
      <c r="B30" s="3286">
        <v>2.29</v>
      </c>
      <c r="C30" s="3287">
        <v>2.27</v>
      </c>
      <c r="D30" s="3295">
        <v>2.31</v>
      </c>
      <c r="E30" s="3296">
        <v>2.3199999999999998</v>
      </c>
      <c r="F30" s="3287">
        <v>2.36</v>
      </c>
      <c r="G30" s="3287">
        <v>2.41</v>
      </c>
      <c r="H30" s="3295">
        <v>2.41</v>
      </c>
      <c r="I30" s="3289">
        <v>2.36</v>
      </c>
      <c r="J30" s="3287">
        <v>2.25</v>
      </c>
      <c r="K30" s="3297">
        <v>2.29</v>
      </c>
      <c r="L30" s="3298">
        <v>2.39</v>
      </c>
      <c r="M30" s="3287">
        <v>2.38</v>
      </c>
      <c r="N30" s="3290">
        <v>2.25</v>
      </c>
    </row>
    <row r="31" spans="1:14" ht="9" customHeight="1" x14ac:dyDescent="0.25">
      <c r="A31" s="3299"/>
      <c r="B31" s="3265"/>
      <c r="C31" s="3279"/>
      <c r="D31" s="3292"/>
      <c r="E31" s="3281"/>
      <c r="F31" s="3279"/>
      <c r="G31" s="3279"/>
      <c r="H31" s="3292"/>
      <c r="I31" s="3281"/>
      <c r="J31" s="3279"/>
      <c r="K31" s="3282"/>
      <c r="L31" s="3283"/>
      <c r="M31" s="3279"/>
      <c r="N31" s="3279"/>
    </row>
    <row r="32" spans="1:14" ht="18.600000000000001" customHeight="1" x14ac:dyDescent="0.25">
      <c r="A32" s="3254" t="s">
        <v>1015</v>
      </c>
      <c r="B32" s="3256"/>
      <c r="C32" s="3255"/>
      <c r="D32" s="3257"/>
      <c r="E32" s="3258"/>
      <c r="F32" s="3255"/>
      <c r="G32" s="3255"/>
      <c r="H32" s="3257"/>
      <c r="I32" s="3259"/>
      <c r="J32" s="3260"/>
      <c r="K32" s="3261"/>
      <c r="L32" s="3262"/>
      <c r="M32" s="3263"/>
      <c r="N32" s="3260"/>
    </row>
    <row r="33" spans="1:14" ht="18.600000000000001" customHeight="1" x14ac:dyDescent="0.25">
      <c r="A33" s="3264" t="s">
        <v>1020</v>
      </c>
      <c r="B33" s="3265">
        <v>223347</v>
      </c>
      <c r="C33" s="3269">
        <v>229118</v>
      </c>
      <c r="D33" s="3267">
        <v>228877</v>
      </c>
      <c r="E33" s="3300">
        <v>223525</v>
      </c>
      <c r="F33" s="3269">
        <v>232609</v>
      </c>
      <c r="G33" s="3269">
        <v>234305</v>
      </c>
      <c r="H33" s="3267">
        <v>235485</v>
      </c>
      <c r="I33" s="3268">
        <v>237210</v>
      </c>
      <c r="J33" s="3269">
        <v>240250</v>
      </c>
      <c r="K33" s="3301">
        <v>227092</v>
      </c>
      <c r="L33" s="3302">
        <v>234120</v>
      </c>
      <c r="M33" s="3272">
        <v>231456</v>
      </c>
      <c r="N33" s="3272">
        <v>235545</v>
      </c>
    </row>
    <row r="34" spans="1:14" ht="18.600000000000001" customHeight="1" x14ac:dyDescent="0.25">
      <c r="A34" s="3273" t="s">
        <v>1021</v>
      </c>
      <c r="B34" s="3265">
        <v>13442</v>
      </c>
      <c r="C34" s="3274">
        <v>13917</v>
      </c>
      <c r="D34" s="3303">
        <v>14883</v>
      </c>
      <c r="E34" s="3276">
        <v>14973</v>
      </c>
      <c r="F34" s="3274">
        <v>15326</v>
      </c>
      <c r="G34" s="3274">
        <v>16554</v>
      </c>
      <c r="H34" s="3303">
        <v>16956</v>
      </c>
      <c r="I34" s="3276">
        <v>18916</v>
      </c>
      <c r="J34" s="3274">
        <v>19610</v>
      </c>
      <c r="K34" s="3277">
        <v>14082</v>
      </c>
      <c r="L34" s="3278">
        <v>16277</v>
      </c>
      <c r="M34" s="3274">
        <v>15949</v>
      </c>
      <c r="N34" s="3274">
        <v>19414</v>
      </c>
    </row>
    <row r="35" spans="1:14" ht="18.600000000000001" customHeight="1" x14ac:dyDescent="0.25">
      <c r="A35" s="3273" t="s">
        <v>1022</v>
      </c>
      <c r="B35" s="3265">
        <v>209905</v>
      </c>
      <c r="C35" s="3279">
        <v>215201</v>
      </c>
      <c r="D35" s="3280">
        <v>213994</v>
      </c>
      <c r="E35" s="3281">
        <v>208552</v>
      </c>
      <c r="F35" s="3279">
        <v>217283</v>
      </c>
      <c r="G35" s="3279">
        <v>217751</v>
      </c>
      <c r="H35" s="3280">
        <v>218529</v>
      </c>
      <c r="I35" s="3281">
        <v>218294</v>
      </c>
      <c r="J35" s="3279">
        <v>220640</v>
      </c>
      <c r="K35" s="3282">
        <v>213010</v>
      </c>
      <c r="L35" s="3283">
        <v>217843</v>
      </c>
      <c r="M35" s="3279">
        <v>215507</v>
      </c>
      <c r="N35" s="3279">
        <v>216131</v>
      </c>
    </row>
    <row r="36" spans="1:14" ht="18.600000000000001" customHeight="1" x14ac:dyDescent="0.25">
      <c r="A36" s="3273" t="s">
        <v>1023</v>
      </c>
      <c r="B36" s="3265"/>
      <c r="C36" s="3279"/>
      <c r="D36" s="3280"/>
      <c r="E36" s="3281"/>
      <c r="F36" s="3279"/>
      <c r="G36" s="3279"/>
      <c r="H36" s="3280"/>
      <c r="I36" s="3281"/>
      <c r="J36" s="3279"/>
      <c r="K36" s="3282"/>
      <c r="L36" s="3283"/>
      <c r="M36" s="3279"/>
      <c r="N36" s="3279"/>
    </row>
    <row r="37" spans="1:14" ht="18.600000000000001" customHeight="1" x14ac:dyDescent="0.25">
      <c r="A37" s="3284" t="s">
        <v>429</v>
      </c>
      <c r="B37" s="3265">
        <v>6147</v>
      </c>
      <c r="C37" s="3279">
        <v>6438</v>
      </c>
      <c r="D37" s="3280">
        <v>6408</v>
      </c>
      <c r="E37" s="3281">
        <v>5549</v>
      </c>
      <c r="F37" s="3279">
        <v>6771</v>
      </c>
      <c r="G37" s="3279">
        <v>6534</v>
      </c>
      <c r="H37" s="3280">
        <v>6778</v>
      </c>
      <c r="I37" s="3281">
        <v>6611</v>
      </c>
      <c r="J37" s="3279">
        <v>6271</v>
      </c>
      <c r="K37" s="3282">
        <v>6330</v>
      </c>
      <c r="L37" s="3283">
        <v>6695</v>
      </c>
      <c r="M37" s="3279">
        <v>6407</v>
      </c>
      <c r="N37" s="3279">
        <v>6018</v>
      </c>
    </row>
    <row r="38" spans="1:14" ht="15" customHeight="1" x14ac:dyDescent="0.25">
      <c r="A38" s="3284" t="s">
        <v>614</v>
      </c>
      <c r="B38" s="3265">
        <v>3699</v>
      </c>
      <c r="C38" s="3279">
        <v>4243</v>
      </c>
      <c r="D38" s="3280">
        <v>4195</v>
      </c>
      <c r="E38" s="3281">
        <v>4070</v>
      </c>
      <c r="F38" s="3279">
        <v>4442</v>
      </c>
      <c r="G38" s="3279">
        <v>4314</v>
      </c>
      <c r="H38" s="3280">
        <v>3431</v>
      </c>
      <c r="I38" s="3281">
        <v>3467</v>
      </c>
      <c r="J38" s="3279">
        <v>3493</v>
      </c>
      <c r="K38" s="3282">
        <v>4044</v>
      </c>
      <c r="L38" s="3283">
        <v>4061</v>
      </c>
      <c r="M38" s="3279">
        <v>4063</v>
      </c>
      <c r="N38" s="3279">
        <v>3218</v>
      </c>
    </row>
    <row r="39" spans="1:14" ht="18.600000000000001" customHeight="1" x14ac:dyDescent="0.25">
      <c r="A39" s="3284" t="s">
        <v>1024</v>
      </c>
      <c r="B39" s="3265">
        <v>7346</v>
      </c>
      <c r="C39" s="3279">
        <v>7413</v>
      </c>
      <c r="D39" s="3280">
        <v>6612</v>
      </c>
      <c r="E39" s="3281">
        <v>6369</v>
      </c>
      <c r="F39" s="3279">
        <v>6841</v>
      </c>
      <c r="G39" s="3279">
        <v>6661</v>
      </c>
      <c r="H39" s="3280">
        <v>6768</v>
      </c>
      <c r="I39" s="3281">
        <v>6909</v>
      </c>
      <c r="J39" s="3279">
        <v>6767</v>
      </c>
      <c r="K39" s="3282">
        <v>7120</v>
      </c>
      <c r="L39" s="3283">
        <v>6758</v>
      </c>
      <c r="M39" s="3279">
        <v>6660</v>
      </c>
      <c r="N39" s="3279">
        <v>6562</v>
      </c>
    </row>
    <row r="40" spans="1:14" ht="18.600000000000001" customHeight="1" x14ac:dyDescent="0.25">
      <c r="A40" s="3285" t="s">
        <v>1025</v>
      </c>
      <c r="B40" s="3265">
        <v>192713</v>
      </c>
      <c r="C40" s="3279">
        <v>197107</v>
      </c>
      <c r="D40" s="3280">
        <v>196779</v>
      </c>
      <c r="E40" s="3281">
        <v>192564</v>
      </c>
      <c r="F40" s="3279">
        <v>199229</v>
      </c>
      <c r="G40" s="3279">
        <v>200242</v>
      </c>
      <c r="H40" s="3280">
        <v>201552</v>
      </c>
      <c r="I40" s="3281">
        <v>201307</v>
      </c>
      <c r="J40" s="3279">
        <v>204109</v>
      </c>
      <c r="K40" s="3282">
        <v>195516</v>
      </c>
      <c r="L40" s="3283">
        <v>200329</v>
      </c>
      <c r="M40" s="3279">
        <v>198377</v>
      </c>
      <c r="N40" s="3279">
        <v>200333</v>
      </c>
    </row>
    <row r="41" spans="1:14" ht="18.600000000000001" customHeight="1" x14ac:dyDescent="0.25">
      <c r="A41" s="3285" t="s">
        <v>1026</v>
      </c>
      <c r="B41" s="3265">
        <v>2245</v>
      </c>
      <c r="C41" s="3279">
        <v>2179</v>
      </c>
      <c r="D41" s="3280">
        <v>2169</v>
      </c>
      <c r="E41" s="3281">
        <v>2147</v>
      </c>
      <c r="F41" s="3279">
        <v>2226</v>
      </c>
      <c r="G41" s="3279">
        <v>2254</v>
      </c>
      <c r="H41" s="3280">
        <v>2240</v>
      </c>
      <c r="I41" s="3281">
        <v>2125</v>
      </c>
      <c r="J41" s="3279">
        <v>2106</v>
      </c>
      <c r="K41" s="3282">
        <v>6593</v>
      </c>
      <c r="L41" s="3283">
        <v>6720</v>
      </c>
      <c r="M41" s="3279">
        <v>8867</v>
      </c>
      <c r="N41" s="3279">
        <v>8110</v>
      </c>
    </row>
    <row r="42" spans="1:14" ht="18.600000000000001" customHeight="1" x14ac:dyDescent="0.25">
      <c r="A42" s="3273" t="s">
        <v>1027</v>
      </c>
      <c r="B42" s="3265">
        <v>38</v>
      </c>
      <c r="C42" s="3279">
        <v>17</v>
      </c>
      <c r="D42" s="3280">
        <v>-12</v>
      </c>
      <c r="E42" s="3281">
        <v>10</v>
      </c>
      <c r="F42" s="3279">
        <v>19</v>
      </c>
      <c r="G42" s="3279">
        <v>58</v>
      </c>
      <c r="H42" s="3280">
        <v>36</v>
      </c>
      <c r="I42" s="3281">
        <v>14</v>
      </c>
      <c r="J42" s="3279">
        <v>8</v>
      </c>
      <c r="K42" s="3282">
        <v>43</v>
      </c>
      <c r="L42" s="3283">
        <v>113</v>
      </c>
      <c r="M42" s="3279">
        <v>123</v>
      </c>
      <c r="N42" s="3279">
        <v>-60</v>
      </c>
    </row>
    <row r="43" spans="1:14" ht="18.600000000000001" customHeight="1" x14ac:dyDescent="0.25">
      <c r="A43" s="3285" t="s">
        <v>1028</v>
      </c>
      <c r="B43" s="3265">
        <v>2207</v>
      </c>
      <c r="C43" s="3279">
        <v>2162</v>
      </c>
      <c r="D43" s="3280">
        <v>2181</v>
      </c>
      <c r="E43" s="3281">
        <v>2137</v>
      </c>
      <c r="F43" s="3279">
        <v>2207</v>
      </c>
      <c r="G43" s="3279">
        <v>2196</v>
      </c>
      <c r="H43" s="3280">
        <v>2204</v>
      </c>
      <c r="I43" s="3281">
        <v>2111</v>
      </c>
      <c r="J43" s="3279">
        <v>2098</v>
      </c>
      <c r="K43" s="3282">
        <v>6550</v>
      </c>
      <c r="L43" s="3283">
        <v>6607</v>
      </c>
      <c r="M43" s="3279">
        <v>8744</v>
      </c>
      <c r="N43" s="3279">
        <v>8170</v>
      </c>
    </row>
    <row r="44" spans="1:14" ht="18.600000000000001" customHeight="1" x14ac:dyDescent="0.25">
      <c r="A44" s="3304" t="s">
        <v>1029</v>
      </c>
      <c r="B44" s="3305">
        <v>4.54</v>
      </c>
      <c r="C44" s="3306">
        <v>4.5</v>
      </c>
      <c r="D44" s="3307">
        <v>4.4000000000000004</v>
      </c>
      <c r="E44" s="3308">
        <v>4.42</v>
      </c>
      <c r="F44" s="3306">
        <v>4.41</v>
      </c>
      <c r="G44" s="3306">
        <v>4.46</v>
      </c>
      <c r="H44" s="3307">
        <v>4.3499999999999996</v>
      </c>
      <c r="I44" s="3308">
        <v>4.16</v>
      </c>
      <c r="J44" s="3306">
        <v>4.08</v>
      </c>
      <c r="K44" s="3309">
        <v>4.4800000000000004</v>
      </c>
      <c r="L44" s="3310">
        <v>4.41</v>
      </c>
      <c r="M44" s="3306">
        <v>4.41</v>
      </c>
      <c r="N44" s="3306">
        <v>4.08</v>
      </c>
    </row>
    <row r="45" spans="1:14" ht="14.25" customHeight="1" x14ac:dyDescent="0.25">
      <c r="A45" s="3311"/>
      <c r="B45" s="3311"/>
      <c r="C45" s="3311"/>
      <c r="D45" s="3311"/>
      <c r="E45" s="3311"/>
      <c r="F45" s="3311"/>
      <c r="G45" s="3311"/>
      <c r="H45" s="3311"/>
      <c r="I45" s="3311"/>
      <c r="J45" s="3311"/>
      <c r="K45" s="3311"/>
      <c r="L45" s="3311"/>
      <c r="M45" s="3311"/>
      <c r="N45" s="3311"/>
    </row>
    <row r="46" spans="1:14" ht="14.25" customHeight="1" x14ac:dyDescent="0.25">
      <c r="A46" s="3312" t="s">
        <v>1030</v>
      </c>
      <c r="B46" s="3312"/>
      <c r="C46" s="3312"/>
      <c r="D46" s="3313"/>
      <c r="E46" s="3313"/>
      <c r="F46" s="3313"/>
      <c r="G46" s="3313"/>
      <c r="H46" s="3313"/>
      <c r="I46" s="3313"/>
      <c r="J46" s="3313"/>
      <c r="K46" s="3313"/>
      <c r="L46" s="3313"/>
      <c r="M46" s="3313"/>
      <c r="N46" s="3313"/>
    </row>
    <row r="47" spans="1:14" ht="14.25" customHeight="1" x14ac:dyDescent="0.25">
      <c r="A47" s="3312" t="s">
        <v>1031</v>
      </c>
      <c r="B47" s="3312"/>
      <c r="C47" s="3312"/>
      <c r="D47" s="3313"/>
      <c r="E47" s="3313"/>
      <c r="F47" s="3313"/>
      <c r="G47" s="3313"/>
      <c r="H47" s="3313"/>
      <c r="I47" s="3313"/>
      <c r="J47" s="3313"/>
      <c r="K47" s="3313"/>
      <c r="L47" s="3313"/>
      <c r="M47" s="3313"/>
      <c r="N47" s="3313"/>
    </row>
  </sheetData>
  <mergeCells count="7">
    <mergeCell ref="A2:N2"/>
    <mergeCell ref="A3:N3"/>
    <mergeCell ref="B4:D4"/>
    <mergeCell ref="E4:H4"/>
    <mergeCell ref="I4:J4"/>
    <mergeCell ref="K4:L4"/>
    <mergeCell ref="M4:N4"/>
  </mergeCells>
  <hyperlinks>
    <hyperlink ref="A1" location="ToC!A2" display="Back to Table of Contents" xr:uid="{FE264798-5F78-4BA6-BEEC-01ED1E35C6D9}"/>
  </hyperlinks>
  <pageMargins left="0.5" right="0.5" top="0.5" bottom="0.5" header="0.25" footer="0.25"/>
  <pageSetup scale="46" orientation="landscape" r:id="rId1"/>
  <headerFooter>
    <oddFooter>&amp;L&amp;G&amp;C&amp;"Scotia,Regular"&amp;9Supplementary Financial Information (SFI)&amp;R34&amp;"Scotia,Regular"&amp;7</oddFooter>
  </headerFooter>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EC11-E670-4C65-B9F3-A992F2CD5D92}">
  <sheetPr>
    <pageSetUpPr fitToPage="1"/>
  </sheetPr>
  <dimension ref="A1:N53"/>
  <sheetViews>
    <sheetView showGridLines="0" zoomScaleNormal="100" workbookViewId="0"/>
  </sheetViews>
  <sheetFormatPr defaultColWidth="8.77734375" defaultRowHeight="13.2" x14ac:dyDescent="0.25"/>
  <cols>
    <col min="1" max="1" width="70.77734375" style="22" customWidth="1"/>
    <col min="2" max="14" width="14.21875" style="22" customWidth="1"/>
    <col min="15" max="16384" width="8.77734375" style="22"/>
  </cols>
  <sheetData>
    <row r="1" spans="1:14" ht="19.95" customHeight="1" x14ac:dyDescent="0.25">
      <c r="A1" s="21" t="s">
        <v>12</v>
      </c>
    </row>
    <row r="2" spans="1:14" ht="25.05" customHeight="1" x14ac:dyDescent="0.25">
      <c r="A2" s="3710" t="s">
        <v>938</v>
      </c>
      <c r="B2" s="3710" t="s">
        <v>14</v>
      </c>
      <c r="C2" s="3710" t="s">
        <v>14</v>
      </c>
      <c r="D2" s="3710" t="s">
        <v>14</v>
      </c>
      <c r="E2" s="3710" t="s">
        <v>14</v>
      </c>
      <c r="F2" s="3710" t="s">
        <v>14</v>
      </c>
      <c r="G2" s="3710" t="s">
        <v>14</v>
      </c>
      <c r="H2" s="3710" t="s">
        <v>14</v>
      </c>
      <c r="I2" s="3710" t="s">
        <v>14</v>
      </c>
      <c r="J2" s="3710" t="s">
        <v>14</v>
      </c>
      <c r="K2" s="3710" t="s">
        <v>14</v>
      </c>
      <c r="L2" s="3710" t="s">
        <v>14</v>
      </c>
      <c r="M2" s="3710" t="s">
        <v>14</v>
      </c>
      <c r="N2" s="3710" t="s">
        <v>14</v>
      </c>
    </row>
    <row r="3" spans="1:14" ht="15.6" customHeight="1" x14ac:dyDescent="0.25">
      <c r="A3" s="3711" t="s">
        <v>1032</v>
      </c>
      <c r="B3" s="3711" t="s">
        <v>14</v>
      </c>
      <c r="C3" s="3711" t="s">
        <v>14</v>
      </c>
      <c r="D3" s="3711" t="s">
        <v>14</v>
      </c>
      <c r="E3" s="3711" t="s">
        <v>14</v>
      </c>
      <c r="F3" s="3711" t="s">
        <v>14</v>
      </c>
      <c r="G3" s="3711" t="s">
        <v>14</v>
      </c>
      <c r="H3" s="3711" t="s">
        <v>14</v>
      </c>
      <c r="I3" s="3711" t="s">
        <v>14</v>
      </c>
      <c r="J3" s="3711" t="s">
        <v>14</v>
      </c>
      <c r="K3" s="3711" t="s">
        <v>14</v>
      </c>
      <c r="L3" s="3711" t="s">
        <v>14</v>
      </c>
      <c r="M3" s="3711" t="s">
        <v>14</v>
      </c>
      <c r="N3" s="3711" t="s">
        <v>14</v>
      </c>
    </row>
    <row r="4" spans="1:14" ht="18.45" customHeight="1" x14ac:dyDescent="0.25">
      <c r="A4" s="3314"/>
      <c r="B4" s="3712" t="s">
        <v>181</v>
      </c>
      <c r="C4" s="3712" t="s">
        <v>14</v>
      </c>
      <c r="D4" s="3713" t="s">
        <v>14</v>
      </c>
      <c r="E4" s="3714">
        <v>2024</v>
      </c>
      <c r="F4" s="3712" t="s">
        <v>14</v>
      </c>
      <c r="G4" s="3712" t="s">
        <v>14</v>
      </c>
      <c r="H4" s="3715" t="s">
        <v>14</v>
      </c>
      <c r="I4" s="3714">
        <v>2023</v>
      </c>
      <c r="J4" s="3712" t="s">
        <v>14</v>
      </c>
      <c r="K4" s="3716" t="s">
        <v>173</v>
      </c>
      <c r="L4" s="3717" t="s">
        <v>14</v>
      </c>
      <c r="M4" s="3712" t="s">
        <v>174</v>
      </c>
      <c r="N4" s="3712" t="s">
        <v>14</v>
      </c>
    </row>
    <row r="5" spans="1:14" ht="18.45" customHeight="1" x14ac:dyDescent="0.25">
      <c r="A5" s="3315" t="s">
        <v>558</v>
      </c>
      <c r="B5" s="3316" t="s">
        <v>176</v>
      </c>
      <c r="C5" s="3317" t="s">
        <v>177</v>
      </c>
      <c r="D5" s="3318" t="s">
        <v>178</v>
      </c>
      <c r="E5" s="3319" t="s">
        <v>179</v>
      </c>
      <c r="F5" s="3317" t="s">
        <v>180</v>
      </c>
      <c r="G5" s="3317" t="s">
        <v>177</v>
      </c>
      <c r="H5" s="3320" t="s">
        <v>178</v>
      </c>
      <c r="I5" s="3321" t="s">
        <v>179</v>
      </c>
      <c r="J5" s="3317" t="s">
        <v>180</v>
      </c>
      <c r="K5" s="3322" t="s">
        <v>181</v>
      </c>
      <c r="L5" s="3323">
        <v>2024</v>
      </c>
      <c r="M5" s="3324">
        <v>2024</v>
      </c>
      <c r="N5" s="3325">
        <v>2023</v>
      </c>
    </row>
    <row r="6" spans="1:14" ht="18.45" customHeight="1" x14ac:dyDescent="0.25">
      <c r="A6" s="3326" t="s">
        <v>1033</v>
      </c>
      <c r="B6" s="3327"/>
      <c r="C6" s="3327"/>
      <c r="D6" s="3328"/>
      <c r="E6" s="3329"/>
      <c r="F6" s="3330"/>
      <c r="G6" s="3330"/>
      <c r="H6" s="3328"/>
      <c r="I6" s="3331"/>
      <c r="J6" s="3332"/>
      <c r="K6" s="3333"/>
      <c r="L6" s="3334"/>
      <c r="M6" s="3335"/>
      <c r="N6" s="3332"/>
    </row>
    <row r="7" spans="1:14" ht="18.45" customHeight="1" x14ac:dyDescent="0.25">
      <c r="A7" s="2295" t="s">
        <v>1020</v>
      </c>
      <c r="B7" s="3336">
        <v>192152</v>
      </c>
      <c r="C7" s="3337">
        <v>196114</v>
      </c>
      <c r="D7" s="3338">
        <v>194970</v>
      </c>
      <c r="E7" s="3339">
        <v>192099</v>
      </c>
      <c r="F7" s="3340">
        <v>201483</v>
      </c>
      <c r="G7" s="3340">
        <v>203723</v>
      </c>
      <c r="H7" s="3341">
        <v>206484</v>
      </c>
      <c r="I7" s="3339">
        <v>207220</v>
      </c>
      <c r="J7" s="3340">
        <v>212152</v>
      </c>
      <c r="K7" s="3339">
        <v>194393</v>
      </c>
      <c r="L7" s="3341">
        <v>203898</v>
      </c>
      <c r="M7" s="3342">
        <v>200932</v>
      </c>
      <c r="N7" s="3342">
        <v>205601</v>
      </c>
    </row>
    <row r="8" spans="1:14" ht="18.45" customHeight="1" x14ac:dyDescent="0.25">
      <c r="A8" s="3343" t="s">
        <v>1021</v>
      </c>
      <c r="B8" s="3344">
        <v>18252</v>
      </c>
      <c r="C8" s="3345">
        <v>18210</v>
      </c>
      <c r="D8" s="3346">
        <v>18055</v>
      </c>
      <c r="E8" s="3347">
        <v>18315</v>
      </c>
      <c r="F8" s="3348">
        <v>18601</v>
      </c>
      <c r="G8" s="3348">
        <v>19976</v>
      </c>
      <c r="H8" s="3349">
        <v>21492</v>
      </c>
      <c r="I8" s="3347">
        <v>22231</v>
      </c>
      <c r="J8" s="3348">
        <v>23790</v>
      </c>
      <c r="K8" s="3350">
        <v>18172</v>
      </c>
      <c r="L8" s="3351">
        <v>20024</v>
      </c>
      <c r="M8" s="3348">
        <v>19594</v>
      </c>
      <c r="N8" s="3348">
        <v>22187</v>
      </c>
    </row>
    <row r="9" spans="1:14" ht="18.45" customHeight="1" x14ac:dyDescent="0.25">
      <c r="A9" s="3343" t="s">
        <v>1022</v>
      </c>
      <c r="B9" s="3352">
        <v>173900</v>
      </c>
      <c r="C9" s="3353">
        <v>177904</v>
      </c>
      <c r="D9" s="3354">
        <v>176915</v>
      </c>
      <c r="E9" s="3355">
        <v>173784</v>
      </c>
      <c r="F9" s="3356">
        <v>182882</v>
      </c>
      <c r="G9" s="3356">
        <v>183747</v>
      </c>
      <c r="H9" s="3357">
        <v>184992</v>
      </c>
      <c r="I9" s="3355">
        <v>184989</v>
      </c>
      <c r="J9" s="3356">
        <v>188362</v>
      </c>
      <c r="K9" s="3358">
        <v>176221</v>
      </c>
      <c r="L9" s="3359">
        <v>183874</v>
      </c>
      <c r="M9" s="3356">
        <v>181338</v>
      </c>
      <c r="N9" s="3356">
        <v>183414</v>
      </c>
    </row>
    <row r="10" spans="1:14" ht="18.45" customHeight="1" x14ac:dyDescent="0.25">
      <c r="A10" s="3343" t="s">
        <v>1023</v>
      </c>
      <c r="B10" s="3352"/>
      <c r="C10" s="3353"/>
      <c r="D10" s="3354"/>
      <c r="E10" s="3355"/>
      <c r="F10" s="3356"/>
      <c r="G10" s="3356"/>
      <c r="H10" s="3357"/>
      <c r="I10" s="3355"/>
      <c r="J10" s="3356"/>
      <c r="K10" s="3358"/>
      <c r="L10" s="3359"/>
      <c r="M10" s="3356"/>
      <c r="N10" s="3356"/>
    </row>
    <row r="11" spans="1:14" ht="18.45" customHeight="1" x14ac:dyDescent="0.25">
      <c r="A11" s="3360" t="s">
        <v>429</v>
      </c>
      <c r="B11" s="3352">
        <v>6147</v>
      </c>
      <c r="C11" s="3353">
        <v>6438</v>
      </c>
      <c r="D11" s="3354">
        <v>6408</v>
      </c>
      <c r="E11" s="3355">
        <v>5549</v>
      </c>
      <c r="F11" s="3356">
        <v>6771</v>
      </c>
      <c r="G11" s="3356">
        <v>6534</v>
      </c>
      <c r="H11" s="3357">
        <v>6778</v>
      </c>
      <c r="I11" s="3355">
        <v>6611</v>
      </c>
      <c r="J11" s="3356">
        <v>6257</v>
      </c>
      <c r="K11" s="3358">
        <v>6330</v>
      </c>
      <c r="L11" s="3359">
        <v>6695</v>
      </c>
      <c r="M11" s="3356">
        <v>6407</v>
      </c>
      <c r="N11" s="3356">
        <v>6006</v>
      </c>
    </row>
    <row r="12" spans="1:14" ht="18.45" customHeight="1" x14ac:dyDescent="0.25">
      <c r="A12" s="3360" t="s">
        <v>614</v>
      </c>
      <c r="B12" s="3352">
        <v>3574</v>
      </c>
      <c r="C12" s="3353">
        <v>4049</v>
      </c>
      <c r="D12" s="3354">
        <v>3923</v>
      </c>
      <c r="E12" s="3355">
        <v>3937</v>
      </c>
      <c r="F12" s="3356">
        <v>4316</v>
      </c>
      <c r="G12" s="3356">
        <v>4189</v>
      </c>
      <c r="H12" s="3357">
        <v>3295</v>
      </c>
      <c r="I12" s="3355">
        <v>3328</v>
      </c>
      <c r="J12" s="3356">
        <v>3359</v>
      </c>
      <c r="K12" s="3358">
        <v>3846</v>
      </c>
      <c r="L12" s="3359">
        <v>3932</v>
      </c>
      <c r="M12" s="3356">
        <v>3933</v>
      </c>
      <c r="N12" s="3356">
        <v>3093</v>
      </c>
    </row>
    <row r="13" spans="1:14" ht="18.45" customHeight="1" x14ac:dyDescent="0.25">
      <c r="A13" s="3360" t="s">
        <v>1024</v>
      </c>
      <c r="B13" s="3352">
        <v>3751</v>
      </c>
      <c r="C13" s="3353">
        <v>3770</v>
      </c>
      <c r="D13" s="3354">
        <v>3128</v>
      </c>
      <c r="E13" s="3355">
        <v>2883</v>
      </c>
      <c r="F13" s="3356">
        <v>3248</v>
      </c>
      <c r="G13" s="3356">
        <v>3167</v>
      </c>
      <c r="H13" s="3357">
        <v>3247</v>
      </c>
      <c r="I13" s="3355">
        <v>3468</v>
      </c>
      <c r="J13" s="3356">
        <v>3410</v>
      </c>
      <c r="K13" s="3358">
        <v>3547</v>
      </c>
      <c r="L13" s="3359">
        <v>3221</v>
      </c>
      <c r="M13" s="3356">
        <v>3137</v>
      </c>
      <c r="N13" s="3356">
        <v>3153</v>
      </c>
    </row>
    <row r="14" spans="1:14" ht="18.45" customHeight="1" x14ac:dyDescent="0.25">
      <c r="A14" s="3361" t="s">
        <v>1025</v>
      </c>
      <c r="B14" s="3352">
        <v>160428</v>
      </c>
      <c r="C14" s="3353">
        <v>163647</v>
      </c>
      <c r="D14" s="3354">
        <v>163456</v>
      </c>
      <c r="E14" s="3362">
        <v>161415</v>
      </c>
      <c r="F14" s="3356">
        <v>168547</v>
      </c>
      <c r="G14" s="3356">
        <v>169857</v>
      </c>
      <c r="H14" s="3357">
        <v>171672</v>
      </c>
      <c r="I14" s="3362">
        <v>171582</v>
      </c>
      <c r="J14" s="3356">
        <v>175336</v>
      </c>
      <c r="K14" s="3358">
        <v>162498</v>
      </c>
      <c r="L14" s="3359">
        <v>170026</v>
      </c>
      <c r="M14" s="3363">
        <v>167861</v>
      </c>
      <c r="N14" s="3356">
        <v>171162</v>
      </c>
    </row>
    <row r="15" spans="1:14" ht="18.45" customHeight="1" x14ac:dyDescent="0.25">
      <c r="A15" s="3361" t="s">
        <v>1026</v>
      </c>
      <c r="B15" s="3352">
        <v>1780</v>
      </c>
      <c r="C15" s="3353">
        <v>1729</v>
      </c>
      <c r="D15" s="3354">
        <v>1697</v>
      </c>
      <c r="E15" s="3355">
        <v>1696</v>
      </c>
      <c r="F15" s="3356">
        <v>1773</v>
      </c>
      <c r="G15" s="3356">
        <v>1816</v>
      </c>
      <c r="H15" s="3357">
        <v>1809</v>
      </c>
      <c r="I15" s="3355">
        <v>1697</v>
      </c>
      <c r="J15" s="3356">
        <v>1692</v>
      </c>
      <c r="K15" s="3358">
        <v>5206</v>
      </c>
      <c r="L15" s="3359">
        <v>5398</v>
      </c>
      <c r="M15" s="3356">
        <v>7094</v>
      </c>
      <c r="N15" s="3356">
        <v>6439</v>
      </c>
    </row>
    <row r="16" spans="1:14" ht="18.45" customHeight="1" x14ac:dyDescent="0.25">
      <c r="A16" s="3343" t="s">
        <v>1023</v>
      </c>
      <c r="B16" s="3352"/>
      <c r="C16" s="3353"/>
      <c r="D16" s="3354"/>
      <c r="E16" s="3355"/>
      <c r="F16" s="3356"/>
      <c r="G16" s="3356"/>
      <c r="H16" s="3357"/>
      <c r="I16" s="3355"/>
      <c r="J16" s="3356"/>
      <c r="K16" s="3358"/>
      <c r="L16" s="3359"/>
      <c r="M16" s="3356"/>
      <c r="N16" s="3356"/>
    </row>
    <row r="17" spans="1:14" ht="18.45" customHeight="1" x14ac:dyDescent="0.25">
      <c r="A17" s="3360" t="s">
        <v>1034</v>
      </c>
      <c r="B17" s="3352">
        <v>38</v>
      </c>
      <c r="C17" s="3353">
        <v>17</v>
      </c>
      <c r="D17" s="3354">
        <v>-12</v>
      </c>
      <c r="E17" s="3355">
        <v>10</v>
      </c>
      <c r="F17" s="3356">
        <v>19</v>
      </c>
      <c r="G17" s="3356">
        <v>59</v>
      </c>
      <c r="H17" s="3357">
        <v>35</v>
      </c>
      <c r="I17" s="3355">
        <v>13</v>
      </c>
      <c r="J17" s="3356">
        <v>8</v>
      </c>
      <c r="K17" s="3358">
        <v>43</v>
      </c>
      <c r="L17" s="3359">
        <v>113</v>
      </c>
      <c r="M17" s="3356">
        <v>123</v>
      </c>
      <c r="N17" s="3356">
        <v>-61</v>
      </c>
    </row>
    <row r="18" spans="1:14" ht="18.45" customHeight="1" x14ac:dyDescent="0.25">
      <c r="A18" s="3361" t="s">
        <v>1028</v>
      </c>
      <c r="B18" s="3352">
        <v>1742</v>
      </c>
      <c r="C18" s="3353">
        <v>1712</v>
      </c>
      <c r="D18" s="3354">
        <v>1709</v>
      </c>
      <c r="E18" s="3355">
        <v>1686</v>
      </c>
      <c r="F18" s="3356">
        <v>1754</v>
      </c>
      <c r="G18" s="3356">
        <v>1757</v>
      </c>
      <c r="H18" s="3357">
        <v>1774</v>
      </c>
      <c r="I18" s="3355">
        <v>1684</v>
      </c>
      <c r="J18" s="3356">
        <v>1684</v>
      </c>
      <c r="K18" s="3358">
        <v>5163</v>
      </c>
      <c r="L18" s="3359">
        <v>5285</v>
      </c>
      <c r="M18" s="3356">
        <v>6971</v>
      </c>
      <c r="N18" s="3356">
        <v>6500</v>
      </c>
    </row>
    <row r="19" spans="1:14" ht="18.45" customHeight="1" x14ac:dyDescent="0.25">
      <c r="A19" s="3361" t="s">
        <v>1035</v>
      </c>
      <c r="B19" s="3364">
        <v>4.3099999999999996</v>
      </c>
      <c r="C19" s="3365">
        <v>4.29</v>
      </c>
      <c r="D19" s="3366">
        <v>4.1500000000000004</v>
      </c>
      <c r="E19" s="3367">
        <v>4.16</v>
      </c>
      <c r="F19" s="3368">
        <v>4.1399999999999997</v>
      </c>
      <c r="G19" s="3368">
        <v>4.2</v>
      </c>
      <c r="H19" s="3369">
        <v>4.1100000000000003</v>
      </c>
      <c r="I19" s="3367">
        <v>3.89</v>
      </c>
      <c r="J19" s="3368">
        <v>3.81</v>
      </c>
      <c r="K19" s="3370">
        <v>4.25</v>
      </c>
      <c r="L19" s="3371">
        <v>4.1500000000000004</v>
      </c>
      <c r="M19" s="3368">
        <v>4.1500000000000004</v>
      </c>
      <c r="N19" s="3368">
        <v>3.8</v>
      </c>
    </row>
    <row r="20" spans="1:14" ht="18.45" customHeight="1" x14ac:dyDescent="0.25">
      <c r="A20" s="3372"/>
      <c r="B20" s="3373"/>
      <c r="C20" s="3374"/>
      <c r="D20" s="3375"/>
      <c r="E20" s="3376"/>
      <c r="F20" s="3377"/>
      <c r="G20" s="3377"/>
      <c r="H20" s="3378"/>
      <c r="I20" s="3376"/>
      <c r="J20" s="3377"/>
      <c r="K20" s="3376"/>
      <c r="L20" s="3378"/>
      <c r="M20" s="3377"/>
      <c r="N20" s="3377"/>
    </row>
    <row r="21" spans="1:14" ht="18.45" customHeight="1" x14ac:dyDescent="0.25">
      <c r="A21" s="3379" t="s">
        <v>1036</v>
      </c>
      <c r="B21" s="3380"/>
      <c r="C21" s="3381"/>
      <c r="D21" s="3382"/>
      <c r="E21" s="3383"/>
      <c r="F21" s="3381"/>
      <c r="G21" s="3381"/>
      <c r="H21" s="3384"/>
      <c r="I21" s="3385"/>
      <c r="J21" s="3386"/>
      <c r="K21" s="3387"/>
      <c r="L21" s="3388"/>
      <c r="M21" s="3389"/>
      <c r="N21" s="3386"/>
    </row>
    <row r="22" spans="1:14" ht="18.45" customHeight="1" x14ac:dyDescent="0.25">
      <c r="A22" s="2295" t="s">
        <v>1020</v>
      </c>
      <c r="B22" s="3336">
        <v>27049</v>
      </c>
      <c r="C22" s="3337">
        <v>27582</v>
      </c>
      <c r="D22" s="3338">
        <v>27413</v>
      </c>
      <c r="E22" s="3339">
        <v>25907</v>
      </c>
      <c r="F22" s="3340">
        <v>25594</v>
      </c>
      <c r="G22" s="3340">
        <v>25294</v>
      </c>
      <c r="H22" s="3341">
        <v>25053</v>
      </c>
      <c r="I22" s="3339">
        <v>24504</v>
      </c>
      <c r="J22" s="3340">
        <v>23610</v>
      </c>
      <c r="K22" s="3339">
        <v>27346</v>
      </c>
      <c r="L22" s="3341">
        <v>25314</v>
      </c>
      <c r="M22" s="3340">
        <v>25463</v>
      </c>
      <c r="N22" s="3340">
        <v>23971</v>
      </c>
    </row>
    <row r="23" spans="1:14" ht="18.45" customHeight="1" x14ac:dyDescent="0.25">
      <c r="A23" s="3343" t="s">
        <v>1021</v>
      </c>
      <c r="B23" s="3352">
        <v>2243</v>
      </c>
      <c r="C23" s="3353">
        <v>2136</v>
      </c>
      <c r="D23" s="3354">
        <v>1984</v>
      </c>
      <c r="E23" s="3355">
        <v>1912</v>
      </c>
      <c r="F23" s="3356">
        <v>1887</v>
      </c>
      <c r="G23" s="3356">
        <v>1876</v>
      </c>
      <c r="H23" s="3357">
        <v>1961</v>
      </c>
      <c r="I23" s="3355">
        <v>1626</v>
      </c>
      <c r="J23" s="3356">
        <v>1612</v>
      </c>
      <c r="K23" s="3358">
        <v>2121</v>
      </c>
      <c r="L23" s="3359">
        <v>1908</v>
      </c>
      <c r="M23" s="3356">
        <v>1909</v>
      </c>
      <c r="N23" s="3356">
        <v>1645</v>
      </c>
    </row>
    <row r="24" spans="1:14" ht="18.45" customHeight="1" x14ac:dyDescent="0.25">
      <c r="A24" s="3343" t="s">
        <v>1022</v>
      </c>
      <c r="B24" s="3352">
        <v>24806</v>
      </c>
      <c r="C24" s="3353">
        <v>25446</v>
      </c>
      <c r="D24" s="3354">
        <v>25429</v>
      </c>
      <c r="E24" s="3355">
        <v>23995</v>
      </c>
      <c r="F24" s="3356">
        <v>23707</v>
      </c>
      <c r="G24" s="3356">
        <v>23418</v>
      </c>
      <c r="H24" s="3357">
        <v>23092</v>
      </c>
      <c r="I24" s="3355">
        <v>22878</v>
      </c>
      <c r="J24" s="3356">
        <v>21998</v>
      </c>
      <c r="K24" s="3358">
        <v>25225</v>
      </c>
      <c r="L24" s="3359">
        <v>23406</v>
      </c>
      <c r="M24" s="3356">
        <v>23554</v>
      </c>
      <c r="N24" s="3356">
        <v>22326</v>
      </c>
    </row>
    <row r="25" spans="1:14" ht="18.45" customHeight="1" x14ac:dyDescent="0.25">
      <c r="A25" s="3343" t="s">
        <v>1023</v>
      </c>
      <c r="B25" s="3352"/>
      <c r="C25" s="3353"/>
      <c r="D25" s="3354"/>
      <c r="E25" s="3355"/>
      <c r="F25" s="3356"/>
      <c r="G25" s="3356"/>
      <c r="H25" s="3357"/>
      <c r="I25" s="3355"/>
      <c r="J25" s="3356"/>
      <c r="K25" s="3358"/>
      <c r="L25" s="3359"/>
      <c r="M25" s="3356"/>
      <c r="N25" s="3356"/>
    </row>
    <row r="26" spans="1:14" ht="18.45" customHeight="1" x14ac:dyDescent="0.25">
      <c r="A26" s="3360" t="s">
        <v>429</v>
      </c>
      <c r="B26" s="3352">
        <v>0</v>
      </c>
      <c r="C26" s="3353">
        <v>0</v>
      </c>
      <c r="D26" s="3354">
        <v>0</v>
      </c>
      <c r="E26" s="3355">
        <v>0</v>
      </c>
      <c r="F26" s="3356">
        <v>0</v>
      </c>
      <c r="G26" s="3356">
        <v>0</v>
      </c>
      <c r="H26" s="3357">
        <v>0</v>
      </c>
      <c r="I26" s="3355">
        <v>0</v>
      </c>
      <c r="J26" s="3356">
        <v>14</v>
      </c>
      <c r="K26" s="3358">
        <v>0</v>
      </c>
      <c r="L26" s="3359">
        <v>0</v>
      </c>
      <c r="M26" s="3356">
        <v>0</v>
      </c>
      <c r="N26" s="3356">
        <v>12</v>
      </c>
    </row>
    <row r="27" spans="1:14" ht="18.45" customHeight="1" x14ac:dyDescent="0.25">
      <c r="A27" s="3360" t="s">
        <v>614</v>
      </c>
      <c r="B27" s="3352">
        <v>0</v>
      </c>
      <c r="C27" s="3353">
        <v>1</v>
      </c>
      <c r="D27" s="3354">
        <v>0</v>
      </c>
      <c r="E27" s="3355">
        <v>0</v>
      </c>
      <c r="F27" s="3356">
        <v>0</v>
      </c>
      <c r="G27" s="3356">
        <v>2</v>
      </c>
      <c r="H27" s="3357">
        <v>1</v>
      </c>
      <c r="I27" s="3355">
        <v>3</v>
      </c>
      <c r="J27" s="3356">
        <v>1</v>
      </c>
      <c r="K27" s="3358">
        <v>0</v>
      </c>
      <c r="L27" s="3359">
        <v>1</v>
      </c>
      <c r="M27" s="3356">
        <v>1</v>
      </c>
      <c r="N27" s="3356">
        <v>2</v>
      </c>
    </row>
    <row r="28" spans="1:14" ht="18.45" customHeight="1" x14ac:dyDescent="0.25">
      <c r="A28" s="3360" t="s">
        <v>1024</v>
      </c>
      <c r="B28" s="3352">
        <v>2907</v>
      </c>
      <c r="C28" s="3353">
        <v>2920</v>
      </c>
      <c r="D28" s="3354">
        <v>2784</v>
      </c>
      <c r="E28" s="3355">
        <v>2810</v>
      </c>
      <c r="F28" s="3356">
        <v>2931</v>
      </c>
      <c r="G28" s="3356">
        <v>2862</v>
      </c>
      <c r="H28" s="3357">
        <v>2864</v>
      </c>
      <c r="I28" s="3355">
        <v>2837</v>
      </c>
      <c r="J28" s="3356">
        <v>2728</v>
      </c>
      <c r="K28" s="3358">
        <v>2870</v>
      </c>
      <c r="L28" s="3359">
        <v>2886</v>
      </c>
      <c r="M28" s="3356">
        <v>2868</v>
      </c>
      <c r="N28" s="3356">
        <v>2786</v>
      </c>
    </row>
    <row r="29" spans="1:14" ht="18.45" customHeight="1" x14ac:dyDescent="0.25">
      <c r="A29" s="3361" t="s">
        <v>1025</v>
      </c>
      <c r="B29" s="3352">
        <v>21899</v>
      </c>
      <c r="C29" s="3353">
        <v>22525</v>
      </c>
      <c r="D29" s="3354">
        <v>22645</v>
      </c>
      <c r="E29" s="3355">
        <v>21185</v>
      </c>
      <c r="F29" s="3356">
        <v>20776</v>
      </c>
      <c r="G29" s="3356">
        <v>20554</v>
      </c>
      <c r="H29" s="3357">
        <v>20227</v>
      </c>
      <c r="I29" s="3355">
        <v>20038</v>
      </c>
      <c r="J29" s="3356">
        <v>19255</v>
      </c>
      <c r="K29" s="3358">
        <v>22355</v>
      </c>
      <c r="L29" s="3359">
        <v>20519</v>
      </c>
      <c r="M29" s="3356">
        <v>20685</v>
      </c>
      <c r="N29" s="3356">
        <v>19526</v>
      </c>
    </row>
    <row r="30" spans="1:14" ht="18.45" customHeight="1" x14ac:dyDescent="0.25">
      <c r="A30" s="3361" t="s">
        <v>1026</v>
      </c>
      <c r="B30" s="3352">
        <v>381</v>
      </c>
      <c r="C30" s="3353">
        <v>366</v>
      </c>
      <c r="D30" s="3354">
        <v>389</v>
      </c>
      <c r="E30" s="3355">
        <v>372</v>
      </c>
      <c r="F30" s="3356">
        <v>376</v>
      </c>
      <c r="G30" s="3356">
        <v>361</v>
      </c>
      <c r="H30" s="3357">
        <v>354</v>
      </c>
      <c r="I30" s="3355">
        <v>349</v>
      </c>
      <c r="J30" s="3356">
        <v>331</v>
      </c>
      <c r="K30" s="3358">
        <v>1136</v>
      </c>
      <c r="L30" s="3359">
        <v>1091</v>
      </c>
      <c r="M30" s="3356">
        <v>1463</v>
      </c>
      <c r="N30" s="3356">
        <v>1319</v>
      </c>
    </row>
    <row r="31" spans="1:14" ht="18.45" customHeight="1" x14ac:dyDescent="0.25">
      <c r="A31" s="3343" t="s">
        <v>1023</v>
      </c>
      <c r="B31" s="3352"/>
      <c r="C31" s="3352"/>
      <c r="D31" s="3354"/>
      <c r="E31" s="3355"/>
      <c r="F31" s="3356"/>
      <c r="G31" s="3356"/>
      <c r="H31" s="3357"/>
      <c r="I31" s="3355"/>
      <c r="J31" s="3356"/>
      <c r="K31" s="3358"/>
      <c r="L31" s="3359"/>
      <c r="M31" s="3356"/>
      <c r="N31" s="3356"/>
    </row>
    <row r="32" spans="1:14" ht="18.45" customHeight="1" x14ac:dyDescent="0.25">
      <c r="A32" s="3360" t="s">
        <v>1034</v>
      </c>
      <c r="B32" s="3352">
        <v>0</v>
      </c>
      <c r="C32" s="3353">
        <v>0</v>
      </c>
      <c r="D32" s="3354">
        <v>0</v>
      </c>
      <c r="E32" s="3355">
        <v>0</v>
      </c>
      <c r="F32" s="3356">
        <v>0</v>
      </c>
      <c r="G32" s="3356">
        <v>0</v>
      </c>
      <c r="H32" s="3357">
        <v>0</v>
      </c>
      <c r="I32" s="3355">
        <v>0</v>
      </c>
      <c r="J32" s="3356">
        <v>0</v>
      </c>
      <c r="K32" s="3358">
        <v>0</v>
      </c>
      <c r="L32" s="3359">
        <v>0</v>
      </c>
      <c r="M32" s="3356">
        <v>0</v>
      </c>
      <c r="N32" s="3356">
        <v>0</v>
      </c>
    </row>
    <row r="33" spans="1:14" ht="18.45" customHeight="1" x14ac:dyDescent="0.25">
      <c r="A33" s="3361" t="s">
        <v>1028</v>
      </c>
      <c r="B33" s="3352">
        <v>381</v>
      </c>
      <c r="C33" s="3353">
        <v>366</v>
      </c>
      <c r="D33" s="3354">
        <v>389</v>
      </c>
      <c r="E33" s="3355">
        <v>372</v>
      </c>
      <c r="F33" s="3356">
        <v>376</v>
      </c>
      <c r="G33" s="3356">
        <v>361</v>
      </c>
      <c r="H33" s="3357">
        <v>354</v>
      </c>
      <c r="I33" s="3355">
        <v>349</v>
      </c>
      <c r="J33" s="3356">
        <v>331</v>
      </c>
      <c r="K33" s="3358">
        <v>1136</v>
      </c>
      <c r="L33" s="3359">
        <v>1091</v>
      </c>
      <c r="M33" s="3356">
        <v>1463</v>
      </c>
      <c r="N33" s="3356">
        <v>1319</v>
      </c>
    </row>
    <row r="34" spans="1:14" ht="18.45" customHeight="1" x14ac:dyDescent="0.25">
      <c r="A34" s="3390" t="s">
        <v>1035</v>
      </c>
      <c r="B34" s="3391">
        <v>6.9097704918970271</v>
      </c>
      <c r="C34" s="3392">
        <v>6.66</v>
      </c>
      <c r="D34" s="3393">
        <v>6.81</v>
      </c>
      <c r="E34" s="3394">
        <v>6.99</v>
      </c>
      <c r="F34" s="3395">
        <v>7.19</v>
      </c>
      <c r="G34" s="3395">
        <v>7.15</v>
      </c>
      <c r="H34" s="3396">
        <v>6.98</v>
      </c>
      <c r="I34" s="3394">
        <v>6.91</v>
      </c>
      <c r="J34" s="3395">
        <v>6.82</v>
      </c>
      <c r="K34" s="3397">
        <v>6.7941371133905593</v>
      </c>
      <c r="L34" s="3398">
        <v>7.1044060342384556</v>
      </c>
      <c r="M34" s="3395">
        <v>7.07</v>
      </c>
      <c r="N34" s="3395">
        <v>6.75</v>
      </c>
    </row>
    <row r="35" spans="1:14" ht="18.45" customHeight="1" x14ac:dyDescent="0.25">
      <c r="A35" s="3372"/>
      <c r="B35" s="3373"/>
      <c r="C35" s="3374"/>
      <c r="D35" s="3375"/>
      <c r="E35" s="3376"/>
      <c r="F35" s="3377"/>
      <c r="G35" s="3377"/>
      <c r="H35" s="3378"/>
      <c r="I35" s="3376"/>
      <c r="J35" s="3377"/>
      <c r="K35" s="3376"/>
      <c r="L35" s="3378"/>
      <c r="M35" s="3377"/>
      <c r="N35" s="3377"/>
    </row>
    <row r="36" spans="1:14" ht="18.45" customHeight="1" x14ac:dyDescent="0.25">
      <c r="A36" s="3379" t="s">
        <v>1037</v>
      </c>
      <c r="B36" s="3380"/>
      <c r="C36" s="3380"/>
      <c r="D36" s="3382"/>
      <c r="E36" s="3383"/>
      <c r="F36" s="3381"/>
      <c r="G36" s="3381"/>
      <c r="H36" s="3384"/>
      <c r="I36" s="3385"/>
      <c r="J36" s="3386"/>
      <c r="K36" s="3387"/>
      <c r="L36" s="3388"/>
      <c r="M36" s="3389"/>
      <c r="N36" s="3386"/>
    </row>
    <row r="37" spans="1:14" ht="18.45" customHeight="1" x14ac:dyDescent="0.25">
      <c r="A37" s="2295" t="s">
        <v>1020</v>
      </c>
      <c r="B37" s="3336">
        <v>11208</v>
      </c>
      <c r="C37" s="3337">
        <v>12080</v>
      </c>
      <c r="D37" s="3338">
        <v>12542</v>
      </c>
      <c r="E37" s="3339">
        <v>11780</v>
      </c>
      <c r="F37" s="3340">
        <v>11711</v>
      </c>
      <c r="G37" s="3340">
        <v>11651</v>
      </c>
      <c r="H37" s="3341">
        <v>11470</v>
      </c>
      <c r="I37" s="3339">
        <v>11384</v>
      </c>
      <c r="J37" s="3340">
        <v>11219</v>
      </c>
      <c r="K37" s="3339">
        <v>11942</v>
      </c>
      <c r="L37" s="3341">
        <v>11610</v>
      </c>
      <c r="M37" s="3340">
        <v>11653</v>
      </c>
      <c r="N37" s="3340">
        <v>11332</v>
      </c>
    </row>
    <row r="38" spans="1:14" ht="18.45" customHeight="1" x14ac:dyDescent="0.25">
      <c r="A38" s="3343" t="s">
        <v>1021</v>
      </c>
      <c r="B38" s="3352">
        <v>10</v>
      </c>
      <c r="C38" s="3353">
        <v>228</v>
      </c>
      <c r="D38" s="3354">
        <v>893</v>
      </c>
      <c r="E38" s="3355">
        <v>1008</v>
      </c>
      <c r="F38" s="3356">
        <v>1018</v>
      </c>
      <c r="G38" s="3356">
        <v>1043</v>
      </c>
      <c r="H38" s="3357">
        <v>1016</v>
      </c>
      <c r="I38" s="3355">
        <v>955</v>
      </c>
      <c r="J38" s="3356">
        <v>938</v>
      </c>
      <c r="K38" s="3358">
        <v>379</v>
      </c>
      <c r="L38" s="3359">
        <v>1038</v>
      </c>
      <c r="M38" s="3356">
        <v>1031</v>
      </c>
      <c r="N38" s="3356">
        <v>941</v>
      </c>
    </row>
    <row r="39" spans="1:14" ht="18.45" customHeight="1" x14ac:dyDescent="0.25">
      <c r="A39" s="3343" t="s">
        <v>1022</v>
      </c>
      <c r="B39" s="3352">
        <v>11198</v>
      </c>
      <c r="C39" s="3353">
        <v>11852</v>
      </c>
      <c r="D39" s="3354">
        <v>11649</v>
      </c>
      <c r="E39" s="3355">
        <v>10772</v>
      </c>
      <c r="F39" s="3356">
        <v>10693</v>
      </c>
      <c r="G39" s="3356">
        <v>10608</v>
      </c>
      <c r="H39" s="3357">
        <v>10453.537955302065</v>
      </c>
      <c r="I39" s="3355">
        <v>10429.371875589239</v>
      </c>
      <c r="J39" s="3356">
        <v>10280.960467667608</v>
      </c>
      <c r="K39" s="3358">
        <v>11563</v>
      </c>
      <c r="L39" s="3359">
        <v>10572</v>
      </c>
      <c r="M39" s="3356">
        <v>10622</v>
      </c>
      <c r="N39" s="3356">
        <v>10391.007419738849</v>
      </c>
    </row>
    <row r="40" spans="1:14" ht="18.45" customHeight="1" x14ac:dyDescent="0.25">
      <c r="A40" s="3343" t="s">
        <v>1023</v>
      </c>
      <c r="B40" s="3352"/>
      <c r="C40" s="3353"/>
      <c r="D40" s="3354"/>
      <c r="E40" s="3355"/>
      <c r="F40" s="3356"/>
      <c r="G40" s="3356"/>
      <c r="H40" s="3357"/>
      <c r="I40" s="3355"/>
      <c r="J40" s="3356"/>
      <c r="K40" s="3358"/>
      <c r="L40" s="3359"/>
      <c r="M40" s="3356"/>
      <c r="N40" s="3356"/>
    </row>
    <row r="41" spans="1:14" ht="18.45" customHeight="1" x14ac:dyDescent="0.25">
      <c r="A41" s="3360" t="s">
        <v>429</v>
      </c>
      <c r="B41" s="3352">
        <v>0</v>
      </c>
      <c r="C41" s="3353">
        <v>0</v>
      </c>
      <c r="D41" s="3354">
        <v>0</v>
      </c>
      <c r="E41" s="3355">
        <v>0</v>
      </c>
      <c r="F41" s="3356">
        <v>0</v>
      </c>
      <c r="G41" s="3356">
        <v>0</v>
      </c>
      <c r="H41" s="3357">
        <v>0</v>
      </c>
      <c r="I41" s="3355">
        <v>0</v>
      </c>
      <c r="J41" s="3356">
        <v>0</v>
      </c>
      <c r="K41" s="3358">
        <v>0</v>
      </c>
      <c r="L41" s="3359">
        <v>0</v>
      </c>
      <c r="M41" s="3356">
        <v>0</v>
      </c>
      <c r="N41" s="3356">
        <v>0</v>
      </c>
    </row>
    <row r="42" spans="1:14" ht="18.45" customHeight="1" x14ac:dyDescent="0.25">
      <c r="A42" s="3360" t="s">
        <v>614</v>
      </c>
      <c r="B42" s="3352">
        <v>126</v>
      </c>
      <c r="C42" s="3353">
        <v>193</v>
      </c>
      <c r="D42" s="3354">
        <v>272</v>
      </c>
      <c r="E42" s="3355">
        <v>132</v>
      </c>
      <c r="F42" s="3356">
        <v>127</v>
      </c>
      <c r="G42" s="3356">
        <v>123</v>
      </c>
      <c r="H42" s="3357">
        <v>135</v>
      </c>
      <c r="I42" s="3355">
        <v>136</v>
      </c>
      <c r="J42" s="3356">
        <v>133</v>
      </c>
      <c r="K42" s="3358">
        <v>197</v>
      </c>
      <c r="L42" s="3359">
        <v>128</v>
      </c>
      <c r="M42" s="3356">
        <v>129</v>
      </c>
      <c r="N42" s="3356">
        <v>123</v>
      </c>
    </row>
    <row r="43" spans="1:14" ht="18.45" customHeight="1" x14ac:dyDescent="0.25">
      <c r="A43" s="3360" t="s">
        <v>1024</v>
      </c>
      <c r="B43" s="3352">
        <v>687</v>
      </c>
      <c r="C43" s="3353">
        <v>725</v>
      </c>
      <c r="D43" s="3354">
        <v>699</v>
      </c>
      <c r="E43" s="3355">
        <v>677</v>
      </c>
      <c r="F43" s="3356">
        <v>660</v>
      </c>
      <c r="G43" s="3356">
        <v>633</v>
      </c>
      <c r="H43" s="3357">
        <v>657</v>
      </c>
      <c r="I43" s="3355">
        <v>605</v>
      </c>
      <c r="J43" s="3356">
        <v>630</v>
      </c>
      <c r="K43" s="3358">
        <v>703</v>
      </c>
      <c r="L43" s="3359">
        <v>650</v>
      </c>
      <c r="M43" s="3356">
        <v>656</v>
      </c>
      <c r="N43" s="3356">
        <v>622</v>
      </c>
    </row>
    <row r="44" spans="1:14" ht="18.45" customHeight="1" x14ac:dyDescent="0.25">
      <c r="A44" s="3361" t="s">
        <v>1025</v>
      </c>
      <c r="B44" s="3352">
        <v>10385</v>
      </c>
      <c r="C44" s="3353">
        <v>10934</v>
      </c>
      <c r="D44" s="3354">
        <v>10678</v>
      </c>
      <c r="E44" s="3355">
        <v>9963</v>
      </c>
      <c r="F44" s="3356">
        <v>9906</v>
      </c>
      <c r="G44" s="3356">
        <v>9852</v>
      </c>
      <c r="H44" s="3357">
        <v>9661.5379553020648</v>
      </c>
      <c r="I44" s="3355">
        <v>9688.3718755892387</v>
      </c>
      <c r="J44" s="3356">
        <v>9517.9604676676081</v>
      </c>
      <c r="K44" s="3358">
        <v>10663</v>
      </c>
      <c r="L44" s="3359">
        <v>9794</v>
      </c>
      <c r="M44" s="3356">
        <v>9837</v>
      </c>
      <c r="N44" s="3356">
        <v>9646.0074197388494</v>
      </c>
    </row>
    <row r="45" spans="1:14" ht="18.45" customHeight="1" x14ac:dyDescent="0.25">
      <c r="A45" s="3361" t="s">
        <v>1026</v>
      </c>
      <c r="B45" s="3352">
        <v>84</v>
      </c>
      <c r="C45" s="3353">
        <v>84</v>
      </c>
      <c r="D45" s="3354">
        <v>83</v>
      </c>
      <c r="E45" s="3355">
        <v>79</v>
      </c>
      <c r="F45" s="3356">
        <v>77</v>
      </c>
      <c r="G45" s="3356">
        <v>77</v>
      </c>
      <c r="H45" s="3357">
        <v>77</v>
      </c>
      <c r="I45" s="3355">
        <v>78</v>
      </c>
      <c r="J45" s="3356">
        <v>83</v>
      </c>
      <c r="K45" s="3358">
        <v>251</v>
      </c>
      <c r="L45" s="3359">
        <v>231</v>
      </c>
      <c r="M45" s="3356">
        <v>310</v>
      </c>
      <c r="N45" s="3356">
        <v>350</v>
      </c>
    </row>
    <row r="46" spans="1:14" ht="18.45" customHeight="1" x14ac:dyDescent="0.25">
      <c r="A46" s="3343" t="s">
        <v>1023</v>
      </c>
      <c r="B46" s="3352"/>
      <c r="C46" s="3352"/>
      <c r="D46" s="3354"/>
      <c r="E46" s="3355"/>
      <c r="F46" s="3356"/>
      <c r="G46" s="3356"/>
      <c r="H46" s="3357"/>
      <c r="I46" s="3355"/>
      <c r="J46" s="3356"/>
      <c r="K46" s="3358"/>
      <c r="L46" s="3359"/>
      <c r="M46" s="3356"/>
      <c r="N46" s="3356"/>
    </row>
    <row r="47" spans="1:14" ht="18.45" customHeight="1" x14ac:dyDescent="0.25">
      <c r="A47" s="3360" t="s">
        <v>1034</v>
      </c>
      <c r="B47" s="3352">
        <v>0</v>
      </c>
      <c r="C47" s="3352">
        <v>0</v>
      </c>
      <c r="D47" s="3354">
        <v>0</v>
      </c>
      <c r="E47" s="3355">
        <v>0</v>
      </c>
      <c r="F47" s="3356">
        <v>0</v>
      </c>
      <c r="G47" s="3356">
        <v>0</v>
      </c>
      <c r="H47" s="3357">
        <v>0</v>
      </c>
      <c r="I47" s="3355">
        <v>0</v>
      </c>
      <c r="J47" s="3356">
        <v>0</v>
      </c>
      <c r="K47" s="3358">
        <v>0</v>
      </c>
      <c r="L47" s="3359">
        <v>0</v>
      </c>
      <c r="M47" s="3356">
        <v>0</v>
      </c>
      <c r="N47" s="3356">
        <v>0</v>
      </c>
    </row>
    <row r="48" spans="1:14" ht="18.45" customHeight="1" x14ac:dyDescent="0.25">
      <c r="A48" s="3361" t="s">
        <v>1028</v>
      </c>
      <c r="B48" s="3352">
        <v>84</v>
      </c>
      <c r="C48" s="3353">
        <v>84</v>
      </c>
      <c r="D48" s="3354">
        <v>83</v>
      </c>
      <c r="E48" s="3355">
        <v>79</v>
      </c>
      <c r="F48" s="3356">
        <v>77</v>
      </c>
      <c r="G48" s="3356">
        <v>77</v>
      </c>
      <c r="H48" s="3357">
        <v>77</v>
      </c>
      <c r="I48" s="3355">
        <v>78</v>
      </c>
      <c r="J48" s="3356">
        <v>83</v>
      </c>
      <c r="K48" s="3358">
        <v>251</v>
      </c>
      <c r="L48" s="3359">
        <v>231</v>
      </c>
      <c r="M48" s="3356">
        <v>310</v>
      </c>
      <c r="N48" s="3356">
        <v>350</v>
      </c>
    </row>
    <row r="49" spans="1:14" ht="18.45" customHeight="1" x14ac:dyDescent="0.25">
      <c r="A49" s="3390" t="s">
        <v>1035</v>
      </c>
      <c r="B49" s="3391">
        <v>3.21</v>
      </c>
      <c r="C49" s="3399">
        <v>3.14</v>
      </c>
      <c r="D49" s="3393">
        <v>3.08</v>
      </c>
      <c r="E49" s="3394">
        <v>3.16</v>
      </c>
      <c r="F49" s="3395">
        <v>3.08</v>
      </c>
      <c r="G49" s="3395">
        <v>3.2</v>
      </c>
      <c r="H49" s="3396">
        <v>3.12</v>
      </c>
      <c r="I49" s="3394">
        <v>3.18</v>
      </c>
      <c r="J49" s="3395">
        <v>3.48</v>
      </c>
      <c r="K49" s="3397">
        <v>3.14</v>
      </c>
      <c r="L49" s="3398">
        <v>3.14</v>
      </c>
      <c r="M49" s="3395">
        <v>3.14</v>
      </c>
      <c r="N49" s="3395">
        <v>3.64</v>
      </c>
    </row>
    <row r="50" spans="1:14" ht="18.45" customHeight="1" x14ac:dyDescent="0.3">
      <c r="A50" s="3400"/>
      <c r="B50" s="3401"/>
      <c r="C50" s="3401"/>
      <c r="D50" s="3402"/>
      <c r="E50" s="3400"/>
      <c r="F50" s="3400"/>
      <c r="G50" s="3400"/>
      <c r="H50" s="3400"/>
      <c r="I50" s="3400"/>
      <c r="J50" s="3400"/>
      <c r="K50" s="3400"/>
      <c r="L50" s="3400"/>
      <c r="M50" s="3400"/>
      <c r="N50" s="3400"/>
    </row>
    <row r="51" spans="1:14" ht="12" customHeight="1" x14ac:dyDescent="0.25">
      <c r="A51" s="958" t="s">
        <v>1038</v>
      </c>
      <c r="B51" s="958"/>
      <c r="C51" s="958"/>
      <c r="D51" s="3023"/>
      <c r="E51" s="3023"/>
      <c r="F51" s="3023"/>
      <c r="G51" s="3023"/>
      <c r="H51" s="3023"/>
      <c r="I51" s="3023"/>
      <c r="J51" s="3023"/>
      <c r="K51" s="3023"/>
      <c r="L51" s="3023"/>
      <c r="M51" s="3023"/>
      <c r="N51" s="3023"/>
    </row>
    <row r="52" spans="1:14" ht="12" customHeight="1" x14ac:dyDescent="0.25">
      <c r="A52" s="958" t="s">
        <v>1031</v>
      </c>
      <c r="B52" s="958"/>
      <c r="C52" s="958"/>
      <c r="D52" s="3023"/>
      <c r="E52" s="3023"/>
      <c r="F52" s="3023"/>
      <c r="G52" s="3023"/>
      <c r="H52" s="3023"/>
      <c r="I52" s="3023"/>
      <c r="J52" s="3023"/>
      <c r="K52" s="3023"/>
      <c r="L52" s="3023"/>
      <c r="M52" s="3023"/>
      <c r="N52" s="3023"/>
    </row>
    <row r="53" spans="1:14" ht="18.45" customHeight="1" x14ac:dyDescent="0.25">
      <c r="A53" s="3403"/>
      <c r="B53" s="3403"/>
      <c r="C53" s="3403"/>
      <c r="D53" s="3403"/>
      <c r="E53" s="3403"/>
      <c r="F53" s="3403"/>
      <c r="G53" s="3403"/>
      <c r="H53" s="3403"/>
      <c r="I53" s="3403"/>
      <c r="J53" s="3403"/>
      <c r="K53" s="3403"/>
      <c r="L53" s="3403"/>
      <c r="M53" s="3403"/>
      <c r="N53" s="3403"/>
    </row>
  </sheetData>
  <mergeCells count="7">
    <mergeCell ref="A2:N2"/>
    <mergeCell ref="A3:N3"/>
    <mergeCell ref="B4:D4"/>
    <mergeCell ref="E4:H4"/>
    <mergeCell ref="I4:J4"/>
    <mergeCell ref="K4:L4"/>
    <mergeCell ref="M4:N4"/>
  </mergeCells>
  <hyperlinks>
    <hyperlink ref="A1" location="ToC!A2" display="Back to Table of Contents" xr:uid="{CF2AE3FA-FB9B-4542-9318-69E1DC999B97}"/>
  </hyperlinks>
  <pageMargins left="0.5" right="0.5" top="0.5" bottom="0.5" header="0.25" footer="0.25"/>
  <pageSetup scale="49" orientation="landscape" r:id="rId1"/>
  <headerFooter>
    <oddFooter>&amp;L&amp;G&amp;C&amp;"Scotia,Regular"&amp;9Supplementary Financial Information (SFI)&amp;R35&amp;"Scotia,Regular"&amp;7</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Cover</vt:lpstr>
      <vt:lpstr>ToC</vt:lpstr>
      <vt:lpstr>Notes_1</vt:lpstr>
      <vt:lpstr>Notes_2</vt:lpstr>
      <vt:lpstr>Notes_3</vt:lpstr>
      <vt:lpstr>EDTF</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Cover!Cover</vt:lpstr>
      <vt:lpstr>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Q325_Supplementary_Financial_Information-EN</dc:title>
  <dc:creator>Wang, Christina (Jue)</dc:creator>
  <cp:lastModifiedBy>Sharma, Aditya</cp:lastModifiedBy>
  <cp:lastPrinted>2025-08-25T22:25:35Z</cp:lastPrinted>
  <dcterms:created xsi:type="dcterms:W3CDTF">2025-08-21T17:46:59Z</dcterms:created>
  <dcterms:modified xsi:type="dcterms:W3CDTF">2025-08-26T01:28:26Z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