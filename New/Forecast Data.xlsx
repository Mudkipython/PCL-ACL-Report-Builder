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hp\Desktop\Capstone\Data UC2\Scotiabank Forecasts\"/>
    </mc:Choice>
  </mc:AlternateContent>
  <xr:revisionPtr revIDLastSave="61" documentId="13_ncr:1_{CD728E15-1461-4A76-B1D0-5296F1197CAB}" xr6:coauthVersionLast="47" xr6:coauthVersionMax="47" xr10:uidLastSave="{A9DD614B-60E5-44CE-BF4F-4F0D0D473024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Sheet1!$A$1:$S$166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2" i="1"/>
</calcChain>
</file>

<file path=xl/sharedStrings.xml><?xml version="1.0" encoding="utf-8"?>
<sst xmlns="http://schemas.openxmlformats.org/spreadsheetml/2006/main" count="349" uniqueCount="28">
  <si>
    <t>Bank</t>
  </si>
  <si>
    <t>Year</t>
  </si>
  <si>
    <t>Quarter</t>
  </si>
  <si>
    <t>Macro_Quarter_End</t>
  </si>
  <si>
    <t>Forecast Release Date</t>
  </si>
  <si>
    <t>PCL</t>
  </si>
  <si>
    <t>PCL_next</t>
  </si>
  <si>
    <t>GILS</t>
  </si>
  <si>
    <t>ACL</t>
  </si>
  <si>
    <t>Net WriteOffs</t>
  </si>
  <si>
    <t>Total Gross Loans and Acceptances</t>
  </si>
  <si>
    <t>Unemployment Rate 3 month vs prev 3 month at t</t>
  </si>
  <si>
    <t>Scotiabank Forecast GDP (q/q ann % change) for t+1</t>
  </si>
  <si>
    <t>Scotiabank Forecast GDP (y/y % change) for t+1</t>
  </si>
  <si>
    <t>Scotiabank Quarterly Unemployment Rate Forecast  (%) for t+1</t>
  </si>
  <si>
    <t>Scotiabank Annual Unemployment Rate Forecast  (%) at t+1</t>
  </si>
  <si>
    <t>Scotiabank Forecast Canada Central Bank Rate % for t+1</t>
  </si>
  <si>
    <t>BMO</t>
  </si>
  <si>
    <t>Q4</t>
  </si>
  <si>
    <t>Q1</t>
  </si>
  <si>
    <t>Q2</t>
  </si>
  <si>
    <t>Q3</t>
  </si>
  <si>
    <r>
      <rPr>
        <sz val="11"/>
        <color rgb="FFFF0000"/>
        <rFont val="Calibri"/>
        <scheme val="minor"/>
      </rPr>
      <t>2776</t>
    </r>
    <r>
      <rPr>
        <sz val="11"/>
        <color rgb="FF000000"/>
        <rFont val="Calibri"/>
        <scheme val="minor"/>
      </rPr>
      <t>/3136 excel pg. 22</t>
    </r>
  </si>
  <si>
    <r>
      <rPr>
        <sz val="11"/>
        <color rgb="FFFF0000"/>
        <rFont val="Calibri"/>
        <scheme val="minor"/>
      </rPr>
      <t>3350/</t>
    </r>
    <r>
      <rPr>
        <sz val="11"/>
        <color rgb="FF000000"/>
        <rFont val="Calibri"/>
        <scheme val="minor"/>
      </rPr>
      <t xml:space="preserve">3883 </t>
    </r>
    <r>
      <rPr>
        <sz val="11"/>
        <color rgb="FFFF0000"/>
        <rFont val="Calibri"/>
        <scheme val="minor"/>
      </rPr>
      <t xml:space="preserve">u took row 53 from page 27 i took row 56 </t>
    </r>
  </si>
  <si>
    <t>BNS</t>
  </si>
  <si>
    <t>CIBC</t>
  </si>
  <si>
    <t>RBC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</si>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</sst>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Alignment="1">
      <alignment horizontal="center" vertical="top"/>
    </xf>
    <xf numFmtId="0" fontId="4" fillId="0" borderId="0" xfId="0" applyFont="1"/>
    <xf numFmtId="0" fontId="0" fillId="3" borderId="0" xfId="0" applyFill="1"/>
    <xf numFmtId="0" fontId="1" fillId="0" borderId="0" xfId="0" applyFont="1"/>
    <xf numFmtId="0" fontId="7" fillId="3" borderId="0" xfId="0" applyFont="1" applyFill="1"/>
    <xf numFmtId="0" fontId="5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66"/>
  <sheetViews>
    <sheetView tabSelected="1" topLeftCell="O1" zoomScale="122" workbookViewId="0">
      <pane ySplit="1" topLeftCell="A15" activePane="bottomLeft" state="frozen"/>
      <selection pane="bottomLeft" activeCell="I25" sqref="I25:I33"/>
    </sheetView>
  </sheetViews>
  <sheetFormatPr defaultRowHeight="14.25"/>
  <cols>
    <col min="4" max="4" width="21.140625" hidden="1" customWidth="1"/>
    <col min="5" max="5" width="15.85546875" hidden="1" customWidth="1"/>
    <col min="6" max="6" width="8" customWidth="1"/>
    <col min="7" max="7" width="12.5703125" customWidth="1"/>
    <col min="8" max="8" width="8.5703125" customWidth="1"/>
    <col min="9" max="9" width="8.140625" customWidth="1"/>
    <col min="10" max="10" width="16.42578125" customWidth="1"/>
    <col min="11" max="11" width="33.85546875" customWidth="1"/>
    <col min="12" max="12" width="47" customWidth="1"/>
    <col min="13" max="13" width="59.85546875" customWidth="1"/>
    <col min="14" max="14" width="45" bestFit="1" customWidth="1"/>
    <col min="15" max="15" width="56.85546875" customWidth="1"/>
    <col min="16" max="16" width="54.5703125" customWidth="1"/>
    <col min="17" max="17" width="51.28515625" customWidth="1"/>
  </cols>
  <sheetData>
    <row r="1" spans="1:19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s="5"/>
    </row>
    <row r="2" spans="1:19">
      <c r="A2" t="s">
        <v>17</v>
      </c>
      <c r="B2">
        <v>2017</v>
      </c>
      <c r="C2" t="s">
        <v>18</v>
      </c>
      <c r="D2" s="1">
        <v>43039</v>
      </c>
      <c r="E2" s="1">
        <v>43013</v>
      </c>
      <c r="F2">
        <v>202</v>
      </c>
      <c r="G2">
        <f>F3</f>
        <v>141</v>
      </c>
      <c r="H2">
        <v>2220</v>
      </c>
      <c r="I2">
        <v>1833</v>
      </c>
      <c r="J2">
        <v>301</v>
      </c>
      <c r="K2">
        <v>376886</v>
      </c>
      <c r="L2">
        <v>-0.21429999999999999</v>
      </c>
      <c r="M2">
        <v>1.7</v>
      </c>
      <c r="N2">
        <v>2.7</v>
      </c>
      <c r="P2">
        <v>6.3</v>
      </c>
      <c r="Q2">
        <v>1.5</v>
      </c>
    </row>
    <row r="3" spans="1:19">
      <c r="A3" t="s">
        <v>17</v>
      </c>
      <c r="B3">
        <v>2018</v>
      </c>
      <c r="C3" t="s">
        <v>19</v>
      </c>
      <c r="D3" s="1">
        <v>43131</v>
      </c>
      <c r="E3" s="1">
        <v>43112</v>
      </c>
      <c r="F3">
        <v>141</v>
      </c>
      <c r="G3">
        <f t="shared" ref="G3:G66" si="0">F4</f>
        <v>160</v>
      </c>
      <c r="H3">
        <v>2149</v>
      </c>
      <c r="I3">
        <v>1624</v>
      </c>
      <c r="J3">
        <v>255</v>
      </c>
      <c r="K3">
        <v>374991</v>
      </c>
      <c r="L3">
        <v>-0.22270000000000001</v>
      </c>
      <c r="M3">
        <v>2.2000000000000002</v>
      </c>
      <c r="N3">
        <v>2.2000000000000002</v>
      </c>
      <c r="P3">
        <v>5.9</v>
      </c>
      <c r="Q3">
        <v>1.5</v>
      </c>
    </row>
    <row r="4" spans="1:19" ht="15">
      <c r="A4" s="6" t="s">
        <v>17</v>
      </c>
      <c r="B4">
        <v>2018</v>
      </c>
      <c r="C4" t="s">
        <v>20</v>
      </c>
      <c r="D4" s="1">
        <v>43220</v>
      </c>
      <c r="E4" s="1">
        <v>43202</v>
      </c>
      <c r="F4">
        <v>160</v>
      </c>
      <c r="G4">
        <f t="shared" si="0"/>
        <v>186</v>
      </c>
      <c r="H4">
        <v>2152</v>
      </c>
      <c r="I4" s="9">
        <v>1647</v>
      </c>
      <c r="J4">
        <v>316</v>
      </c>
      <c r="K4">
        <v>386933</v>
      </c>
      <c r="L4">
        <v>-0.15809999999999999</v>
      </c>
      <c r="M4">
        <v>2.4</v>
      </c>
      <c r="N4">
        <v>2.1</v>
      </c>
      <c r="P4">
        <v>5.8</v>
      </c>
      <c r="Q4">
        <v>1.5</v>
      </c>
    </row>
    <row r="5" spans="1:19" ht="15">
      <c r="A5" s="6" t="s">
        <v>17</v>
      </c>
      <c r="B5">
        <v>2018</v>
      </c>
      <c r="C5" t="s">
        <v>21</v>
      </c>
      <c r="D5" s="1">
        <v>43312</v>
      </c>
      <c r="E5" s="1">
        <v>43284</v>
      </c>
      <c r="F5">
        <v>186</v>
      </c>
      <c r="G5">
        <f t="shared" si="0"/>
        <v>175</v>
      </c>
      <c r="H5">
        <v>2076</v>
      </c>
      <c r="I5" s="9">
        <v>1660</v>
      </c>
      <c r="J5">
        <v>150</v>
      </c>
      <c r="K5">
        <v>395295</v>
      </c>
      <c r="L5">
        <v>2.0799999999999999E-2</v>
      </c>
      <c r="M5">
        <v>2.5</v>
      </c>
      <c r="N5">
        <v>2.1</v>
      </c>
      <c r="P5">
        <v>5.8</v>
      </c>
      <c r="Q5">
        <v>1.75</v>
      </c>
    </row>
    <row r="6" spans="1:19" ht="15">
      <c r="A6" s="6" t="s">
        <v>17</v>
      </c>
      <c r="B6">
        <v>2018</v>
      </c>
      <c r="C6" t="s">
        <v>18</v>
      </c>
      <c r="D6" s="1">
        <v>43404</v>
      </c>
      <c r="E6" s="1">
        <v>43388</v>
      </c>
      <c r="F6">
        <v>175</v>
      </c>
      <c r="G6">
        <f t="shared" si="0"/>
        <v>137</v>
      </c>
      <c r="H6">
        <v>1936</v>
      </c>
      <c r="I6" s="9">
        <v>1639</v>
      </c>
      <c r="J6">
        <v>203</v>
      </c>
      <c r="K6">
        <v>404215</v>
      </c>
      <c r="L6">
        <v>-0.1053</v>
      </c>
      <c r="M6">
        <v>2.1</v>
      </c>
      <c r="N6">
        <v>2.4</v>
      </c>
      <c r="P6">
        <v>5.8</v>
      </c>
      <c r="Q6">
        <v>2</v>
      </c>
    </row>
    <row r="7" spans="1:19" ht="15">
      <c r="A7" s="6" t="s">
        <v>17</v>
      </c>
      <c r="B7">
        <v>2019</v>
      </c>
      <c r="C7" t="s">
        <v>19</v>
      </c>
      <c r="D7" s="1">
        <v>43496</v>
      </c>
      <c r="E7" s="1">
        <v>43476</v>
      </c>
      <c r="F7">
        <v>137</v>
      </c>
      <c r="G7">
        <f t="shared" si="0"/>
        <v>176</v>
      </c>
      <c r="H7">
        <v>2019</v>
      </c>
      <c r="I7" s="9">
        <v>1628</v>
      </c>
      <c r="J7">
        <v>106</v>
      </c>
      <c r="K7">
        <v>420761</v>
      </c>
      <c r="L7">
        <v>-0.1154</v>
      </c>
      <c r="M7">
        <v>2.4</v>
      </c>
      <c r="N7">
        <v>1.8</v>
      </c>
      <c r="P7">
        <v>5.7</v>
      </c>
      <c r="Q7">
        <v>2</v>
      </c>
    </row>
    <row r="8" spans="1:19" ht="15">
      <c r="A8" s="6" t="s">
        <v>17</v>
      </c>
      <c r="B8">
        <v>2019</v>
      </c>
      <c r="C8" t="s">
        <v>20</v>
      </c>
      <c r="D8" s="1">
        <v>43585</v>
      </c>
      <c r="E8" s="1">
        <v>43567</v>
      </c>
      <c r="F8">
        <v>176</v>
      </c>
      <c r="G8">
        <f t="shared" si="0"/>
        <v>306</v>
      </c>
      <c r="H8">
        <v>2335</v>
      </c>
      <c r="I8" s="9">
        <v>1710</v>
      </c>
      <c r="J8">
        <v>102</v>
      </c>
      <c r="K8">
        <v>436654</v>
      </c>
      <c r="L8">
        <v>0.10199999999999999</v>
      </c>
      <c r="M8">
        <v>2.4</v>
      </c>
      <c r="N8">
        <v>1.5</v>
      </c>
      <c r="P8">
        <v>5.9</v>
      </c>
      <c r="Q8">
        <v>1.75</v>
      </c>
    </row>
    <row r="9" spans="1:19" ht="15">
      <c r="A9" s="6" t="s">
        <v>17</v>
      </c>
      <c r="B9">
        <v>2019</v>
      </c>
      <c r="C9" t="s">
        <v>21</v>
      </c>
      <c r="D9" s="1">
        <v>43677</v>
      </c>
      <c r="E9" s="1">
        <v>43658</v>
      </c>
      <c r="F9">
        <v>306</v>
      </c>
      <c r="G9">
        <f t="shared" si="0"/>
        <v>253</v>
      </c>
      <c r="H9">
        <v>2432</v>
      </c>
      <c r="I9" s="9">
        <v>1802</v>
      </c>
      <c r="J9">
        <v>175</v>
      </c>
      <c r="K9">
        <v>444390</v>
      </c>
      <c r="L9">
        <v>-0.19550000000000001</v>
      </c>
      <c r="M9">
        <v>2.2999999999999998</v>
      </c>
      <c r="N9">
        <v>1.7</v>
      </c>
      <c r="P9">
        <v>5.7</v>
      </c>
      <c r="Q9">
        <v>1.75</v>
      </c>
    </row>
    <row r="10" spans="1:19" ht="15">
      <c r="A10" s="6" t="s">
        <v>17</v>
      </c>
      <c r="B10">
        <v>2019</v>
      </c>
      <c r="C10" t="s">
        <v>18</v>
      </c>
      <c r="D10" s="1">
        <v>43769</v>
      </c>
      <c r="E10" s="1">
        <v>43748</v>
      </c>
      <c r="F10">
        <v>253</v>
      </c>
      <c r="G10">
        <f t="shared" si="0"/>
        <v>349</v>
      </c>
      <c r="H10">
        <v>2629</v>
      </c>
      <c r="I10" s="9">
        <v>1850</v>
      </c>
      <c r="J10">
        <v>194</v>
      </c>
      <c r="K10">
        <v>451537</v>
      </c>
      <c r="L10">
        <v>8.0399999999999999E-2</v>
      </c>
      <c r="M10">
        <v>2</v>
      </c>
      <c r="N10">
        <v>2.1</v>
      </c>
      <c r="P10">
        <v>5.9</v>
      </c>
      <c r="Q10">
        <v>1.25</v>
      </c>
    </row>
    <row r="11" spans="1:19" ht="15">
      <c r="A11" s="6" t="s">
        <v>17</v>
      </c>
      <c r="B11">
        <v>2020</v>
      </c>
      <c r="C11" t="s">
        <v>19</v>
      </c>
      <c r="D11" s="1">
        <v>43861</v>
      </c>
      <c r="E11" s="1">
        <v>43843</v>
      </c>
      <c r="F11">
        <v>349</v>
      </c>
      <c r="G11">
        <f t="shared" si="0"/>
        <v>1118</v>
      </c>
      <c r="H11">
        <v>2822</v>
      </c>
      <c r="I11" s="9">
        <v>2023</v>
      </c>
      <c r="J11">
        <v>157</v>
      </c>
      <c r="K11">
        <v>457098</v>
      </c>
      <c r="L11">
        <v>6.3E-3</v>
      </c>
      <c r="M11">
        <v>1.7</v>
      </c>
      <c r="N11">
        <v>1.2</v>
      </c>
      <c r="P11">
        <v>5.8</v>
      </c>
      <c r="Q11">
        <v>1.25</v>
      </c>
    </row>
    <row r="12" spans="1:19" ht="15">
      <c r="A12" s="6" t="s">
        <v>17</v>
      </c>
      <c r="B12">
        <v>2020</v>
      </c>
      <c r="C12" t="s">
        <v>20</v>
      </c>
      <c r="D12" s="1">
        <v>43951</v>
      </c>
      <c r="E12" s="1">
        <v>43938</v>
      </c>
      <c r="F12">
        <v>1118</v>
      </c>
      <c r="G12">
        <f t="shared" si="0"/>
        <v>1054</v>
      </c>
      <c r="H12">
        <v>3645</v>
      </c>
      <c r="I12" s="11" t="s">
        <v>22</v>
      </c>
      <c r="J12">
        <v>293</v>
      </c>
      <c r="K12">
        <v>494192</v>
      </c>
      <c r="L12">
        <v>3.5095999999999998</v>
      </c>
      <c r="M12">
        <v>21.3</v>
      </c>
      <c r="N12">
        <v>-11.5</v>
      </c>
      <c r="P12">
        <v>10.9</v>
      </c>
      <c r="Q12">
        <v>0.25</v>
      </c>
    </row>
    <row r="13" spans="1:19">
      <c r="A13" t="s">
        <v>17</v>
      </c>
      <c r="B13">
        <v>2020</v>
      </c>
      <c r="C13" t="s">
        <v>21</v>
      </c>
      <c r="D13" s="1">
        <v>44043</v>
      </c>
      <c r="E13" s="1">
        <v>43987</v>
      </c>
      <c r="F13">
        <v>1054</v>
      </c>
      <c r="G13">
        <f t="shared" si="0"/>
        <v>432</v>
      </c>
      <c r="H13">
        <v>4413</v>
      </c>
      <c r="I13">
        <v>3251</v>
      </c>
      <c r="J13">
        <v>384</v>
      </c>
      <c r="K13">
        <v>466611</v>
      </c>
      <c r="L13">
        <v>3.3616000000000001</v>
      </c>
      <c r="M13">
        <v>18.899999999999999</v>
      </c>
      <c r="N13">
        <v>-5.0999999999999996</v>
      </c>
      <c r="O13">
        <v>9.6</v>
      </c>
      <c r="P13">
        <v>10.3</v>
      </c>
      <c r="Q13">
        <v>0.25</v>
      </c>
    </row>
    <row r="14" spans="1:19">
      <c r="A14" s="6" t="s">
        <v>17</v>
      </c>
      <c r="B14">
        <v>2020</v>
      </c>
      <c r="C14" t="s">
        <v>18</v>
      </c>
      <c r="D14" s="1">
        <v>44135</v>
      </c>
      <c r="E14" s="1">
        <v>44118</v>
      </c>
      <c r="F14">
        <v>432</v>
      </c>
      <c r="G14">
        <f t="shared" si="0"/>
        <v>156</v>
      </c>
      <c r="H14">
        <v>3638</v>
      </c>
      <c r="I14">
        <v>3303</v>
      </c>
      <c r="J14">
        <v>294</v>
      </c>
      <c r="K14">
        <v>461800</v>
      </c>
      <c r="L14">
        <v>-3.1535000000000002</v>
      </c>
      <c r="M14">
        <v>5.3</v>
      </c>
      <c r="N14">
        <v>-0.9</v>
      </c>
      <c r="O14">
        <v>7.9</v>
      </c>
      <c r="P14">
        <v>7.7</v>
      </c>
      <c r="Q14">
        <v>0.25</v>
      </c>
    </row>
    <row r="15" spans="1:19">
      <c r="A15" t="s">
        <v>17</v>
      </c>
      <c r="B15">
        <v>2021</v>
      </c>
      <c r="C15" t="s">
        <v>19</v>
      </c>
      <c r="D15" s="1">
        <v>44227</v>
      </c>
      <c r="E15" s="1">
        <v>44208</v>
      </c>
      <c r="F15">
        <v>156</v>
      </c>
      <c r="G15">
        <f t="shared" si="0"/>
        <v>60</v>
      </c>
      <c r="H15">
        <v>3442</v>
      </c>
      <c r="I15">
        <v>3188</v>
      </c>
      <c r="J15">
        <v>192</v>
      </c>
      <c r="K15">
        <v>466922</v>
      </c>
      <c r="L15">
        <v>-0.49530000000000002</v>
      </c>
      <c r="M15">
        <v>7.9</v>
      </c>
      <c r="N15">
        <v>11.8</v>
      </c>
      <c r="O15">
        <v>8.5</v>
      </c>
      <c r="P15">
        <v>8.1</v>
      </c>
      <c r="Q15">
        <v>0.25</v>
      </c>
    </row>
    <row r="16" spans="1:19" ht="15">
      <c r="A16" s="6" t="s">
        <v>17</v>
      </c>
      <c r="B16">
        <v>2021</v>
      </c>
      <c r="C16" t="s">
        <v>20</v>
      </c>
      <c r="D16" s="1">
        <v>44316</v>
      </c>
      <c r="E16" s="1">
        <v>44308</v>
      </c>
      <c r="F16">
        <v>60</v>
      </c>
      <c r="G16">
        <f t="shared" si="0"/>
        <v>-70</v>
      </c>
      <c r="H16">
        <v>3000</v>
      </c>
      <c r="I16" s="9">
        <v>3028</v>
      </c>
      <c r="J16">
        <v>145</v>
      </c>
      <c r="K16">
        <v>459589</v>
      </c>
      <c r="L16">
        <v>-0.74919999999999998</v>
      </c>
      <c r="M16">
        <v>8.5</v>
      </c>
      <c r="N16">
        <v>6.8</v>
      </c>
      <c r="O16">
        <v>6.9</v>
      </c>
      <c r="P16">
        <v>7.3</v>
      </c>
      <c r="Q16">
        <v>0.25</v>
      </c>
    </row>
    <row r="17" spans="1:17" ht="15">
      <c r="A17" s="6" t="s">
        <v>17</v>
      </c>
      <c r="B17">
        <v>2021</v>
      </c>
      <c r="C17" t="s">
        <v>21</v>
      </c>
      <c r="D17" s="1">
        <v>44408</v>
      </c>
      <c r="E17" s="1">
        <v>44400</v>
      </c>
      <c r="F17">
        <v>-70</v>
      </c>
      <c r="G17">
        <f t="shared" si="0"/>
        <v>-126</v>
      </c>
      <c r="H17">
        <v>2430</v>
      </c>
      <c r="I17" s="9">
        <v>2824</v>
      </c>
      <c r="J17">
        <v>162</v>
      </c>
      <c r="K17">
        <v>472703</v>
      </c>
      <c r="L17">
        <v>-0.28339999999999999</v>
      </c>
      <c r="M17">
        <v>5.3</v>
      </c>
      <c r="N17">
        <v>5.2</v>
      </c>
      <c r="O17">
        <v>6.7</v>
      </c>
      <c r="P17">
        <v>7.6</v>
      </c>
      <c r="Q17">
        <v>0.25</v>
      </c>
    </row>
    <row r="18" spans="1:17" ht="15">
      <c r="A18" s="6" t="s">
        <v>17</v>
      </c>
      <c r="B18">
        <v>2021</v>
      </c>
      <c r="C18" t="s">
        <v>18</v>
      </c>
      <c r="D18" s="1">
        <v>44500</v>
      </c>
      <c r="E18" s="1">
        <v>44489</v>
      </c>
      <c r="F18">
        <v>-126</v>
      </c>
      <c r="G18">
        <f t="shared" si="0"/>
        <v>-99</v>
      </c>
      <c r="H18">
        <v>2169</v>
      </c>
      <c r="I18" s="9">
        <v>2564</v>
      </c>
      <c r="J18">
        <v>118</v>
      </c>
      <c r="K18">
        <v>474847</v>
      </c>
      <c r="L18">
        <v>-0.9829</v>
      </c>
      <c r="M18">
        <v>3.4</v>
      </c>
      <c r="N18">
        <v>2.6</v>
      </c>
      <c r="O18">
        <v>6.2</v>
      </c>
      <c r="P18">
        <v>5.6</v>
      </c>
      <c r="Q18">
        <v>0.25</v>
      </c>
    </row>
    <row r="19" spans="1:17" ht="15">
      <c r="A19" s="6" t="s">
        <v>17</v>
      </c>
      <c r="B19">
        <v>2022</v>
      </c>
      <c r="C19" t="s">
        <v>19</v>
      </c>
      <c r="D19" s="1">
        <v>44592</v>
      </c>
      <c r="E19" s="1">
        <v>44580</v>
      </c>
      <c r="F19">
        <v>-99</v>
      </c>
      <c r="G19">
        <f t="shared" si="0"/>
        <v>50</v>
      </c>
      <c r="H19">
        <v>2219</v>
      </c>
      <c r="I19" s="9">
        <v>2405</v>
      </c>
      <c r="J19">
        <v>89</v>
      </c>
      <c r="K19">
        <v>499568</v>
      </c>
      <c r="L19">
        <v>-0.72670000000000001</v>
      </c>
      <c r="M19">
        <v>7.1</v>
      </c>
      <c r="N19">
        <v>4.5999999999999996</v>
      </c>
      <c r="O19">
        <v>5.5</v>
      </c>
      <c r="P19">
        <v>5.4</v>
      </c>
      <c r="Q19">
        <v>1.5</v>
      </c>
    </row>
    <row r="20" spans="1:17" ht="15">
      <c r="A20" s="6" t="s">
        <v>17</v>
      </c>
      <c r="B20">
        <v>2022</v>
      </c>
      <c r="C20" t="s">
        <v>20</v>
      </c>
      <c r="D20" s="1">
        <v>44681</v>
      </c>
      <c r="E20" s="1">
        <v>44663</v>
      </c>
      <c r="F20">
        <v>50</v>
      </c>
      <c r="G20">
        <f t="shared" si="0"/>
        <v>136</v>
      </c>
      <c r="H20">
        <v>2123</v>
      </c>
      <c r="I20" s="9">
        <v>2403</v>
      </c>
      <c r="J20">
        <v>77</v>
      </c>
      <c r="K20">
        <v>517954</v>
      </c>
      <c r="L20">
        <v>-0.75439999999999996</v>
      </c>
      <c r="M20">
        <v>4</v>
      </c>
      <c r="N20">
        <v>4.8</v>
      </c>
      <c r="O20">
        <v>4.9000000000000004</v>
      </c>
      <c r="P20">
        <v>5.2</v>
      </c>
      <c r="Q20">
        <v>2</v>
      </c>
    </row>
    <row r="21" spans="1:17" ht="15">
      <c r="A21" s="6" t="s">
        <v>17</v>
      </c>
      <c r="B21">
        <v>2022</v>
      </c>
      <c r="C21" t="s">
        <v>21</v>
      </c>
      <c r="D21" s="1">
        <v>44773</v>
      </c>
      <c r="E21" s="1">
        <v>44760</v>
      </c>
      <c r="F21">
        <v>136</v>
      </c>
      <c r="G21">
        <f t="shared" si="0"/>
        <v>226</v>
      </c>
      <c r="H21">
        <v>1954</v>
      </c>
      <c r="I21" s="9">
        <v>2412</v>
      </c>
      <c r="J21">
        <v>107</v>
      </c>
      <c r="K21">
        <v>537829</v>
      </c>
      <c r="L21">
        <v>-0.40350000000000003</v>
      </c>
      <c r="M21">
        <v>1.9</v>
      </c>
      <c r="N21">
        <v>2.6</v>
      </c>
      <c r="O21">
        <v>5.2</v>
      </c>
      <c r="P21">
        <v>5.3</v>
      </c>
      <c r="Q21">
        <v>3.5</v>
      </c>
    </row>
    <row r="22" spans="1:17" ht="15">
      <c r="A22" s="6" t="s">
        <v>17</v>
      </c>
      <c r="B22">
        <v>2022</v>
      </c>
      <c r="C22" t="s">
        <v>18</v>
      </c>
      <c r="D22" s="1">
        <v>44865</v>
      </c>
      <c r="E22" s="1">
        <v>44851</v>
      </c>
      <c r="F22">
        <v>226</v>
      </c>
      <c r="G22">
        <f t="shared" si="0"/>
        <v>217</v>
      </c>
      <c r="H22">
        <v>1991</v>
      </c>
      <c r="I22" s="9">
        <v>2617</v>
      </c>
      <c r="J22">
        <v>124</v>
      </c>
      <c r="K22">
        <v>567191</v>
      </c>
      <c r="L22">
        <v>0.1454</v>
      </c>
      <c r="M22">
        <v>-0.1</v>
      </c>
      <c r="N22">
        <v>1.3</v>
      </c>
      <c r="O22">
        <v>5.7</v>
      </c>
      <c r="P22">
        <v>6</v>
      </c>
      <c r="Q22">
        <v>4.25</v>
      </c>
    </row>
    <row r="23" spans="1:17" ht="15">
      <c r="A23" s="6" t="s">
        <v>17</v>
      </c>
      <c r="B23">
        <v>2023</v>
      </c>
      <c r="C23" t="s">
        <v>19</v>
      </c>
      <c r="D23" s="1">
        <v>44957</v>
      </c>
      <c r="E23" s="1">
        <v>44903</v>
      </c>
      <c r="F23">
        <v>217</v>
      </c>
      <c r="G23">
        <f t="shared" si="0"/>
        <v>1023</v>
      </c>
      <c r="H23">
        <v>2027</v>
      </c>
      <c r="I23" s="9">
        <v>2638</v>
      </c>
      <c r="J23">
        <v>175</v>
      </c>
      <c r="K23">
        <v>562537</v>
      </c>
      <c r="L23">
        <v>-8.9800000000000005E-2</v>
      </c>
      <c r="M23">
        <v>-0.1</v>
      </c>
      <c r="N23">
        <v>0.9</v>
      </c>
      <c r="O23">
        <v>5.7</v>
      </c>
      <c r="P23">
        <v>5.8</v>
      </c>
      <c r="Q23">
        <v>4.25</v>
      </c>
    </row>
    <row r="24" spans="1:17" ht="15">
      <c r="A24" s="6" t="s">
        <v>17</v>
      </c>
      <c r="B24">
        <v>2023</v>
      </c>
      <c r="C24" t="s">
        <v>20</v>
      </c>
      <c r="D24" s="1">
        <v>45046</v>
      </c>
      <c r="E24" s="1">
        <v>45002</v>
      </c>
      <c r="F24">
        <v>1023</v>
      </c>
      <c r="G24">
        <f t="shared" si="0"/>
        <v>492</v>
      </c>
      <c r="H24">
        <v>2658</v>
      </c>
      <c r="I24" s="10" t="s">
        <v>23</v>
      </c>
      <c r="J24">
        <v>202</v>
      </c>
      <c r="K24">
        <v>648716</v>
      </c>
      <c r="L24">
        <v>4.7300000000000002E-2</v>
      </c>
      <c r="M24">
        <v>-0.7</v>
      </c>
      <c r="N24">
        <v>0</v>
      </c>
      <c r="O24">
        <v>5.5</v>
      </c>
      <c r="P24">
        <v>5.4</v>
      </c>
      <c r="Q24">
        <v>4.5</v>
      </c>
    </row>
    <row r="25" spans="1:17" ht="15">
      <c r="A25" t="s">
        <v>17</v>
      </c>
      <c r="B25">
        <v>2023</v>
      </c>
      <c r="C25" t="s">
        <v>21</v>
      </c>
      <c r="D25" s="1">
        <v>45138</v>
      </c>
      <c r="E25" s="1">
        <v>45127</v>
      </c>
      <c r="F25">
        <v>492</v>
      </c>
      <c r="G25">
        <f t="shared" si="0"/>
        <v>446</v>
      </c>
      <c r="H25">
        <v>2844</v>
      </c>
      <c r="I25" s="9">
        <v>3520</v>
      </c>
      <c r="J25">
        <v>246</v>
      </c>
      <c r="K25">
        <v>643911</v>
      </c>
      <c r="L25">
        <v>0.23949999999999999</v>
      </c>
      <c r="M25">
        <v>0.2</v>
      </c>
      <c r="N25">
        <v>1.5</v>
      </c>
      <c r="O25">
        <v>5.8</v>
      </c>
      <c r="P25">
        <v>5.4</v>
      </c>
      <c r="Q25">
        <v>5</v>
      </c>
    </row>
    <row r="26" spans="1:17" ht="15">
      <c r="A26" s="6" t="s">
        <v>17</v>
      </c>
      <c r="B26">
        <v>2023</v>
      </c>
      <c r="C26" t="s">
        <v>18</v>
      </c>
      <c r="D26" s="1">
        <v>45230</v>
      </c>
      <c r="E26" s="1">
        <v>45222</v>
      </c>
      <c r="F26">
        <v>446</v>
      </c>
      <c r="G26">
        <f t="shared" si="0"/>
        <v>627</v>
      </c>
      <c r="H26">
        <v>3960</v>
      </c>
      <c r="I26" s="9">
        <v>3807</v>
      </c>
      <c r="J26">
        <v>301</v>
      </c>
      <c r="K26">
        <v>668396</v>
      </c>
      <c r="L26">
        <v>0.1736</v>
      </c>
      <c r="M26">
        <v>0.4</v>
      </c>
      <c r="N26">
        <v>0.4</v>
      </c>
      <c r="O26">
        <v>5.8</v>
      </c>
      <c r="P26">
        <v>6.1</v>
      </c>
      <c r="Q26">
        <v>5</v>
      </c>
    </row>
    <row r="27" spans="1:17" ht="15">
      <c r="A27" s="6" t="s">
        <v>17</v>
      </c>
      <c r="B27">
        <v>2024</v>
      </c>
      <c r="C27" t="s">
        <v>19</v>
      </c>
      <c r="D27" s="1">
        <v>45322</v>
      </c>
      <c r="E27" s="1">
        <v>45275</v>
      </c>
      <c r="F27">
        <v>627</v>
      </c>
      <c r="G27">
        <f t="shared" si="0"/>
        <v>705</v>
      </c>
      <c r="H27">
        <v>4259</v>
      </c>
      <c r="I27" s="9">
        <v>3756</v>
      </c>
      <c r="J27">
        <v>383</v>
      </c>
      <c r="K27">
        <v>652932</v>
      </c>
      <c r="L27">
        <v>0.2442</v>
      </c>
      <c r="M27">
        <v>0.9</v>
      </c>
      <c r="N27">
        <v>0.1</v>
      </c>
      <c r="O27">
        <v>6.3</v>
      </c>
      <c r="P27">
        <v>6.4</v>
      </c>
      <c r="Q27">
        <v>4.75</v>
      </c>
    </row>
    <row r="28" spans="1:17" ht="15">
      <c r="A28" s="6" t="s">
        <v>17</v>
      </c>
      <c r="B28">
        <v>2024</v>
      </c>
      <c r="C28" t="s">
        <v>20</v>
      </c>
      <c r="D28" s="1">
        <v>45412</v>
      </c>
      <c r="E28" s="1">
        <v>45400</v>
      </c>
      <c r="F28">
        <v>705</v>
      </c>
      <c r="G28">
        <f t="shared" si="0"/>
        <v>906</v>
      </c>
      <c r="H28">
        <v>5260</v>
      </c>
      <c r="I28" s="9">
        <v>4014</v>
      </c>
      <c r="J28">
        <v>419</v>
      </c>
      <c r="K28">
        <v>664658</v>
      </c>
      <c r="L28">
        <v>0.33110000000000001</v>
      </c>
      <c r="M28">
        <v>1.7</v>
      </c>
      <c r="N28">
        <v>1.8</v>
      </c>
      <c r="O28">
        <v>6.3</v>
      </c>
      <c r="P28">
        <v>6.2</v>
      </c>
      <c r="Q28">
        <v>4.75</v>
      </c>
    </row>
    <row r="29" spans="1:17" ht="15">
      <c r="A29" s="6" t="s">
        <v>17</v>
      </c>
      <c r="B29">
        <v>2024</v>
      </c>
      <c r="C29" t="s">
        <v>21</v>
      </c>
      <c r="D29" s="1">
        <v>45504</v>
      </c>
      <c r="E29" s="1">
        <v>45491</v>
      </c>
      <c r="F29">
        <v>906</v>
      </c>
      <c r="G29">
        <f t="shared" si="0"/>
        <v>1523</v>
      </c>
      <c r="H29">
        <v>6041</v>
      </c>
      <c r="I29" s="9">
        <v>4276</v>
      </c>
      <c r="J29">
        <v>537</v>
      </c>
      <c r="K29">
        <v>677995</v>
      </c>
      <c r="L29">
        <v>0.27979999999999999</v>
      </c>
      <c r="M29">
        <v>2.2000000000000002</v>
      </c>
      <c r="N29">
        <v>1.9</v>
      </c>
      <c r="O29">
        <v>6.6</v>
      </c>
      <c r="P29">
        <v>6.3</v>
      </c>
      <c r="Q29">
        <v>4</v>
      </c>
    </row>
    <row r="30" spans="1:17" ht="15">
      <c r="A30" s="6" t="s">
        <v>17</v>
      </c>
      <c r="B30">
        <v>2024</v>
      </c>
      <c r="C30" t="s">
        <v>18</v>
      </c>
      <c r="D30" s="1">
        <v>45596</v>
      </c>
      <c r="E30" s="1">
        <v>45583</v>
      </c>
      <c r="F30">
        <v>1523</v>
      </c>
      <c r="G30">
        <f t="shared" si="0"/>
        <v>1011</v>
      </c>
      <c r="H30">
        <v>5843</v>
      </c>
      <c r="I30" s="9">
        <v>4356</v>
      </c>
      <c r="J30">
        <v>1244</v>
      </c>
      <c r="K30">
        <v>682731</v>
      </c>
      <c r="L30">
        <v>0.17169999999999999</v>
      </c>
      <c r="M30">
        <v>2.1</v>
      </c>
      <c r="N30">
        <v>1.9</v>
      </c>
      <c r="O30">
        <v>6.6</v>
      </c>
      <c r="P30">
        <v>6.5</v>
      </c>
      <c r="Q30">
        <v>3.25</v>
      </c>
    </row>
    <row r="31" spans="1:17" ht="15">
      <c r="A31" s="6" t="s">
        <v>17</v>
      </c>
      <c r="B31">
        <v>2025</v>
      </c>
      <c r="C31" t="s">
        <v>19</v>
      </c>
      <c r="D31" s="1">
        <v>45688</v>
      </c>
      <c r="E31" s="1">
        <v>45638</v>
      </c>
      <c r="F31">
        <v>1011</v>
      </c>
      <c r="G31">
        <f t="shared" si="0"/>
        <v>1054</v>
      </c>
      <c r="H31">
        <v>6954</v>
      </c>
      <c r="I31" s="9">
        <v>4792</v>
      </c>
      <c r="J31">
        <v>504</v>
      </c>
      <c r="K31">
        <v>694027</v>
      </c>
      <c r="L31">
        <v>0.23069999999999999</v>
      </c>
      <c r="M31">
        <v>3.1</v>
      </c>
      <c r="N31">
        <v>2.2000000000000002</v>
      </c>
      <c r="O31">
        <v>6.6</v>
      </c>
      <c r="P31">
        <v>6.6</v>
      </c>
      <c r="Q31">
        <v>3</v>
      </c>
    </row>
    <row r="32" spans="1:17" ht="15">
      <c r="A32" s="6" t="s">
        <v>17</v>
      </c>
      <c r="B32">
        <v>2025</v>
      </c>
      <c r="C32" t="s">
        <v>20</v>
      </c>
      <c r="D32" s="1">
        <v>45777</v>
      </c>
      <c r="E32" s="1">
        <v>45763</v>
      </c>
      <c r="F32">
        <v>1054</v>
      </c>
      <c r="G32">
        <f t="shared" si="0"/>
        <v>797</v>
      </c>
      <c r="H32">
        <v>6739</v>
      </c>
      <c r="I32" s="9">
        <v>4960</v>
      </c>
      <c r="J32">
        <v>577</v>
      </c>
      <c r="K32">
        <v>681102</v>
      </c>
      <c r="L32">
        <v>-1.49E-2</v>
      </c>
      <c r="M32">
        <v>0.9</v>
      </c>
      <c r="N32">
        <v>1.4</v>
      </c>
      <c r="O32">
        <v>7.4</v>
      </c>
      <c r="P32">
        <v>7.2</v>
      </c>
      <c r="Q32">
        <v>2.75</v>
      </c>
    </row>
    <row r="33" spans="1:17" ht="15">
      <c r="A33" s="6" t="s">
        <v>17</v>
      </c>
      <c r="B33">
        <v>2025</v>
      </c>
      <c r="C33" t="s">
        <v>21</v>
      </c>
      <c r="D33" s="1">
        <v>45869</v>
      </c>
      <c r="E33" s="1">
        <v>45855</v>
      </c>
      <c r="F33" s="8">
        <v>797</v>
      </c>
      <c r="G33">
        <f t="shared" si="0"/>
        <v>755</v>
      </c>
      <c r="H33">
        <v>6951</v>
      </c>
      <c r="I33" s="9">
        <v>5165</v>
      </c>
      <c r="J33">
        <v>496</v>
      </c>
      <c r="K33">
        <v>682750</v>
      </c>
      <c r="L33">
        <v>0.1555</v>
      </c>
      <c r="M33">
        <v>0.9</v>
      </c>
      <c r="N33">
        <v>1.1000000000000001</v>
      </c>
      <c r="O33">
        <v>7.1</v>
      </c>
      <c r="P33">
        <v>6.9</v>
      </c>
      <c r="Q33">
        <v>2.75</v>
      </c>
    </row>
    <row r="34" spans="1:17">
      <c r="A34" s="6" t="s">
        <v>17</v>
      </c>
      <c r="B34">
        <v>2025</v>
      </c>
      <c r="C34" t="s">
        <v>18</v>
      </c>
      <c r="D34" s="1">
        <v>45961</v>
      </c>
      <c r="E34" s="1">
        <v>45911</v>
      </c>
      <c r="F34">
        <v>755</v>
      </c>
      <c r="H34">
        <v>7091</v>
      </c>
      <c r="I34">
        <v>5050</v>
      </c>
      <c r="J34">
        <v>712</v>
      </c>
      <c r="K34">
        <v>682922</v>
      </c>
      <c r="L34">
        <v>7.7399999999999997E-2</v>
      </c>
      <c r="M34">
        <v>2.6</v>
      </c>
      <c r="N34">
        <v>0.7</v>
      </c>
      <c r="O34">
        <v>7.1</v>
      </c>
      <c r="P34">
        <v>6.8</v>
      </c>
      <c r="Q34">
        <v>2.25</v>
      </c>
    </row>
    <row r="35" spans="1:17" ht="15">
      <c r="A35" s="6" t="s">
        <v>24</v>
      </c>
      <c r="B35">
        <v>2017</v>
      </c>
      <c r="C35" t="s">
        <v>18</v>
      </c>
      <c r="D35" s="1">
        <v>43039</v>
      </c>
      <c r="E35" s="1">
        <v>43013</v>
      </c>
      <c r="F35">
        <v>536</v>
      </c>
      <c r="G35">
        <f t="shared" si="0"/>
        <v>544</v>
      </c>
      <c r="H35">
        <v>4865</v>
      </c>
      <c r="I35">
        <v>4068</v>
      </c>
      <c r="J35">
        <v>560</v>
      </c>
      <c r="K35">
        <v>522200</v>
      </c>
      <c r="L35">
        <v>-0.21429999999999999</v>
      </c>
      <c r="M35">
        <v>1.7</v>
      </c>
      <c r="N35">
        <v>2.7</v>
      </c>
      <c r="P35">
        <v>6.3</v>
      </c>
      <c r="Q35">
        <v>1.5</v>
      </c>
    </row>
    <row r="36" spans="1:17" ht="15">
      <c r="A36" s="6" t="s">
        <v>24</v>
      </c>
      <c r="B36">
        <v>2018</v>
      </c>
      <c r="C36" t="s">
        <v>19</v>
      </c>
      <c r="D36" s="1">
        <v>43131</v>
      </c>
      <c r="E36" s="1">
        <v>43112</v>
      </c>
      <c r="F36">
        <v>544</v>
      </c>
      <c r="G36">
        <f t="shared" si="0"/>
        <v>534</v>
      </c>
      <c r="H36">
        <v>4978</v>
      </c>
      <c r="I36">
        <v>4923</v>
      </c>
      <c r="J36">
        <v>602</v>
      </c>
      <c r="K36">
        <v>524400</v>
      </c>
      <c r="L36">
        <v>-0.22270000000000001</v>
      </c>
      <c r="M36">
        <v>2.2000000000000002</v>
      </c>
      <c r="N36">
        <v>2.2000000000000002</v>
      </c>
      <c r="P36">
        <v>5.9</v>
      </c>
      <c r="Q36">
        <v>1.5</v>
      </c>
    </row>
    <row r="37" spans="1:17" ht="15">
      <c r="A37" s="6" t="s">
        <v>24</v>
      </c>
      <c r="B37">
        <v>2018</v>
      </c>
      <c r="C37" t="s">
        <v>20</v>
      </c>
      <c r="D37" s="1">
        <v>43220</v>
      </c>
      <c r="E37" s="1">
        <v>43202</v>
      </c>
      <c r="F37">
        <v>534</v>
      </c>
      <c r="G37">
        <f t="shared" si="0"/>
        <v>539</v>
      </c>
      <c r="H37">
        <v>5127</v>
      </c>
      <c r="I37">
        <v>5017</v>
      </c>
      <c r="J37">
        <v>580</v>
      </c>
      <c r="K37">
        <v>539900</v>
      </c>
      <c r="L37">
        <v>-0.15809999999999999</v>
      </c>
      <c r="M37">
        <v>2.4</v>
      </c>
      <c r="N37">
        <v>2.1</v>
      </c>
      <c r="P37">
        <v>5.8</v>
      </c>
      <c r="Q37">
        <v>1.5</v>
      </c>
    </row>
    <row r="38" spans="1:17">
      <c r="A38" s="6" t="s">
        <v>24</v>
      </c>
      <c r="B38">
        <v>2018</v>
      </c>
      <c r="C38" t="s">
        <v>21</v>
      </c>
      <c r="D38" s="1">
        <v>43312</v>
      </c>
      <c r="E38" s="1">
        <v>43284</v>
      </c>
      <c r="F38">
        <v>539</v>
      </c>
      <c r="G38">
        <f t="shared" si="0"/>
        <v>590</v>
      </c>
      <c r="H38">
        <v>5482</v>
      </c>
      <c r="I38">
        <v>5418</v>
      </c>
      <c r="J38">
        <v>534</v>
      </c>
      <c r="K38">
        <v>572900</v>
      </c>
      <c r="L38">
        <v>2.0799999999999999E-2</v>
      </c>
      <c r="M38">
        <v>2.5</v>
      </c>
      <c r="N38">
        <v>2.1</v>
      </c>
      <c r="P38">
        <v>5.8</v>
      </c>
      <c r="Q38">
        <v>1.75</v>
      </c>
    </row>
    <row r="39" spans="1:17" ht="15">
      <c r="A39" s="6" t="s">
        <v>24</v>
      </c>
      <c r="B39">
        <v>2018</v>
      </c>
      <c r="C39" t="s">
        <v>18</v>
      </c>
      <c r="D39" s="1">
        <v>43404</v>
      </c>
      <c r="E39" s="1">
        <v>43388</v>
      </c>
      <c r="F39">
        <v>590</v>
      </c>
      <c r="G39">
        <f t="shared" si="0"/>
        <v>688</v>
      </c>
      <c r="H39">
        <v>5130</v>
      </c>
      <c r="I39">
        <v>5154</v>
      </c>
      <c r="J39">
        <v>635</v>
      </c>
      <c r="K39">
        <v>573200</v>
      </c>
      <c r="L39">
        <v>-0.1053</v>
      </c>
      <c r="M39">
        <v>2.1</v>
      </c>
      <c r="N39">
        <v>2.4</v>
      </c>
      <c r="P39">
        <v>5.8</v>
      </c>
      <c r="Q39">
        <v>2</v>
      </c>
    </row>
    <row r="40" spans="1:17" ht="15">
      <c r="A40" s="6" t="s">
        <v>24</v>
      </c>
      <c r="B40">
        <v>2019</v>
      </c>
      <c r="C40" t="s">
        <v>19</v>
      </c>
      <c r="D40" s="1">
        <v>43496</v>
      </c>
      <c r="E40" s="1">
        <v>43476</v>
      </c>
      <c r="F40">
        <v>688</v>
      </c>
      <c r="G40">
        <f t="shared" si="0"/>
        <v>722</v>
      </c>
      <c r="H40">
        <v>5287</v>
      </c>
      <c r="I40">
        <v>5199</v>
      </c>
      <c r="J40">
        <v>732</v>
      </c>
      <c r="K40">
        <v>590000</v>
      </c>
      <c r="L40">
        <v>-0.1154</v>
      </c>
      <c r="M40">
        <v>2.4</v>
      </c>
      <c r="N40">
        <v>1.8</v>
      </c>
      <c r="P40">
        <v>5.7</v>
      </c>
      <c r="Q40">
        <v>2</v>
      </c>
    </row>
    <row r="41" spans="1:17" ht="15">
      <c r="A41" s="6" t="s">
        <v>24</v>
      </c>
      <c r="B41">
        <v>2019</v>
      </c>
      <c r="C41" t="s">
        <v>20</v>
      </c>
      <c r="D41" s="1">
        <v>43585</v>
      </c>
      <c r="E41" s="1">
        <v>43567</v>
      </c>
      <c r="F41">
        <v>722</v>
      </c>
      <c r="G41">
        <f t="shared" si="0"/>
        <v>713</v>
      </c>
      <c r="H41">
        <v>5364</v>
      </c>
      <c r="I41">
        <v>5376</v>
      </c>
      <c r="J41">
        <v>716</v>
      </c>
      <c r="K41">
        <v>601900</v>
      </c>
      <c r="L41">
        <v>0.10199999999999999</v>
      </c>
      <c r="M41">
        <v>2.4</v>
      </c>
      <c r="N41">
        <v>1.5</v>
      </c>
      <c r="P41">
        <v>5.9</v>
      </c>
      <c r="Q41">
        <v>1.75</v>
      </c>
    </row>
    <row r="42" spans="1:17" ht="15">
      <c r="A42" s="6" t="s">
        <v>24</v>
      </c>
      <c r="B42">
        <v>2019</v>
      </c>
      <c r="C42" t="s">
        <v>21</v>
      </c>
      <c r="D42" s="1">
        <v>43677</v>
      </c>
      <c r="E42" s="1">
        <v>43658</v>
      </c>
      <c r="F42">
        <v>713</v>
      </c>
      <c r="G42">
        <f t="shared" si="0"/>
        <v>753</v>
      </c>
      <c r="H42">
        <v>5229</v>
      </c>
      <c r="I42">
        <v>5273</v>
      </c>
      <c r="J42">
        <v>745</v>
      </c>
      <c r="K42">
        <v>608400</v>
      </c>
      <c r="L42">
        <v>-0.19550000000000001</v>
      </c>
      <c r="M42">
        <v>2.2999999999999998</v>
      </c>
      <c r="N42">
        <v>1.7</v>
      </c>
      <c r="P42">
        <v>5.7</v>
      </c>
      <c r="Q42">
        <v>1.75</v>
      </c>
    </row>
    <row r="43" spans="1:17">
      <c r="A43" s="6" t="s">
        <v>24</v>
      </c>
      <c r="B43">
        <v>2019</v>
      </c>
      <c r="C43" t="s">
        <v>18</v>
      </c>
      <c r="D43" s="1">
        <v>43769</v>
      </c>
      <c r="E43" s="1">
        <v>43748</v>
      </c>
      <c r="F43">
        <v>753</v>
      </c>
      <c r="G43">
        <f t="shared" si="0"/>
        <v>771</v>
      </c>
      <c r="H43">
        <v>5135</v>
      </c>
      <c r="I43">
        <v>5145</v>
      </c>
      <c r="J43">
        <v>749</v>
      </c>
      <c r="K43">
        <v>611500</v>
      </c>
      <c r="L43">
        <v>8.0399999999999999E-2</v>
      </c>
      <c r="M43">
        <v>2</v>
      </c>
      <c r="N43">
        <v>2.1</v>
      </c>
      <c r="P43">
        <v>5.9</v>
      </c>
      <c r="Q43">
        <v>1.25</v>
      </c>
    </row>
    <row r="44" spans="1:17" ht="15">
      <c r="A44" s="7" t="s">
        <v>24</v>
      </c>
      <c r="B44">
        <v>2020</v>
      </c>
      <c r="C44" t="s">
        <v>19</v>
      </c>
      <c r="D44" s="1">
        <v>43861</v>
      </c>
      <c r="E44" s="1">
        <v>43843</v>
      </c>
      <c r="F44" s="11">
        <v>771</v>
      </c>
      <c r="G44">
        <f t="shared" si="0"/>
        <v>1846</v>
      </c>
      <c r="H44">
        <v>4770</v>
      </c>
      <c r="I44">
        <v>5095</v>
      </c>
      <c r="J44">
        <v>827</v>
      </c>
      <c r="K44">
        <v>618700</v>
      </c>
      <c r="L44">
        <v>6.3E-3</v>
      </c>
      <c r="M44">
        <v>1.7</v>
      </c>
      <c r="N44">
        <v>1.2</v>
      </c>
      <c r="P44">
        <v>5.8</v>
      </c>
      <c r="Q44">
        <v>1.25</v>
      </c>
    </row>
    <row r="45" spans="1:17" ht="15">
      <c r="A45" s="6" t="s">
        <v>24</v>
      </c>
      <c r="B45">
        <v>2020</v>
      </c>
      <c r="C45" t="s">
        <v>20</v>
      </c>
      <c r="D45" s="1">
        <v>43951</v>
      </c>
      <c r="E45" s="1">
        <v>43938</v>
      </c>
      <c r="F45">
        <v>1846</v>
      </c>
      <c r="G45">
        <f t="shared" si="0"/>
        <v>2181</v>
      </c>
      <c r="H45">
        <v>5120</v>
      </c>
      <c r="I45">
        <v>6079</v>
      </c>
      <c r="J45">
        <v>732</v>
      </c>
      <c r="K45">
        <v>653900</v>
      </c>
      <c r="L45">
        <v>3.5095999999999998</v>
      </c>
      <c r="M45">
        <v>21.3</v>
      </c>
      <c r="N45">
        <v>-11.5</v>
      </c>
      <c r="P45">
        <v>10.9</v>
      </c>
      <c r="Q45">
        <v>0.25</v>
      </c>
    </row>
    <row r="46" spans="1:17" ht="15">
      <c r="A46" s="6" t="s">
        <v>24</v>
      </c>
      <c r="B46">
        <v>2020</v>
      </c>
      <c r="C46" t="s">
        <v>21</v>
      </c>
      <c r="D46" s="1">
        <v>44043</v>
      </c>
      <c r="E46" s="1">
        <v>43987</v>
      </c>
      <c r="F46">
        <v>2181</v>
      </c>
      <c r="G46">
        <f t="shared" si="0"/>
        <v>1131</v>
      </c>
      <c r="H46">
        <v>5148</v>
      </c>
      <c r="I46">
        <v>7403</v>
      </c>
      <c r="J46">
        <v>750</v>
      </c>
      <c r="K46">
        <v>636500</v>
      </c>
      <c r="L46">
        <v>3.3616000000000001</v>
      </c>
      <c r="M46">
        <v>18.899999999999999</v>
      </c>
      <c r="N46">
        <v>-5.0999999999999996</v>
      </c>
      <c r="O46">
        <v>9.6</v>
      </c>
      <c r="P46">
        <v>10.3</v>
      </c>
      <c r="Q46">
        <v>0.25</v>
      </c>
    </row>
    <row r="47" spans="1:17">
      <c r="A47" s="6" t="s">
        <v>24</v>
      </c>
      <c r="B47">
        <v>2020</v>
      </c>
      <c r="C47" t="s">
        <v>18</v>
      </c>
      <c r="D47" s="1">
        <v>44135</v>
      </c>
      <c r="E47" s="1">
        <v>44118</v>
      </c>
      <c r="F47">
        <v>1131</v>
      </c>
      <c r="G47">
        <f t="shared" si="0"/>
        <v>764</v>
      </c>
      <c r="H47">
        <v>5053</v>
      </c>
      <c r="I47">
        <v>7820</v>
      </c>
      <c r="J47">
        <v>632</v>
      </c>
      <c r="K47">
        <v>625100</v>
      </c>
      <c r="L47">
        <v>-3.1535000000000002</v>
      </c>
      <c r="M47">
        <v>5.3</v>
      </c>
      <c r="N47">
        <v>-0.9</v>
      </c>
      <c r="O47">
        <v>7.9</v>
      </c>
      <c r="P47">
        <v>7.7</v>
      </c>
      <c r="Q47">
        <v>0.25</v>
      </c>
    </row>
    <row r="48" spans="1:17">
      <c r="A48" t="s">
        <v>24</v>
      </c>
      <c r="B48">
        <v>2021</v>
      </c>
      <c r="C48" t="s">
        <v>19</v>
      </c>
      <c r="D48" s="1">
        <v>44227</v>
      </c>
      <c r="E48" s="1">
        <v>44208</v>
      </c>
      <c r="F48">
        <v>764</v>
      </c>
      <c r="G48">
        <f t="shared" si="0"/>
        <v>496</v>
      </c>
      <c r="H48">
        <v>5279</v>
      </c>
      <c r="I48">
        <v>7810</v>
      </c>
      <c r="J48">
        <v>674</v>
      </c>
      <c r="K48">
        <v>626000</v>
      </c>
      <c r="L48">
        <v>-0.49530000000000002</v>
      </c>
      <c r="M48">
        <v>7.9</v>
      </c>
      <c r="N48">
        <v>11.8</v>
      </c>
      <c r="O48">
        <v>8.5</v>
      </c>
      <c r="P48">
        <v>8.1</v>
      </c>
      <c r="Q48">
        <v>0.25</v>
      </c>
    </row>
    <row r="49" spans="1:17">
      <c r="A49" t="s">
        <v>24</v>
      </c>
      <c r="B49">
        <v>2021</v>
      </c>
      <c r="C49" t="s">
        <v>20</v>
      </c>
      <c r="D49" s="1">
        <v>44316</v>
      </c>
      <c r="E49" s="1">
        <v>44308</v>
      </c>
      <c r="F49">
        <v>496</v>
      </c>
      <c r="G49">
        <f t="shared" si="0"/>
        <v>380</v>
      </c>
      <c r="H49">
        <v>5116</v>
      </c>
      <c r="I49">
        <v>6893</v>
      </c>
      <c r="J49">
        <v>1141</v>
      </c>
      <c r="K49">
        <v>630500</v>
      </c>
      <c r="L49">
        <v>-0.74919999999999998</v>
      </c>
      <c r="M49">
        <v>8.5</v>
      </c>
      <c r="N49">
        <v>6.8</v>
      </c>
      <c r="O49">
        <v>6.9</v>
      </c>
      <c r="P49">
        <v>7.3</v>
      </c>
      <c r="Q49">
        <v>0.25</v>
      </c>
    </row>
    <row r="50" spans="1:17">
      <c r="A50" s="6" t="s">
        <v>24</v>
      </c>
      <c r="B50">
        <v>2021</v>
      </c>
      <c r="C50" t="s">
        <v>21</v>
      </c>
      <c r="D50" s="1">
        <v>44408</v>
      </c>
      <c r="E50" s="1">
        <v>44400</v>
      </c>
      <c r="F50">
        <v>380</v>
      </c>
      <c r="G50">
        <f t="shared" si="0"/>
        <v>168</v>
      </c>
      <c r="H50">
        <v>4735</v>
      </c>
      <c r="I50">
        <v>6232</v>
      </c>
      <c r="J50">
        <v>983</v>
      </c>
      <c r="K50">
        <v>650900</v>
      </c>
      <c r="L50">
        <v>-0.28339999999999999</v>
      </c>
      <c r="M50">
        <v>5.3</v>
      </c>
      <c r="N50">
        <v>5.2</v>
      </c>
      <c r="O50">
        <v>6.7</v>
      </c>
      <c r="P50">
        <v>7.6</v>
      </c>
      <c r="Q50">
        <v>0.25</v>
      </c>
    </row>
    <row r="51" spans="1:17">
      <c r="A51" t="s">
        <v>24</v>
      </c>
      <c r="B51">
        <v>2021</v>
      </c>
      <c r="C51" t="s">
        <v>18</v>
      </c>
      <c r="D51" s="1">
        <v>44500</v>
      </c>
      <c r="E51" s="1">
        <v>44489</v>
      </c>
      <c r="F51">
        <v>168</v>
      </c>
      <c r="G51">
        <f t="shared" si="0"/>
        <v>222</v>
      </c>
      <c r="H51">
        <v>4456</v>
      </c>
      <c r="I51">
        <v>5731</v>
      </c>
      <c r="J51">
        <v>560</v>
      </c>
      <c r="K51">
        <v>663000</v>
      </c>
      <c r="L51">
        <v>-0.9829</v>
      </c>
      <c r="M51">
        <v>3.4</v>
      </c>
      <c r="N51">
        <v>2.6</v>
      </c>
      <c r="O51">
        <v>6.2</v>
      </c>
      <c r="P51">
        <v>5.6</v>
      </c>
      <c r="Q51">
        <v>0.25</v>
      </c>
    </row>
    <row r="52" spans="1:17">
      <c r="A52" t="s">
        <v>24</v>
      </c>
      <c r="B52">
        <v>2022</v>
      </c>
      <c r="C52" t="s">
        <v>19</v>
      </c>
      <c r="D52" s="1">
        <v>44592</v>
      </c>
      <c r="E52" s="1">
        <v>44580</v>
      </c>
      <c r="F52">
        <v>222</v>
      </c>
      <c r="G52">
        <f t="shared" si="0"/>
        <v>219</v>
      </c>
      <c r="H52">
        <v>4435</v>
      </c>
      <c r="I52">
        <v>5583</v>
      </c>
      <c r="J52">
        <v>457</v>
      </c>
      <c r="K52">
        <v>693700</v>
      </c>
      <c r="L52">
        <v>-0.72670000000000001</v>
      </c>
      <c r="M52">
        <v>7.1</v>
      </c>
      <c r="N52">
        <v>4.5999999999999996</v>
      </c>
      <c r="O52">
        <v>5.5</v>
      </c>
      <c r="P52">
        <v>5.4</v>
      </c>
      <c r="Q52">
        <v>1.5</v>
      </c>
    </row>
    <row r="53" spans="1:17">
      <c r="A53" t="s">
        <v>24</v>
      </c>
      <c r="B53">
        <v>2022</v>
      </c>
      <c r="C53" t="s">
        <v>20</v>
      </c>
      <c r="D53" s="1">
        <v>44681</v>
      </c>
      <c r="E53" s="1">
        <v>44663</v>
      </c>
      <c r="F53">
        <v>219</v>
      </c>
      <c r="G53">
        <f t="shared" si="0"/>
        <v>412</v>
      </c>
      <c r="H53">
        <v>4264</v>
      </c>
      <c r="I53">
        <v>5375</v>
      </c>
      <c r="J53">
        <v>422</v>
      </c>
      <c r="K53">
        <v>714000</v>
      </c>
      <c r="L53">
        <v>-0.75439999999999996</v>
      </c>
      <c r="M53">
        <v>4</v>
      </c>
      <c r="N53">
        <v>4.8</v>
      </c>
      <c r="O53">
        <v>4.9000000000000004</v>
      </c>
      <c r="P53">
        <v>5.2</v>
      </c>
      <c r="Q53">
        <v>2</v>
      </c>
    </row>
    <row r="54" spans="1:17" ht="15">
      <c r="A54" s="6" t="s">
        <v>24</v>
      </c>
      <c r="B54">
        <v>2022</v>
      </c>
      <c r="C54" t="s">
        <v>21</v>
      </c>
      <c r="D54" s="1">
        <v>44773</v>
      </c>
      <c r="E54" s="1">
        <v>44760</v>
      </c>
      <c r="F54">
        <v>412</v>
      </c>
      <c r="G54">
        <f t="shared" si="0"/>
        <v>529</v>
      </c>
      <c r="H54">
        <v>4252</v>
      </c>
      <c r="I54">
        <v>5295</v>
      </c>
      <c r="J54">
        <v>385</v>
      </c>
      <c r="K54">
        <v>738400</v>
      </c>
      <c r="L54">
        <v>-0.40350000000000003</v>
      </c>
      <c r="M54">
        <v>1.9</v>
      </c>
      <c r="N54">
        <v>2.6</v>
      </c>
      <c r="O54">
        <v>5.2</v>
      </c>
      <c r="P54">
        <v>5.3</v>
      </c>
      <c r="Q54">
        <v>3.5</v>
      </c>
    </row>
    <row r="55" spans="1:17">
      <c r="A55" t="s">
        <v>24</v>
      </c>
      <c r="B55">
        <v>2022</v>
      </c>
      <c r="C55" t="s">
        <v>18</v>
      </c>
      <c r="D55" s="1">
        <v>44865</v>
      </c>
      <c r="E55" s="1">
        <v>44851</v>
      </c>
      <c r="F55">
        <v>529</v>
      </c>
      <c r="G55">
        <f t="shared" si="0"/>
        <v>638</v>
      </c>
      <c r="H55">
        <v>4786</v>
      </c>
      <c r="I55">
        <v>5499</v>
      </c>
      <c r="J55">
        <v>462</v>
      </c>
      <c r="K55">
        <v>769800</v>
      </c>
      <c r="L55">
        <v>0.1454</v>
      </c>
      <c r="M55">
        <v>-0.1</v>
      </c>
      <c r="N55">
        <v>1.3</v>
      </c>
      <c r="O55">
        <v>5.7</v>
      </c>
      <c r="P55">
        <v>6</v>
      </c>
      <c r="Q55">
        <v>4.25</v>
      </c>
    </row>
    <row r="56" spans="1:17">
      <c r="A56" t="s">
        <v>24</v>
      </c>
      <c r="B56">
        <v>2023</v>
      </c>
      <c r="C56" t="s">
        <v>19</v>
      </c>
      <c r="D56" s="1">
        <v>44957</v>
      </c>
      <c r="E56" s="1">
        <v>44903</v>
      </c>
      <c r="F56">
        <v>638</v>
      </c>
      <c r="G56">
        <f t="shared" si="0"/>
        <v>709</v>
      </c>
      <c r="H56">
        <v>5104</v>
      </c>
      <c r="I56">
        <v>5668</v>
      </c>
      <c r="J56">
        <v>563</v>
      </c>
      <c r="K56">
        <v>782500</v>
      </c>
      <c r="L56">
        <v>-8.9800000000000005E-2</v>
      </c>
      <c r="M56">
        <v>-0.1</v>
      </c>
      <c r="N56">
        <v>0.9</v>
      </c>
      <c r="O56">
        <v>5.7</v>
      </c>
      <c r="P56">
        <v>5.8</v>
      </c>
      <c r="Q56">
        <v>4.25</v>
      </c>
    </row>
    <row r="57" spans="1:17" ht="15">
      <c r="A57" s="6" t="s">
        <v>24</v>
      </c>
      <c r="B57">
        <v>2023</v>
      </c>
      <c r="C57" t="s">
        <v>20</v>
      </c>
      <c r="D57" s="1">
        <v>45046</v>
      </c>
      <c r="E57" s="1">
        <v>45002</v>
      </c>
      <c r="F57">
        <v>709</v>
      </c>
      <c r="G57">
        <f t="shared" si="0"/>
        <v>819</v>
      </c>
      <c r="H57">
        <v>5305</v>
      </c>
      <c r="I57">
        <v>5931</v>
      </c>
      <c r="J57">
        <v>552</v>
      </c>
      <c r="K57">
        <v>791700</v>
      </c>
      <c r="L57">
        <v>4.7300000000000002E-2</v>
      </c>
      <c r="M57">
        <v>-0.7</v>
      </c>
      <c r="N57">
        <v>0</v>
      </c>
      <c r="O57">
        <v>5.5</v>
      </c>
      <c r="P57">
        <v>5.4</v>
      </c>
      <c r="Q57">
        <v>4.5</v>
      </c>
    </row>
    <row r="58" spans="1:17" ht="15">
      <c r="A58" s="6" t="s">
        <v>24</v>
      </c>
      <c r="B58">
        <v>2023</v>
      </c>
      <c r="C58" t="s">
        <v>21</v>
      </c>
      <c r="D58" s="1">
        <v>45138</v>
      </c>
      <c r="E58" s="1">
        <v>45127</v>
      </c>
      <c r="F58">
        <v>819</v>
      </c>
      <c r="G58">
        <f t="shared" si="0"/>
        <v>1256</v>
      </c>
      <c r="H58">
        <v>5487</v>
      </c>
      <c r="I58">
        <v>6094</v>
      </c>
      <c r="J58">
        <v>656</v>
      </c>
      <c r="K58">
        <v>778500</v>
      </c>
      <c r="L58">
        <v>0.23949999999999999</v>
      </c>
      <c r="M58">
        <v>0.2</v>
      </c>
      <c r="N58">
        <v>1.5</v>
      </c>
      <c r="O58">
        <v>5.8</v>
      </c>
      <c r="P58">
        <v>5.4</v>
      </c>
      <c r="Q58">
        <v>5</v>
      </c>
    </row>
    <row r="59" spans="1:17" ht="15">
      <c r="A59" s="6" t="s">
        <v>24</v>
      </c>
      <c r="B59">
        <v>2023</v>
      </c>
      <c r="C59" t="s">
        <v>18</v>
      </c>
      <c r="D59" s="1">
        <v>45230</v>
      </c>
      <c r="E59" s="1">
        <v>45222</v>
      </c>
      <c r="F59">
        <v>1256</v>
      </c>
      <c r="G59">
        <f t="shared" si="0"/>
        <v>962</v>
      </c>
      <c r="H59">
        <v>5726</v>
      </c>
      <c r="I59">
        <v>6629</v>
      </c>
      <c r="J59">
        <v>681</v>
      </c>
      <c r="K59">
        <v>775900</v>
      </c>
      <c r="L59">
        <v>0.1736</v>
      </c>
      <c r="M59">
        <v>0.4</v>
      </c>
      <c r="N59">
        <v>0.4</v>
      </c>
      <c r="O59">
        <v>5.8</v>
      </c>
      <c r="P59">
        <v>6.1</v>
      </c>
      <c r="Q59">
        <v>5</v>
      </c>
    </row>
    <row r="60" spans="1:17" ht="15">
      <c r="A60" s="6" t="s">
        <v>24</v>
      </c>
      <c r="B60">
        <v>2024</v>
      </c>
      <c r="C60" t="s">
        <v>19</v>
      </c>
      <c r="D60" s="1">
        <v>45322</v>
      </c>
      <c r="E60" s="1">
        <v>45275</v>
      </c>
      <c r="F60">
        <v>962</v>
      </c>
      <c r="G60">
        <f t="shared" si="0"/>
        <v>1007</v>
      </c>
      <c r="H60">
        <v>6119</v>
      </c>
      <c r="I60">
        <v>6597</v>
      </c>
      <c r="J60">
        <v>804</v>
      </c>
      <c r="K60">
        <v>766200</v>
      </c>
      <c r="L60">
        <v>0.2442</v>
      </c>
      <c r="M60">
        <v>0.9</v>
      </c>
      <c r="N60">
        <v>0.1</v>
      </c>
      <c r="O60">
        <v>6.3</v>
      </c>
      <c r="P60">
        <v>6.4</v>
      </c>
      <c r="Q60">
        <v>4.75</v>
      </c>
    </row>
    <row r="61" spans="1:17" ht="15">
      <c r="A61" s="6" t="s">
        <v>24</v>
      </c>
      <c r="B61">
        <v>2024</v>
      </c>
      <c r="C61" t="s">
        <v>20</v>
      </c>
      <c r="D61" s="1">
        <v>45412</v>
      </c>
      <c r="E61" s="1">
        <v>45400</v>
      </c>
      <c r="F61">
        <v>1007</v>
      </c>
      <c r="G61">
        <f t="shared" si="0"/>
        <v>1052</v>
      </c>
      <c r="H61">
        <v>6399</v>
      </c>
      <c r="I61">
        <v>6768</v>
      </c>
      <c r="J61">
        <v>889</v>
      </c>
      <c r="K61">
        <v>769200</v>
      </c>
      <c r="L61">
        <v>0.33110000000000001</v>
      </c>
      <c r="M61">
        <v>1.7</v>
      </c>
      <c r="N61">
        <v>1.8</v>
      </c>
      <c r="O61">
        <v>6.3</v>
      </c>
      <c r="P61">
        <v>6.2</v>
      </c>
      <c r="Q61">
        <v>4.75</v>
      </c>
    </row>
    <row r="62" spans="1:17" ht="15">
      <c r="A62" s="6" t="s">
        <v>24</v>
      </c>
      <c r="B62">
        <v>2024</v>
      </c>
      <c r="C62" t="s">
        <v>21</v>
      </c>
      <c r="D62" s="1">
        <v>45504</v>
      </c>
      <c r="E62" s="1">
        <v>45491</v>
      </c>
      <c r="F62">
        <v>1052</v>
      </c>
      <c r="G62">
        <f t="shared" si="0"/>
        <v>1030</v>
      </c>
      <c r="H62">
        <v>6489</v>
      </c>
      <c r="I62">
        <v>6860</v>
      </c>
      <c r="J62">
        <v>865</v>
      </c>
      <c r="K62">
        <v>769100.00000000012</v>
      </c>
      <c r="L62">
        <v>0.27979999999999999</v>
      </c>
      <c r="M62">
        <v>2.2000000000000002</v>
      </c>
      <c r="N62">
        <v>1.9</v>
      </c>
      <c r="O62">
        <v>6.6</v>
      </c>
      <c r="P62">
        <v>6.3</v>
      </c>
      <c r="Q62">
        <v>4</v>
      </c>
    </row>
    <row r="63" spans="1:17" ht="15">
      <c r="A63" s="6" t="s">
        <v>24</v>
      </c>
      <c r="B63">
        <v>2024</v>
      </c>
      <c r="C63" t="s">
        <v>18</v>
      </c>
      <c r="D63" s="1">
        <v>45596</v>
      </c>
      <c r="E63" s="1">
        <v>45583</v>
      </c>
      <c r="F63">
        <v>1030</v>
      </c>
      <c r="G63">
        <f t="shared" si="0"/>
        <v>1162</v>
      </c>
      <c r="H63">
        <v>6739</v>
      </c>
      <c r="I63">
        <v>6736</v>
      </c>
      <c r="J63">
        <v>965</v>
      </c>
      <c r="K63">
        <v>767500</v>
      </c>
      <c r="L63">
        <v>0.17169999999999999</v>
      </c>
      <c r="M63">
        <v>2.1</v>
      </c>
      <c r="N63">
        <v>1.9</v>
      </c>
      <c r="O63">
        <v>6.6</v>
      </c>
      <c r="P63">
        <v>6.5</v>
      </c>
      <c r="Q63">
        <v>3.25</v>
      </c>
    </row>
    <row r="64" spans="1:17" ht="15">
      <c r="A64" s="6" t="s">
        <v>24</v>
      </c>
      <c r="B64">
        <v>2025</v>
      </c>
      <c r="C64" t="s">
        <v>19</v>
      </c>
      <c r="D64" s="1">
        <v>45688</v>
      </c>
      <c r="E64" s="1">
        <v>45638</v>
      </c>
      <c r="F64">
        <v>1162</v>
      </c>
      <c r="G64">
        <f t="shared" si="0"/>
        <v>1398</v>
      </c>
      <c r="H64">
        <v>7064</v>
      </c>
      <c r="I64">
        <v>7080</v>
      </c>
      <c r="J64">
        <v>954</v>
      </c>
      <c r="K64">
        <v>773400</v>
      </c>
      <c r="L64">
        <v>0.23069999999999999</v>
      </c>
      <c r="M64">
        <v>3.1</v>
      </c>
      <c r="N64">
        <v>2.2000000000000002</v>
      </c>
      <c r="O64">
        <v>6.6</v>
      </c>
      <c r="P64">
        <v>6.6</v>
      </c>
      <c r="Q64">
        <v>3</v>
      </c>
    </row>
    <row r="65" spans="1:17" ht="15">
      <c r="A65" s="6" t="s">
        <v>24</v>
      </c>
      <c r="B65">
        <v>2025</v>
      </c>
      <c r="C65" t="s">
        <v>20</v>
      </c>
      <c r="D65" s="1">
        <v>45777</v>
      </c>
      <c r="E65" s="1">
        <v>45763</v>
      </c>
      <c r="F65">
        <v>1398</v>
      </c>
      <c r="G65">
        <f t="shared" si="0"/>
        <v>1041</v>
      </c>
      <c r="H65">
        <v>6849</v>
      </c>
      <c r="I65">
        <v>7276</v>
      </c>
      <c r="J65">
        <v>931</v>
      </c>
      <c r="K65">
        <v>763700</v>
      </c>
      <c r="L65">
        <v>-1.49E-2</v>
      </c>
      <c r="M65">
        <v>0.9</v>
      </c>
      <c r="N65">
        <v>1.4</v>
      </c>
      <c r="O65">
        <v>7.4</v>
      </c>
      <c r="P65">
        <v>7.2</v>
      </c>
      <c r="Q65">
        <v>2.75</v>
      </c>
    </row>
    <row r="66" spans="1:17" ht="15">
      <c r="A66" s="6" t="s">
        <v>24</v>
      </c>
      <c r="B66">
        <v>2025</v>
      </c>
      <c r="C66" t="s">
        <v>21</v>
      </c>
      <c r="D66" s="1">
        <v>45869</v>
      </c>
      <c r="E66" s="1">
        <v>45855</v>
      </c>
      <c r="F66">
        <v>1041</v>
      </c>
      <c r="G66">
        <f t="shared" si="0"/>
        <v>1113</v>
      </c>
      <c r="H66">
        <v>6890</v>
      </c>
      <c r="I66">
        <v>7386</v>
      </c>
      <c r="J66">
        <v>948</v>
      </c>
      <c r="K66">
        <v>768899.99999999988</v>
      </c>
      <c r="L66">
        <v>0.1555</v>
      </c>
      <c r="M66">
        <v>0.9</v>
      </c>
      <c r="N66">
        <v>1.1000000000000001</v>
      </c>
      <c r="O66">
        <v>7.1</v>
      </c>
      <c r="P66">
        <v>6.9</v>
      </c>
      <c r="Q66">
        <v>2.75</v>
      </c>
    </row>
    <row r="67" spans="1:17">
      <c r="A67" s="6" t="s">
        <v>24</v>
      </c>
      <c r="B67">
        <v>2025</v>
      </c>
      <c r="C67" t="s">
        <v>18</v>
      </c>
      <c r="D67" s="1">
        <v>45961</v>
      </c>
      <c r="E67" s="1">
        <v>45911</v>
      </c>
      <c r="F67">
        <v>1113</v>
      </c>
      <c r="H67">
        <v>7244</v>
      </c>
      <c r="I67">
        <v>7654</v>
      </c>
      <c r="J67">
        <v>975</v>
      </c>
      <c r="K67">
        <v>778700</v>
      </c>
      <c r="L67">
        <v>7.7399999999999997E-2</v>
      </c>
      <c r="M67">
        <v>2.6</v>
      </c>
      <c r="N67">
        <v>0.7</v>
      </c>
      <c r="O67">
        <v>7.1</v>
      </c>
      <c r="P67">
        <v>6.8</v>
      </c>
      <c r="Q67">
        <v>2.25</v>
      </c>
    </row>
    <row r="68" spans="1:17" ht="15">
      <c r="A68" s="6" t="s">
        <v>25</v>
      </c>
      <c r="B68">
        <v>2017</v>
      </c>
      <c r="C68" t="s">
        <v>18</v>
      </c>
      <c r="D68" s="1">
        <v>43039</v>
      </c>
      <c r="E68" s="1">
        <v>43013</v>
      </c>
      <c r="F68">
        <v>229</v>
      </c>
      <c r="G68">
        <f t="shared" ref="G68:G130" si="1">F69</f>
        <v>153</v>
      </c>
      <c r="H68">
        <v>1310</v>
      </c>
      <c r="I68">
        <v>1737</v>
      </c>
      <c r="J68">
        <v>220</v>
      </c>
      <c r="K68">
        <v>367176</v>
      </c>
      <c r="L68">
        <v>-0.21429999999999999</v>
      </c>
      <c r="M68">
        <v>1.7</v>
      </c>
      <c r="N68">
        <v>2.7</v>
      </c>
      <c r="P68">
        <v>6.3</v>
      </c>
      <c r="Q68">
        <v>1.5</v>
      </c>
    </row>
    <row r="69" spans="1:17" ht="15">
      <c r="A69" s="6" t="s">
        <v>25</v>
      </c>
      <c r="B69">
        <v>2018</v>
      </c>
      <c r="C69" t="s">
        <v>19</v>
      </c>
      <c r="D69" s="1">
        <v>43131</v>
      </c>
      <c r="E69" s="1">
        <v>43112</v>
      </c>
      <c r="F69">
        <v>153</v>
      </c>
      <c r="G69">
        <f t="shared" si="1"/>
        <v>212</v>
      </c>
      <c r="H69">
        <v>1474</v>
      </c>
      <c r="I69">
        <v>1727</v>
      </c>
      <c r="J69">
        <v>187</v>
      </c>
      <c r="K69">
        <v>368305</v>
      </c>
      <c r="L69">
        <v>-0.22270000000000001</v>
      </c>
      <c r="M69">
        <v>2.2000000000000002</v>
      </c>
      <c r="N69">
        <v>2.2000000000000002</v>
      </c>
      <c r="P69">
        <v>5.9</v>
      </c>
      <c r="Q69">
        <v>1.5</v>
      </c>
    </row>
    <row r="70" spans="1:17" ht="15">
      <c r="A70" s="6" t="s">
        <v>25</v>
      </c>
      <c r="B70">
        <v>2018</v>
      </c>
      <c r="C70" t="s">
        <v>20</v>
      </c>
      <c r="D70" s="1">
        <v>43220</v>
      </c>
      <c r="E70" s="1">
        <v>43202</v>
      </c>
      <c r="F70">
        <v>212</v>
      </c>
      <c r="G70">
        <f t="shared" si="1"/>
        <v>241</v>
      </c>
      <c r="H70">
        <v>1523</v>
      </c>
      <c r="I70">
        <v>1728</v>
      </c>
      <c r="J70">
        <v>230</v>
      </c>
      <c r="K70">
        <v>375835</v>
      </c>
      <c r="L70">
        <v>-0.15809999999999999</v>
      </c>
      <c r="M70">
        <v>2.4</v>
      </c>
      <c r="N70">
        <v>2.1</v>
      </c>
      <c r="P70">
        <v>5.8</v>
      </c>
      <c r="Q70">
        <v>1.5</v>
      </c>
    </row>
    <row r="71" spans="1:17" ht="15">
      <c r="A71" s="6" t="s">
        <v>25</v>
      </c>
      <c r="B71">
        <v>2018</v>
      </c>
      <c r="C71" t="s">
        <v>21</v>
      </c>
      <c r="D71" s="1">
        <v>43312</v>
      </c>
      <c r="E71" s="1">
        <v>43284</v>
      </c>
      <c r="F71">
        <v>241</v>
      </c>
      <c r="G71">
        <f t="shared" si="1"/>
        <v>264</v>
      </c>
      <c r="H71">
        <v>1652</v>
      </c>
      <c r="I71">
        <v>1744</v>
      </c>
      <c r="J71">
        <v>224</v>
      </c>
      <c r="K71">
        <v>378951</v>
      </c>
      <c r="L71">
        <v>2.0799999999999999E-2</v>
      </c>
      <c r="M71">
        <v>2.5</v>
      </c>
      <c r="N71">
        <v>2.1</v>
      </c>
      <c r="P71">
        <v>5.8</v>
      </c>
      <c r="Q71">
        <v>1.75</v>
      </c>
    </row>
    <row r="72" spans="1:17" ht="15">
      <c r="A72" s="6" t="s">
        <v>25</v>
      </c>
      <c r="B72">
        <v>2018</v>
      </c>
      <c r="C72" t="s">
        <v>18</v>
      </c>
      <c r="D72" s="1">
        <v>43404</v>
      </c>
      <c r="E72" s="1">
        <v>43388</v>
      </c>
      <c r="F72">
        <v>264</v>
      </c>
      <c r="G72">
        <f t="shared" si="1"/>
        <v>338</v>
      </c>
      <c r="H72">
        <v>1480</v>
      </c>
      <c r="I72">
        <v>1741</v>
      </c>
      <c r="J72">
        <v>219</v>
      </c>
      <c r="K72">
        <v>383300</v>
      </c>
      <c r="L72">
        <v>-0.1053</v>
      </c>
      <c r="M72">
        <v>2.1</v>
      </c>
      <c r="N72">
        <v>2.4</v>
      </c>
      <c r="P72">
        <v>5.8</v>
      </c>
      <c r="Q72">
        <v>2</v>
      </c>
    </row>
    <row r="73" spans="1:17" ht="15">
      <c r="A73" s="6" t="s">
        <v>25</v>
      </c>
      <c r="B73">
        <v>2019</v>
      </c>
      <c r="C73" t="s">
        <v>19</v>
      </c>
      <c r="D73" s="1">
        <v>43496</v>
      </c>
      <c r="E73" s="1">
        <v>43476</v>
      </c>
      <c r="F73">
        <v>338</v>
      </c>
      <c r="G73">
        <f t="shared" si="1"/>
        <v>255</v>
      </c>
      <c r="H73">
        <v>1794</v>
      </c>
      <c r="I73">
        <v>1845</v>
      </c>
      <c r="J73">
        <v>224</v>
      </c>
      <c r="K73">
        <v>386787</v>
      </c>
      <c r="L73">
        <v>-0.1154</v>
      </c>
      <c r="M73">
        <v>2.4</v>
      </c>
      <c r="N73">
        <v>1.8</v>
      </c>
      <c r="P73">
        <v>5.7</v>
      </c>
      <c r="Q73">
        <v>2</v>
      </c>
    </row>
    <row r="74" spans="1:17" ht="15">
      <c r="A74" s="6" t="s">
        <v>25</v>
      </c>
      <c r="B74">
        <v>2019</v>
      </c>
      <c r="C74" t="s">
        <v>20</v>
      </c>
      <c r="D74" s="1">
        <v>43585</v>
      </c>
      <c r="E74" s="1">
        <v>43567</v>
      </c>
      <c r="F74">
        <v>255</v>
      </c>
      <c r="G74">
        <f t="shared" si="1"/>
        <v>291</v>
      </c>
      <c r="H74">
        <v>2043</v>
      </c>
      <c r="I74">
        <v>1860</v>
      </c>
      <c r="J74">
        <v>239</v>
      </c>
      <c r="K74">
        <v>394696</v>
      </c>
      <c r="L74">
        <v>0.10199999999999999</v>
      </c>
      <c r="M74">
        <v>2.4</v>
      </c>
      <c r="N74">
        <v>1.5</v>
      </c>
      <c r="P74">
        <v>5.9</v>
      </c>
      <c r="Q74">
        <v>1.75</v>
      </c>
    </row>
    <row r="75" spans="1:17" ht="15">
      <c r="A75" s="6" t="s">
        <v>25</v>
      </c>
      <c r="B75">
        <v>2019</v>
      </c>
      <c r="C75" t="s">
        <v>21</v>
      </c>
      <c r="D75" s="1">
        <v>43677</v>
      </c>
      <c r="E75" s="1">
        <v>43658</v>
      </c>
      <c r="F75">
        <v>291</v>
      </c>
      <c r="G75">
        <f t="shared" si="1"/>
        <v>402</v>
      </c>
      <c r="H75">
        <v>1797</v>
      </c>
      <c r="I75">
        <v>1890</v>
      </c>
      <c r="J75">
        <v>239</v>
      </c>
      <c r="K75">
        <v>397211</v>
      </c>
      <c r="L75">
        <v>-0.19550000000000001</v>
      </c>
      <c r="M75">
        <v>2.2999999999999998</v>
      </c>
      <c r="N75">
        <v>1.7</v>
      </c>
      <c r="P75">
        <v>5.7</v>
      </c>
      <c r="Q75">
        <v>1.75</v>
      </c>
    </row>
    <row r="76" spans="1:17" ht="15">
      <c r="A76" s="6" t="s">
        <v>25</v>
      </c>
      <c r="B76">
        <v>2019</v>
      </c>
      <c r="C76" t="s">
        <v>18</v>
      </c>
      <c r="D76" s="1">
        <v>43769</v>
      </c>
      <c r="E76" s="1">
        <v>43748</v>
      </c>
      <c r="F76">
        <v>402</v>
      </c>
      <c r="G76">
        <f t="shared" si="1"/>
        <v>261</v>
      </c>
      <c r="H76">
        <v>1866</v>
      </c>
      <c r="I76">
        <v>2044</v>
      </c>
      <c r="J76">
        <v>234</v>
      </c>
      <c r="K76">
        <v>400023</v>
      </c>
      <c r="L76">
        <v>8.0399999999999999E-2</v>
      </c>
      <c r="M76">
        <v>2</v>
      </c>
      <c r="N76">
        <v>2.1</v>
      </c>
      <c r="P76">
        <v>5.9</v>
      </c>
      <c r="Q76">
        <v>1.25</v>
      </c>
    </row>
    <row r="77" spans="1:17" ht="15">
      <c r="A77" s="6" t="s">
        <v>25</v>
      </c>
      <c r="B77">
        <v>2020</v>
      </c>
      <c r="C77" t="s">
        <v>19</v>
      </c>
      <c r="D77" s="1">
        <v>43861</v>
      </c>
      <c r="E77" s="1">
        <v>43843</v>
      </c>
      <c r="F77">
        <v>261</v>
      </c>
      <c r="G77">
        <f t="shared" si="1"/>
        <v>1412</v>
      </c>
      <c r="H77">
        <v>1902</v>
      </c>
      <c r="I77">
        <v>2078</v>
      </c>
      <c r="J77">
        <v>217</v>
      </c>
      <c r="K77">
        <v>404401</v>
      </c>
      <c r="L77">
        <v>6.3E-3</v>
      </c>
      <c r="M77">
        <v>1.7</v>
      </c>
      <c r="N77">
        <v>1.2</v>
      </c>
      <c r="P77">
        <v>5.8</v>
      </c>
      <c r="Q77">
        <v>1.25</v>
      </c>
    </row>
    <row r="78" spans="1:17" ht="15">
      <c r="A78" s="6" t="s">
        <v>25</v>
      </c>
      <c r="B78">
        <v>2020</v>
      </c>
      <c r="C78" t="s">
        <v>20</v>
      </c>
      <c r="D78" s="1">
        <v>43951</v>
      </c>
      <c r="E78" s="1">
        <v>43938</v>
      </c>
      <c r="F78">
        <v>1412</v>
      </c>
      <c r="G78">
        <f t="shared" si="1"/>
        <v>525</v>
      </c>
      <c r="H78">
        <v>2232</v>
      </c>
      <c r="I78">
        <v>3311</v>
      </c>
      <c r="J78">
        <v>199</v>
      </c>
      <c r="K78">
        <v>423643</v>
      </c>
      <c r="L78">
        <v>3.5095999999999998</v>
      </c>
      <c r="M78">
        <v>21.3</v>
      </c>
      <c r="N78">
        <v>-11.5</v>
      </c>
      <c r="P78">
        <v>10.9</v>
      </c>
      <c r="Q78">
        <v>0.25</v>
      </c>
    </row>
    <row r="79" spans="1:17" ht="15">
      <c r="A79" s="6" t="s">
        <v>25</v>
      </c>
      <c r="B79">
        <v>2020</v>
      </c>
      <c r="C79" t="s">
        <v>21</v>
      </c>
      <c r="D79" s="1">
        <v>44043</v>
      </c>
      <c r="E79" s="1">
        <v>43987</v>
      </c>
      <c r="F79">
        <v>525</v>
      </c>
      <c r="G79">
        <f t="shared" si="1"/>
        <v>291</v>
      </c>
      <c r="H79">
        <v>2583</v>
      </c>
      <c r="I79">
        <v>3609</v>
      </c>
      <c r="J79">
        <v>171</v>
      </c>
      <c r="K79">
        <v>417804</v>
      </c>
      <c r="L79">
        <v>3.3616000000000001</v>
      </c>
      <c r="M79">
        <v>18.899999999999999</v>
      </c>
      <c r="N79">
        <v>-5.0999999999999996</v>
      </c>
      <c r="O79">
        <v>9.6</v>
      </c>
      <c r="P79">
        <v>10.3</v>
      </c>
      <c r="Q79">
        <v>0.25</v>
      </c>
    </row>
    <row r="80" spans="1:17" ht="15">
      <c r="A80" s="6" t="s">
        <v>25</v>
      </c>
      <c r="B80">
        <v>2020</v>
      </c>
      <c r="C80" t="s">
        <v>18</v>
      </c>
      <c r="D80" s="1">
        <v>44135</v>
      </c>
      <c r="E80" s="1">
        <v>44118</v>
      </c>
      <c r="F80">
        <v>291</v>
      </c>
      <c r="G80">
        <f t="shared" si="1"/>
        <v>147</v>
      </c>
      <c r="H80">
        <v>2349</v>
      </c>
      <c r="I80">
        <v>3722</v>
      </c>
      <c r="J80">
        <v>156</v>
      </c>
      <c r="K80">
        <v>419928</v>
      </c>
      <c r="L80">
        <v>-3.1535000000000002</v>
      </c>
      <c r="M80">
        <v>5.3</v>
      </c>
      <c r="N80">
        <v>-0.9</v>
      </c>
      <c r="O80">
        <v>7.9</v>
      </c>
      <c r="P80">
        <v>7.7</v>
      </c>
      <c r="Q80">
        <v>0.25</v>
      </c>
    </row>
    <row r="81" spans="1:17" ht="15">
      <c r="A81" s="6" t="s">
        <v>25</v>
      </c>
      <c r="B81">
        <v>2021</v>
      </c>
      <c r="C81" t="s">
        <v>19</v>
      </c>
      <c r="D81" s="1">
        <v>44227</v>
      </c>
      <c r="E81" s="1">
        <v>44208</v>
      </c>
      <c r="F81">
        <v>147</v>
      </c>
      <c r="G81">
        <f t="shared" si="1"/>
        <v>32</v>
      </c>
      <c r="H81">
        <v>2455</v>
      </c>
      <c r="I81">
        <v>3631</v>
      </c>
      <c r="J81">
        <v>172</v>
      </c>
      <c r="K81">
        <v>424459</v>
      </c>
      <c r="L81">
        <v>-0.49530000000000002</v>
      </c>
      <c r="M81">
        <v>7.9</v>
      </c>
      <c r="N81">
        <v>11.8</v>
      </c>
      <c r="O81">
        <v>8.5</v>
      </c>
      <c r="P81">
        <v>8.1</v>
      </c>
      <c r="Q81">
        <v>0.25</v>
      </c>
    </row>
    <row r="82" spans="1:17" ht="15">
      <c r="A82" s="6" t="s">
        <v>25</v>
      </c>
      <c r="B82">
        <v>2021</v>
      </c>
      <c r="C82" t="s">
        <v>20</v>
      </c>
      <c r="D82" s="1">
        <v>44316</v>
      </c>
      <c r="E82" s="1">
        <v>44308</v>
      </c>
      <c r="F82">
        <v>32</v>
      </c>
      <c r="G82">
        <f>F83</f>
        <v>-99</v>
      </c>
      <c r="H82">
        <v>2334</v>
      </c>
      <c r="I82">
        <v>3338</v>
      </c>
      <c r="J82">
        <v>261</v>
      </c>
      <c r="K82">
        <v>435320</v>
      </c>
      <c r="L82">
        <v>-0.74919999999999998</v>
      </c>
      <c r="M82">
        <v>8.5</v>
      </c>
      <c r="N82">
        <v>6.8</v>
      </c>
      <c r="O82">
        <v>6.9</v>
      </c>
      <c r="P82">
        <v>7.3</v>
      </c>
      <c r="Q82">
        <v>0.25</v>
      </c>
    </row>
    <row r="83" spans="1:17" ht="15">
      <c r="A83" s="6" t="s">
        <v>25</v>
      </c>
      <c r="B83">
        <v>2021</v>
      </c>
      <c r="C83" t="s">
        <v>21</v>
      </c>
      <c r="D83" s="1">
        <v>44408</v>
      </c>
      <c r="E83" s="1">
        <v>44400</v>
      </c>
      <c r="F83">
        <v>-99</v>
      </c>
      <c r="G83">
        <f t="shared" si="1"/>
        <v>78</v>
      </c>
      <c r="H83">
        <v>1901</v>
      </c>
      <c r="I83">
        <v>3046</v>
      </c>
      <c r="J83">
        <v>211</v>
      </c>
      <c r="K83">
        <v>452093</v>
      </c>
      <c r="L83">
        <v>-0.28339999999999999</v>
      </c>
      <c r="M83">
        <v>5.3</v>
      </c>
      <c r="N83">
        <v>5.2</v>
      </c>
      <c r="O83">
        <v>6.7</v>
      </c>
      <c r="P83">
        <v>7.6</v>
      </c>
      <c r="Q83">
        <v>0.25</v>
      </c>
    </row>
    <row r="84" spans="1:17">
      <c r="A84" s="6" t="s">
        <v>25</v>
      </c>
      <c r="B84">
        <v>2021</v>
      </c>
      <c r="C84" t="s">
        <v>18</v>
      </c>
      <c r="D84" s="1">
        <v>44500</v>
      </c>
      <c r="E84" s="1">
        <v>44489</v>
      </c>
      <c r="F84">
        <v>78</v>
      </c>
      <c r="G84">
        <f t="shared" si="1"/>
        <v>75</v>
      </c>
      <c r="H84">
        <v>1833</v>
      </c>
      <c r="I84">
        <v>2970</v>
      </c>
      <c r="J84">
        <v>136</v>
      </c>
      <c r="K84">
        <v>465728</v>
      </c>
      <c r="L84">
        <v>-0.9829</v>
      </c>
      <c r="M84">
        <v>3.4</v>
      </c>
      <c r="N84">
        <v>2.6</v>
      </c>
      <c r="O84">
        <v>6.2</v>
      </c>
      <c r="P84">
        <v>5.6</v>
      </c>
      <c r="Q84">
        <v>0.25</v>
      </c>
    </row>
    <row r="85" spans="1:17">
      <c r="A85" t="s">
        <v>25</v>
      </c>
      <c r="B85">
        <v>2022</v>
      </c>
      <c r="C85" t="s">
        <v>19</v>
      </c>
      <c r="D85" s="1">
        <v>44592</v>
      </c>
      <c r="E85" s="1">
        <v>44580</v>
      </c>
      <c r="F85">
        <v>75</v>
      </c>
      <c r="G85">
        <f t="shared" si="1"/>
        <v>303</v>
      </c>
      <c r="H85">
        <v>1900</v>
      </c>
      <c r="I85">
        <v>2958</v>
      </c>
      <c r="J85">
        <v>102</v>
      </c>
      <c r="K85">
        <v>486225</v>
      </c>
      <c r="L85">
        <v>-0.72670000000000001</v>
      </c>
      <c r="M85">
        <v>7.1</v>
      </c>
      <c r="N85">
        <v>4.5999999999999996</v>
      </c>
      <c r="O85">
        <v>5.5</v>
      </c>
      <c r="P85">
        <v>5.4</v>
      </c>
      <c r="Q85">
        <v>1.5</v>
      </c>
    </row>
    <row r="86" spans="1:17">
      <c r="A86" t="s">
        <v>25</v>
      </c>
      <c r="B86">
        <v>2022</v>
      </c>
      <c r="C86" t="s">
        <v>20</v>
      </c>
      <c r="D86" s="1">
        <v>44681</v>
      </c>
      <c r="E86" s="1">
        <v>44663</v>
      </c>
      <c r="F86">
        <v>303</v>
      </c>
      <c r="G86">
        <f t="shared" si="1"/>
        <v>243</v>
      </c>
      <c r="H86">
        <v>1774</v>
      </c>
      <c r="I86">
        <v>2955</v>
      </c>
      <c r="J86">
        <v>306</v>
      </c>
      <c r="K86">
        <v>505253</v>
      </c>
      <c r="L86">
        <v>-0.75439999999999996</v>
      </c>
      <c r="M86">
        <v>4</v>
      </c>
      <c r="N86">
        <v>4.8</v>
      </c>
      <c r="O86">
        <v>4.9000000000000004</v>
      </c>
      <c r="P86">
        <v>5.2</v>
      </c>
      <c r="Q86">
        <v>2</v>
      </c>
    </row>
    <row r="87" spans="1:17" ht="15">
      <c r="A87" s="6" t="s">
        <v>25</v>
      </c>
      <c r="B87">
        <v>2022</v>
      </c>
      <c r="C87" t="s">
        <v>21</v>
      </c>
      <c r="D87" s="1">
        <v>44773</v>
      </c>
      <c r="E87" s="1">
        <v>44760</v>
      </c>
      <c r="F87">
        <v>243</v>
      </c>
      <c r="G87">
        <f t="shared" si="1"/>
        <v>436</v>
      </c>
      <c r="H87">
        <v>1701</v>
      </c>
      <c r="I87">
        <v>3002</v>
      </c>
      <c r="J87">
        <v>188</v>
      </c>
      <c r="K87">
        <v>519418</v>
      </c>
      <c r="L87">
        <v>-0.40350000000000003</v>
      </c>
      <c r="M87">
        <v>1.9</v>
      </c>
      <c r="N87">
        <v>2.6</v>
      </c>
      <c r="O87">
        <v>5.2</v>
      </c>
      <c r="P87">
        <v>5.3</v>
      </c>
      <c r="Q87">
        <v>3.5</v>
      </c>
    </row>
    <row r="88" spans="1:17" ht="15">
      <c r="A88" s="6" t="s">
        <v>25</v>
      </c>
      <c r="B88">
        <v>2022</v>
      </c>
      <c r="C88" t="s">
        <v>18</v>
      </c>
      <c r="D88" s="1">
        <v>44865</v>
      </c>
      <c r="E88" s="1">
        <v>44851</v>
      </c>
      <c r="F88">
        <v>436</v>
      </c>
      <c r="G88">
        <f t="shared" si="1"/>
        <v>295</v>
      </c>
      <c r="H88">
        <v>1743</v>
      </c>
      <c r="I88">
        <v>3276</v>
      </c>
      <c r="J88">
        <v>216</v>
      </c>
      <c r="K88">
        <v>531730</v>
      </c>
      <c r="L88">
        <v>0.1454</v>
      </c>
      <c r="M88">
        <v>-0.1</v>
      </c>
      <c r="N88">
        <v>1.3</v>
      </c>
      <c r="O88">
        <v>5.7</v>
      </c>
      <c r="P88">
        <v>6</v>
      </c>
      <c r="Q88">
        <v>4.25</v>
      </c>
    </row>
    <row r="89" spans="1:17" ht="15">
      <c r="A89" s="6" t="s">
        <v>25</v>
      </c>
      <c r="B89">
        <v>2023</v>
      </c>
      <c r="C89" t="s">
        <v>19</v>
      </c>
      <c r="D89" s="1">
        <v>44957</v>
      </c>
      <c r="E89" s="1">
        <v>44903</v>
      </c>
      <c r="F89">
        <v>295</v>
      </c>
      <c r="G89">
        <f t="shared" si="1"/>
        <v>438</v>
      </c>
      <c r="H89">
        <v>1942</v>
      </c>
      <c r="I89">
        <v>3371</v>
      </c>
      <c r="J89">
        <v>175</v>
      </c>
      <c r="K89">
        <v>534465</v>
      </c>
      <c r="L89">
        <v>-8.9800000000000005E-2</v>
      </c>
      <c r="M89">
        <v>-0.1</v>
      </c>
      <c r="N89">
        <v>0.9</v>
      </c>
      <c r="O89">
        <v>5.7</v>
      </c>
      <c r="P89">
        <v>5.8</v>
      </c>
      <c r="Q89">
        <v>4.25</v>
      </c>
    </row>
    <row r="90" spans="1:17" ht="15">
      <c r="A90" s="6" t="s">
        <v>25</v>
      </c>
      <c r="B90">
        <v>2023</v>
      </c>
      <c r="C90" t="s">
        <v>20</v>
      </c>
      <c r="D90" s="1">
        <v>45046</v>
      </c>
      <c r="E90" s="1">
        <v>45002</v>
      </c>
      <c r="F90">
        <v>438</v>
      </c>
      <c r="G90">
        <f t="shared" si="1"/>
        <v>736</v>
      </c>
      <c r="H90">
        <v>2328</v>
      </c>
      <c r="I90">
        <v>3581</v>
      </c>
      <c r="J90">
        <v>229</v>
      </c>
      <c r="K90">
        <v>541670</v>
      </c>
      <c r="L90">
        <v>4.7300000000000002E-2</v>
      </c>
      <c r="M90">
        <v>-0.7</v>
      </c>
      <c r="N90">
        <v>0</v>
      </c>
      <c r="O90">
        <v>5.5</v>
      </c>
      <c r="P90">
        <v>5.4</v>
      </c>
      <c r="Q90">
        <v>4.5</v>
      </c>
    </row>
    <row r="91" spans="1:17" ht="15">
      <c r="A91" s="6" t="s">
        <v>25</v>
      </c>
      <c r="B91">
        <v>2023</v>
      </c>
      <c r="C91" t="s">
        <v>21</v>
      </c>
      <c r="D91" s="1">
        <v>45138</v>
      </c>
      <c r="E91" s="1">
        <v>45127</v>
      </c>
      <c r="F91">
        <v>736</v>
      </c>
      <c r="G91">
        <f t="shared" si="1"/>
        <v>541</v>
      </c>
      <c r="H91">
        <v>2616</v>
      </c>
      <c r="I91">
        <v>3936</v>
      </c>
      <c r="J91">
        <v>318</v>
      </c>
      <c r="K91">
        <v>541931</v>
      </c>
      <c r="L91">
        <v>0.23949999999999999</v>
      </c>
      <c r="M91">
        <v>0.2</v>
      </c>
      <c r="N91">
        <v>1.5</v>
      </c>
      <c r="O91">
        <v>5.8</v>
      </c>
      <c r="P91">
        <v>5.4</v>
      </c>
      <c r="Q91">
        <v>5</v>
      </c>
    </row>
    <row r="92" spans="1:17" ht="15">
      <c r="A92" s="6" t="s">
        <v>25</v>
      </c>
      <c r="B92">
        <v>2023</v>
      </c>
      <c r="C92" t="s">
        <v>18</v>
      </c>
      <c r="D92" s="1">
        <v>45230</v>
      </c>
      <c r="E92" s="1">
        <v>45222</v>
      </c>
      <c r="F92">
        <v>541</v>
      </c>
      <c r="G92">
        <f t="shared" si="1"/>
        <v>585</v>
      </c>
      <c r="H92">
        <v>2990</v>
      </c>
      <c r="I92">
        <v>4117</v>
      </c>
      <c r="J92">
        <v>414</v>
      </c>
      <c r="K92">
        <v>544055</v>
      </c>
      <c r="L92">
        <v>0.1736</v>
      </c>
      <c r="M92">
        <v>0.4</v>
      </c>
      <c r="N92">
        <v>0.4</v>
      </c>
      <c r="O92">
        <v>5.8</v>
      </c>
      <c r="P92">
        <v>6.1</v>
      </c>
      <c r="Q92">
        <v>5</v>
      </c>
    </row>
    <row r="93" spans="1:17" ht="15">
      <c r="A93" s="6" t="s">
        <v>25</v>
      </c>
      <c r="B93">
        <v>2024</v>
      </c>
      <c r="C93" t="s">
        <v>19</v>
      </c>
      <c r="D93" s="1">
        <v>45322</v>
      </c>
      <c r="E93" s="1">
        <v>45275</v>
      </c>
      <c r="F93">
        <v>585</v>
      </c>
      <c r="G93">
        <f t="shared" si="1"/>
        <v>514</v>
      </c>
      <c r="H93">
        <v>2997</v>
      </c>
      <c r="I93">
        <v>4182</v>
      </c>
      <c r="J93">
        <v>445</v>
      </c>
      <c r="K93">
        <v>543315</v>
      </c>
      <c r="L93">
        <v>0.2442</v>
      </c>
      <c r="M93">
        <v>0.9</v>
      </c>
      <c r="N93">
        <v>0.1</v>
      </c>
      <c r="O93">
        <v>6.3</v>
      </c>
      <c r="P93">
        <v>6.4</v>
      </c>
      <c r="Q93">
        <v>4.75</v>
      </c>
    </row>
    <row r="94" spans="1:17" ht="15">
      <c r="A94" s="6" t="s">
        <v>25</v>
      </c>
      <c r="B94">
        <v>2024</v>
      </c>
      <c r="C94" t="s">
        <v>20</v>
      </c>
      <c r="D94" s="1">
        <v>45412</v>
      </c>
      <c r="E94" s="1">
        <v>45400</v>
      </c>
      <c r="F94">
        <v>514</v>
      </c>
      <c r="G94">
        <f t="shared" si="1"/>
        <v>483</v>
      </c>
      <c r="H94">
        <v>2849</v>
      </c>
      <c r="I94">
        <v>4086</v>
      </c>
      <c r="J94">
        <v>621</v>
      </c>
      <c r="K94">
        <v>547795</v>
      </c>
      <c r="L94">
        <v>0.33110000000000001</v>
      </c>
      <c r="M94">
        <v>1.7</v>
      </c>
      <c r="N94">
        <v>1.8</v>
      </c>
      <c r="O94">
        <v>6.3</v>
      </c>
      <c r="P94">
        <v>6.2</v>
      </c>
      <c r="Q94">
        <v>4.75</v>
      </c>
    </row>
    <row r="95" spans="1:17" ht="15">
      <c r="A95" s="6" t="s">
        <v>25</v>
      </c>
      <c r="B95">
        <v>2024</v>
      </c>
      <c r="C95" t="s">
        <v>21</v>
      </c>
      <c r="D95" s="1">
        <v>45504</v>
      </c>
      <c r="E95" s="1">
        <v>45491</v>
      </c>
      <c r="F95">
        <v>483</v>
      </c>
      <c r="G95">
        <f t="shared" si="1"/>
        <v>419</v>
      </c>
      <c r="H95">
        <v>2757</v>
      </c>
      <c r="I95">
        <v>4118</v>
      </c>
      <c r="J95">
        <v>425</v>
      </c>
      <c r="K95">
        <v>554069</v>
      </c>
      <c r="L95">
        <v>0.27979999999999999</v>
      </c>
      <c r="M95">
        <v>2.2000000000000002</v>
      </c>
      <c r="N95">
        <v>1.9</v>
      </c>
      <c r="O95">
        <v>6.6</v>
      </c>
      <c r="P95">
        <v>6.3</v>
      </c>
      <c r="Q95">
        <v>4</v>
      </c>
    </row>
    <row r="96" spans="1:17">
      <c r="A96" t="s">
        <v>25</v>
      </c>
      <c r="B96">
        <v>2024</v>
      </c>
      <c r="C96" t="s">
        <v>18</v>
      </c>
      <c r="D96" s="1">
        <v>45596</v>
      </c>
      <c r="E96" s="1">
        <v>45583</v>
      </c>
      <c r="F96">
        <v>419</v>
      </c>
      <c r="G96">
        <f t="shared" si="1"/>
        <v>573</v>
      </c>
      <c r="H96">
        <v>2914</v>
      </c>
      <c r="I96">
        <v>4114</v>
      </c>
      <c r="J96">
        <v>413</v>
      </c>
      <c r="K96">
        <v>562209</v>
      </c>
      <c r="L96">
        <v>0.17169999999999999</v>
      </c>
      <c r="M96">
        <v>2.1</v>
      </c>
      <c r="N96">
        <v>1.9</v>
      </c>
      <c r="O96">
        <v>6.6</v>
      </c>
      <c r="P96">
        <v>6.5</v>
      </c>
      <c r="Q96">
        <v>3.25</v>
      </c>
    </row>
    <row r="97" spans="1:17">
      <c r="A97" t="s">
        <v>25</v>
      </c>
      <c r="B97">
        <v>2025</v>
      </c>
      <c r="C97" t="s">
        <v>19</v>
      </c>
      <c r="D97" s="1">
        <v>45688</v>
      </c>
      <c r="E97" s="1">
        <v>45638</v>
      </c>
      <c r="F97">
        <v>573</v>
      </c>
      <c r="G97">
        <f t="shared" si="1"/>
        <v>605</v>
      </c>
      <c r="H97">
        <v>3262</v>
      </c>
      <c r="I97">
        <v>4376</v>
      </c>
      <c r="J97">
        <v>352</v>
      </c>
      <c r="K97">
        <v>572223</v>
      </c>
      <c r="L97">
        <v>0.23069999999999999</v>
      </c>
      <c r="M97">
        <v>3.1</v>
      </c>
      <c r="N97">
        <v>2.2000000000000002</v>
      </c>
      <c r="O97">
        <v>6.6</v>
      </c>
      <c r="P97">
        <v>6.6</v>
      </c>
      <c r="Q97">
        <v>3</v>
      </c>
    </row>
    <row r="98" spans="1:17">
      <c r="A98" t="s">
        <v>25</v>
      </c>
      <c r="B98">
        <v>2025</v>
      </c>
      <c r="C98" t="s">
        <v>20</v>
      </c>
      <c r="D98" s="1">
        <v>45777</v>
      </c>
      <c r="E98" s="1">
        <v>45763</v>
      </c>
      <c r="F98">
        <v>605</v>
      </c>
      <c r="G98">
        <f t="shared" si="1"/>
        <v>559</v>
      </c>
      <c r="H98">
        <v>3295</v>
      </c>
      <c r="I98">
        <v>4455</v>
      </c>
      <c r="J98">
        <v>393</v>
      </c>
      <c r="K98">
        <v>575830</v>
      </c>
      <c r="L98">
        <v>-1.49E-2</v>
      </c>
      <c r="M98">
        <v>0.9</v>
      </c>
      <c r="N98">
        <v>1.4</v>
      </c>
      <c r="O98">
        <v>7.4</v>
      </c>
      <c r="P98">
        <v>7.2</v>
      </c>
      <c r="Q98">
        <v>2.75</v>
      </c>
    </row>
    <row r="99" spans="1:17">
      <c r="A99" t="s">
        <v>25</v>
      </c>
      <c r="B99">
        <v>2025</v>
      </c>
      <c r="C99" t="s">
        <v>21</v>
      </c>
      <c r="D99" s="1">
        <v>45869</v>
      </c>
      <c r="E99" s="1">
        <v>45855</v>
      </c>
      <c r="F99">
        <v>559</v>
      </c>
      <c r="G99">
        <f t="shared" si="1"/>
        <v>605</v>
      </c>
      <c r="H99">
        <v>3281</v>
      </c>
      <c r="I99">
        <v>4588</v>
      </c>
      <c r="J99">
        <v>401</v>
      </c>
      <c r="K99">
        <v>585929</v>
      </c>
      <c r="L99">
        <v>0.1555</v>
      </c>
      <c r="M99">
        <v>0.9</v>
      </c>
      <c r="N99">
        <v>1.1000000000000001</v>
      </c>
      <c r="O99">
        <v>7.1</v>
      </c>
      <c r="P99">
        <v>6.9</v>
      </c>
      <c r="Q99">
        <v>2.75</v>
      </c>
    </row>
    <row r="100" spans="1:17">
      <c r="A100" s="6" t="s">
        <v>25</v>
      </c>
      <c r="B100">
        <v>2025</v>
      </c>
      <c r="C100" t="s">
        <v>18</v>
      </c>
      <c r="D100" s="1">
        <v>45961</v>
      </c>
      <c r="E100" s="1">
        <v>45911</v>
      </c>
      <c r="F100">
        <v>605</v>
      </c>
      <c r="H100">
        <v>3636</v>
      </c>
      <c r="I100">
        <v>4739</v>
      </c>
      <c r="J100">
        <v>444</v>
      </c>
      <c r="K100">
        <v>593896</v>
      </c>
      <c r="L100">
        <v>7.7399999999999997E-2</v>
      </c>
      <c r="M100">
        <v>2.6</v>
      </c>
      <c r="N100">
        <v>0.7</v>
      </c>
      <c r="O100">
        <v>7.1</v>
      </c>
      <c r="P100">
        <v>6.8</v>
      </c>
      <c r="Q100">
        <v>2.25</v>
      </c>
    </row>
    <row r="101" spans="1:17" ht="15">
      <c r="A101" s="6" t="s">
        <v>26</v>
      </c>
      <c r="B101">
        <v>2017</v>
      </c>
      <c r="C101" t="s">
        <v>18</v>
      </c>
      <c r="D101" s="1">
        <v>43039</v>
      </c>
      <c r="E101" s="1">
        <v>43013</v>
      </c>
      <c r="F101">
        <v>234</v>
      </c>
      <c r="G101">
        <f t="shared" si="1"/>
        <v>334</v>
      </c>
      <c r="H101">
        <v>2576</v>
      </c>
      <c r="I101">
        <v>2250</v>
      </c>
      <c r="J101">
        <v>310</v>
      </c>
      <c r="K101">
        <v>561235</v>
      </c>
      <c r="L101">
        <v>-0.21429999999999999</v>
      </c>
      <c r="M101">
        <v>1.7</v>
      </c>
      <c r="N101">
        <v>2.7</v>
      </c>
      <c r="P101">
        <v>6.3</v>
      </c>
      <c r="Q101">
        <v>1.5</v>
      </c>
    </row>
    <row r="102" spans="1:17" ht="15">
      <c r="A102" s="6" t="s">
        <v>26</v>
      </c>
      <c r="B102">
        <v>2018</v>
      </c>
      <c r="C102" t="s">
        <v>19</v>
      </c>
      <c r="D102" s="1">
        <v>43131</v>
      </c>
      <c r="E102" s="1">
        <v>43112</v>
      </c>
      <c r="F102">
        <v>334</v>
      </c>
      <c r="G102">
        <f t="shared" si="1"/>
        <v>274</v>
      </c>
      <c r="H102">
        <v>2527</v>
      </c>
      <c r="I102">
        <v>3098</v>
      </c>
      <c r="J102">
        <v>250</v>
      </c>
      <c r="K102">
        <v>557199</v>
      </c>
      <c r="L102">
        <v>-0.22270000000000001</v>
      </c>
      <c r="M102">
        <v>2.2000000000000002</v>
      </c>
      <c r="N102">
        <v>2.2000000000000002</v>
      </c>
      <c r="P102">
        <v>5.9</v>
      </c>
      <c r="Q102">
        <v>1.5</v>
      </c>
    </row>
    <row r="103" spans="1:17" ht="15">
      <c r="A103" s="6" t="s">
        <v>26</v>
      </c>
      <c r="B103">
        <v>2018</v>
      </c>
      <c r="C103" t="s">
        <v>20</v>
      </c>
      <c r="D103" s="1">
        <v>43220</v>
      </c>
      <c r="E103" s="1">
        <v>43202</v>
      </c>
      <c r="F103">
        <v>274</v>
      </c>
      <c r="G103">
        <f t="shared" si="1"/>
        <v>346</v>
      </c>
      <c r="H103">
        <v>2655</v>
      </c>
      <c r="I103">
        <v>3134</v>
      </c>
      <c r="J103">
        <v>263</v>
      </c>
      <c r="K103">
        <v>569869</v>
      </c>
      <c r="L103">
        <v>-0.15809999999999999</v>
      </c>
      <c r="M103">
        <v>2.4</v>
      </c>
      <c r="N103">
        <v>2.1</v>
      </c>
      <c r="P103">
        <v>5.8</v>
      </c>
      <c r="Q103">
        <v>1.5</v>
      </c>
    </row>
    <row r="104" spans="1:17" ht="15">
      <c r="A104" s="6" t="s">
        <v>26</v>
      </c>
      <c r="B104">
        <v>2018</v>
      </c>
      <c r="C104" t="s">
        <v>21</v>
      </c>
      <c r="D104" s="1">
        <v>43312</v>
      </c>
      <c r="E104" s="1">
        <v>43284</v>
      </c>
      <c r="F104">
        <v>346</v>
      </c>
      <c r="G104">
        <f t="shared" si="1"/>
        <v>353</v>
      </c>
      <c r="H104">
        <v>2321</v>
      </c>
      <c r="I104">
        <v>3170</v>
      </c>
      <c r="J104">
        <v>303</v>
      </c>
      <c r="K104">
        <v>582033</v>
      </c>
      <c r="L104">
        <v>2.0799999999999999E-2</v>
      </c>
      <c r="M104">
        <v>2.5</v>
      </c>
      <c r="N104">
        <v>2.1</v>
      </c>
      <c r="P104">
        <v>5.8</v>
      </c>
      <c r="Q104">
        <v>1.75</v>
      </c>
    </row>
    <row r="105" spans="1:17" ht="15">
      <c r="A105" s="6" t="s">
        <v>26</v>
      </c>
      <c r="B105">
        <v>2018</v>
      </c>
      <c r="C105" t="s">
        <v>18</v>
      </c>
      <c r="D105" s="1">
        <v>43404</v>
      </c>
      <c r="E105" s="1">
        <v>43388</v>
      </c>
      <c r="F105">
        <v>353</v>
      </c>
      <c r="G105">
        <f t="shared" si="1"/>
        <v>514</v>
      </c>
      <c r="H105">
        <v>2183</v>
      </c>
      <c r="I105">
        <v>3159</v>
      </c>
      <c r="J105">
        <v>296</v>
      </c>
      <c r="K105">
        <v>595392</v>
      </c>
      <c r="L105">
        <v>-0.1053</v>
      </c>
      <c r="M105">
        <v>2.1</v>
      </c>
      <c r="N105">
        <v>2.4</v>
      </c>
      <c r="P105">
        <v>5.8</v>
      </c>
      <c r="Q105">
        <v>2</v>
      </c>
    </row>
    <row r="106" spans="1:17" ht="15">
      <c r="A106" s="6" t="s">
        <v>26</v>
      </c>
      <c r="B106">
        <v>2019</v>
      </c>
      <c r="C106" t="s">
        <v>19</v>
      </c>
      <c r="D106" s="1">
        <v>43496</v>
      </c>
      <c r="E106" s="1">
        <v>43476</v>
      </c>
      <c r="F106">
        <v>514</v>
      </c>
      <c r="G106">
        <f t="shared" si="1"/>
        <v>426</v>
      </c>
      <c r="H106">
        <v>2782</v>
      </c>
      <c r="I106">
        <v>3342</v>
      </c>
      <c r="J106">
        <v>303</v>
      </c>
      <c r="K106">
        <v>609662</v>
      </c>
      <c r="L106">
        <v>-0.1154</v>
      </c>
      <c r="M106">
        <v>2.4</v>
      </c>
      <c r="N106">
        <v>1.8</v>
      </c>
      <c r="P106">
        <v>5.7</v>
      </c>
      <c r="Q106">
        <v>2</v>
      </c>
    </row>
    <row r="107" spans="1:17" ht="15">
      <c r="A107" s="6" t="s">
        <v>26</v>
      </c>
      <c r="B107">
        <v>2019</v>
      </c>
      <c r="C107" t="s">
        <v>20</v>
      </c>
      <c r="D107" s="1">
        <v>43585</v>
      </c>
      <c r="E107" s="1">
        <v>43567</v>
      </c>
      <c r="F107">
        <v>426</v>
      </c>
      <c r="G107">
        <f t="shared" si="1"/>
        <v>425</v>
      </c>
      <c r="H107">
        <v>3042</v>
      </c>
      <c r="I107">
        <v>3346</v>
      </c>
      <c r="J107">
        <v>421</v>
      </c>
      <c r="K107">
        <v>621584</v>
      </c>
      <c r="L107">
        <v>0.10199999999999999</v>
      </c>
      <c r="M107">
        <v>2.4</v>
      </c>
      <c r="N107">
        <v>1.5</v>
      </c>
      <c r="P107">
        <v>5.9</v>
      </c>
      <c r="Q107">
        <v>1.75</v>
      </c>
    </row>
    <row r="108" spans="1:17" ht="15">
      <c r="A108" s="6" t="s">
        <v>26</v>
      </c>
      <c r="B108">
        <v>2019</v>
      </c>
      <c r="C108" t="s">
        <v>21</v>
      </c>
      <c r="D108" s="1">
        <v>43677</v>
      </c>
      <c r="E108" s="1">
        <v>43658</v>
      </c>
      <c r="F108">
        <v>425</v>
      </c>
      <c r="G108">
        <f t="shared" si="1"/>
        <v>499</v>
      </c>
      <c r="H108">
        <v>2990</v>
      </c>
      <c r="I108">
        <v>3372</v>
      </c>
      <c r="J108">
        <v>352</v>
      </c>
      <c r="K108">
        <v>632648</v>
      </c>
      <c r="L108">
        <v>-0.19550000000000001</v>
      </c>
      <c r="M108">
        <v>2.2999999999999998</v>
      </c>
      <c r="N108">
        <v>1.7</v>
      </c>
      <c r="P108">
        <v>5.7</v>
      </c>
      <c r="Q108">
        <v>1.75</v>
      </c>
    </row>
    <row r="109" spans="1:17">
      <c r="A109" t="s">
        <v>26</v>
      </c>
      <c r="B109">
        <v>2019</v>
      </c>
      <c r="C109" t="s">
        <v>18</v>
      </c>
      <c r="D109" s="1">
        <v>43769</v>
      </c>
      <c r="E109" s="1">
        <v>43748</v>
      </c>
      <c r="F109">
        <v>499</v>
      </c>
      <c r="G109">
        <f t="shared" si="1"/>
        <v>419</v>
      </c>
      <c r="H109">
        <v>2976</v>
      </c>
      <c r="I109">
        <v>3464</v>
      </c>
      <c r="J109">
        <v>378</v>
      </c>
      <c r="K109">
        <v>640042</v>
      </c>
      <c r="L109">
        <v>8.0399999999999999E-2</v>
      </c>
      <c r="M109">
        <v>2</v>
      </c>
      <c r="N109">
        <v>2.1</v>
      </c>
      <c r="P109">
        <v>5.9</v>
      </c>
      <c r="Q109">
        <v>1.25</v>
      </c>
    </row>
    <row r="110" spans="1:17" ht="15">
      <c r="A110" t="s">
        <v>26</v>
      </c>
      <c r="B110">
        <v>2020</v>
      </c>
      <c r="C110" t="s">
        <v>19</v>
      </c>
      <c r="D110" s="1">
        <v>43861</v>
      </c>
      <c r="E110" s="1">
        <v>43843</v>
      </c>
      <c r="F110">
        <v>419</v>
      </c>
      <c r="G110">
        <f t="shared" si="1"/>
        <v>2830</v>
      </c>
      <c r="H110">
        <v>2936</v>
      </c>
      <c r="I110">
        <v>3514</v>
      </c>
      <c r="J110">
        <v>307</v>
      </c>
      <c r="K110">
        <v>651919</v>
      </c>
      <c r="L110">
        <v>6.3E-3</v>
      </c>
      <c r="M110">
        <v>1.7</v>
      </c>
      <c r="N110">
        <v>1.2</v>
      </c>
      <c r="P110">
        <v>5.8</v>
      </c>
      <c r="Q110">
        <v>1.25</v>
      </c>
    </row>
    <row r="111" spans="1:17" ht="15">
      <c r="A111" s="6" t="s">
        <v>26</v>
      </c>
      <c r="B111">
        <v>2020</v>
      </c>
      <c r="C111" t="s">
        <v>20</v>
      </c>
      <c r="D111" s="1">
        <v>43951</v>
      </c>
      <c r="E111" s="1">
        <v>43938</v>
      </c>
      <c r="F111">
        <v>2830</v>
      </c>
      <c r="G111">
        <f t="shared" si="1"/>
        <v>675</v>
      </c>
      <c r="H111">
        <v>3529</v>
      </c>
      <c r="I111">
        <v>5983</v>
      </c>
      <c r="J111">
        <v>345</v>
      </c>
      <c r="K111">
        <v>698221</v>
      </c>
      <c r="L111">
        <v>3.5095999999999998</v>
      </c>
      <c r="M111">
        <v>21.3</v>
      </c>
      <c r="N111">
        <v>-11.5</v>
      </c>
      <c r="P111">
        <v>10.9</v>
      </c>
      <c r="Q111">
        <v>0.25</v>
      </c>
    </row>
    <row r="112" spans="1:17" ht="15">
      <c r="A112" s="6" t="s">
        <v>26</v>
      </c>
      <c r="B112">
        <v>2020</v>
      </c>
      <c r="C112" t="s">
        <v>21</v>
      </c>
      <c r="D112" s="1">
        <v>44043</v>
      </c>
      <c r="E112" s="1">
        <v>43987</v>
      </c>
      <c r="F112">
        <v>675</v>
      </c>
      <c r="G112">
        <f t="shared" si="1"/>
        <v>427</v>
      </c>
      <c r="H112">
        <v>3857</v>
      </c>
      <c r="I112">
        <v>6183</v>
      </c>
      <c r="J112">
        <v>387</v>
      </c>
      <c r="K112">
        <v>679793</v>
      </c>
      <c r="L112">
        <v>3.3616000000000001</v>
      </c>
      <c r="M112">
        <v>18.899999999999999</v>
      </c>
      <c r="N112">
        <v>-5.0999999999999996</v>
      </c>
      <c r="O112">
        <v>9.6</v>
      </c>
      <c r="P112">
        <v>10.3</v>
      </c>
      <c r="Q112">
        <v>0.25</v>
      </c>
    </row>
    <row r="113" spans="1:17" ht="15">
      <c r="A113" s="6" t="s">
        <v>26</v>
      </c>
      <c r="B113">
        <v>2020</v>
      </c>
      <c r="C113" t="s">
        <v>18</v>
      </c>
      <c r="D113" s="1">
        <v>44135</v>
      </c>
      <c r="E113" s="1">
        <v>44118</v>
      </c>
      <c r="F113">
        <v>427</v>
      </c>
      <c r="G113">
        <f t="shared" si="1"/>
        <v>110</v>
      </c>
      <c r="H113">
        <v>3195</v>
      </c>
      <c r="I113">
        <v>6262</v>
      </c>
      <c r="J113">
        <v>301</v>
      </c>
      <c r="K113">
        <v>685245</v>
      </c>
      <c r="L113">
        <v>-3.1535000000000002</v>
      </c>
      <c r="M113">
        <v>5.3</v>
      </c>
      <c r="N113">
        <v>-0.9</v>
      </c>
      <c r="O113">
        <v>7.9</v>
      </c>
      <c r="P113">
        <v>7.7</v>
      </c>
      <c r="Q113">
        <v>0.25</v>
      </c>
    </row>
    <row r="114" spans="1:17" ht="15">
      <c r="A114" s="6" t="s">
        <v>26</v>
      </c>
      <c r="B114">
        <v>2021</v>
      </c>
      <c r="C114" t="s">
        <v>19</v>
      </c>
      <c r="D114" s="1">
        <v>44227</v>
      </c>
      <c r="E114" s="1">
        <v>44208</v>
      </c>
      <c r="F114">
        <v>110</v>
      </c>
      <c r="G114">
        <f t="shared" si="1"/>
        <v>-96</v>
      </c>
      <c r="H114">
        <v>2872</v>
      </c>
      <c r="I114">
        <v>6045</v>
      </c>
      <c r="J114">
        <v>226</v>
      </c>
      <c r="K114">
        <v>696918</v>
      </c>
      <c r="L114">
        <v>-0.49530000000000002</v>
      </c>
      <c r="M114">
        <v>7.9</v>
      </c>
      <c r="N114">
        <v>11.8</v>
      </c>
      <c r="O114">
        <v>8.5</v>
      </c>
      <c r="P114">
        <v>8.1</v>
      </c>
      <c r="Q114">
        <v>0.25</v>
      </c>
    </row>
    <row r="115" spans="1:17" ht="15">
      <c r="A115" s="6" t="s">
        <v>26</v>
      </c>
      <c r="B115">
        <v>2021</v>
      </c>
      <c r="C115" t="s">
        <v>20</v>
      </c>
      <c r="D115" s="1">
        <v>44316</v>
      </c>
      <c r="E115" s="1">
        <v>44308</v>
      </c>
      <c r="F115">
        <v>-96</v>
      </c>
      <c r="G115">
        <f t="shared" si="1"/>
        <v>-540</v>
      </c>
      <c r="H115">
        <v>2777</v>
      </c>
      <c r="I115">
        <v>5639</v>
      </c>
      <c r="J115">
        <v>208</v>
      </c>
      <c r="K115">
        <v>697594</v>
      </c>
      <c r="L115">
        <v>-0.74919999999999998</v>
      </c>
      <c r="M115">
        <v>8.5</v>
      </c>
      <c r="N115">
        <v>6.8</v>
      </c>
      <c r="O115">
        <v>6.9</v>
      </c>
      <c r="P115">
        <v>7.3</v>
      </c>
      <c r="Q115">
        <v>0.25</v>
      </c>
    </row>
    <row r="116" spans="1:17" ht="15">
      <c r="A116" s="6" t="s">
        <v>26</v>
      </c>
      <c r="B116">
        <v>2021</v>
      </c>
      <c r="C116" t="s">
        <v>21</v>
      </c>
      <c r="D116" s="1">
        <v>44408</v>
      </c>
      <c r="E116" s="1">
        <v>44400</v>
      </c>
      <c r="F116">
        <v>-540</v>
      </c>
      <c r="G116">
        <f t="shared" si="1"/>
        <v>-227</v>
      </c>
      <c r="H116">
        <v>2561</v>
      </c>
      <c r="I116">
        <v>4929</v>
      </c>
      <c r="J116">
        <v>164</v>
      </c>
      <c r="K116">
        <v>722021</v>
      </c>
      <c r="L116">
        <v>-0.28339999999999999</v>
      </c>
      <c r="M116">
        <v>5.3</v>
      </c>
      <c r="N116">
        <v>5.2</v>
      </c>
      <c r="O116">
        <v>6.7</v>
      </c>
      <c r="P116">
        <v>7.6</v>
      </c>
      <c r="Q116">
        <v>0.25</v>
      </c>
    </row>
    <row r="117" spans="1:17" ht="15">
      <c r="A117" s="6" t="s">
        <v>26</v>
      </c>
      <c r="B117">
        <v>2021</v>
      </c>
      <c r="C117" t="s">
        <v>18</v>
      </c>
      <c r="D117" s="1">
        <v>44500</v>
      </c>
      <c r="E117" s="1">
        <v>44489</v>
      </c>
      <c r="F117">
        <v>-227</v>
      </c>
      <c r="G117">
        <f t="shared" si="1"/>
        <v>105</v>
      </c>
      <c r="H117">
        <v>2308</v>
      </c>
      <c r="I117">
        <v>4471</v>
      </c>
      <c r="J117">
        <v>196</v>
      </c>
      <c r="K117">
        <v>741537</v>
      </c>
      <c r="L117">
        <v>-0.9829</v>
      </c>
      <c r="M117">
        <v>3.4</v>
      </c>
      <c r="N117">
        <v>2.6</v>
      </c>
      <c r="O117">
        <v>6.2</v>
      </c>
      <c r="P117">
        <v>5.6</v>
      </c>
      <c r="Q117">
        <v>0.25</v>
      </c>
    </row>
    <row r="118" spans="1:17" ht="15">
      <c r="A118" s="6" t="s">
        <v>26</v>
      </c>
      <c r="B118">
        <v>2022</v>
      </c>
      <c r="C118" t="s">
        <v>19</v>
      </c>
      <c r="D118" s="1">
        <v>44592</v>
      </c>
      <c r="E118" s="1">
        <v>44580</v>
      </c>
      <c r="F118">
        <v>105</v>
      </c>
      <c r="G118">
        <f t="shared" si="1"/>
        <v>-342</v>
      </c>
      <c r="H118">
        <v>2141</v>
      </c>
      <c r="I118">
        <v>4442</v>
      </c>
      <c r="J118">
        <v>142</v>
      </c>
      <c r="K118">
        <v>763037</v>
      </c>
      <c r="L118">
        <v>-0.72670000000000001</v>
      </c>
      <c r="M118">
        <v>7.1</v>
      </c>
      <c r="N118">
        <v>4.5999999999999996</v>
      </c>
      <c r="O118">
        <v>5.5</v>
      </c>
      <c r="P118">
        <v>5.4</v>
      </c>
      <c r="Q118">
        <v>1.5</v>
      </c>
    </row>
    <row r="119" spans="1:17" ht="15">
      <c r="A119" s="6" t="s">
        <v>26</v>
      </c>
      <c r="B119">
        <v>2022</v>
      </c>
      <c r="C119" t="s">
        <v>20</v>
      </c>
      <c r="D119" s="1">
        <v>44681</v>
      </c>
      <c r="E119" s="1">
        <v>44663</v>
      </c>
      <c r="F119">
        <v>-342</v>
      </c>
      <c r="G119">
        <f t="shared" si="1"/>
        <v>340</v>
      </c>
      <c r="H119">
        <v>2137</v>
      </c>
      <c r="I119">
        <v>3926</v>
      </c>
      <c r="J119">
        <v>167</v>
      </c>
      <c r="K119">
        <v>794600</v>
      </c>
      <c r="L119">
        <v>-0.75439999999999996</v>
      </c>
      <c r="M119">
        <v>4</v>
      </c>
      <c r="N119">
        <v>4.8</v>
      </c>
      <c r="O119">
        <v>4.9000000000000004</v>
      </c>
      <c r="P119">
        <v>5.2</v>
      </c>
      <c r="Q119">
        <v>2</v>
      </c>
    </row>
    <row r="120" spans="1:17">
      <c r="A120" s="6" t="s">
        <v>26</v>
      </c>
      <c r="B120">
        <v>2022</v>
      </c>
      <c r="C120" t="s">
        <v>21</v>
      </c>
      <c r="D120" s="1">
        <v>44773</v>
      </c>
      <c r="E120" s="1">
        <v>44760</v>
      </c>
      <c r="F120">
        <v>340</v>
      </c>
      <c r="G120">
        <f t="shared" si="1"/>
        <v>381</v>
      </c>
      <c r="H120">
        <v>2059</v>
      </c>
      <c r="I120">
        <v>4043</v>
      </c>
      <c r="J120">
        <v>200</v>
      </c>
      <c r="K120">
        <v>817371</v>
      </c>
      <c r="L120">
        <v>-0.40350000000000003</v>
      </c>
      <c r="M120">
        <v>1.9</v>
      </c>
      <c r="N120">
        <v>2.6</v>
      </c>
      <c r="O120">
        <v>5.2</v>
      </c>
      <c r="P120">
        <v>5.3</v>
      </c>
      <c r="Q120">
        <v>3.5</v>
      </c>
    </row>
    <row r="121" spans="1:17">
      <c r="A121" t="s">
        <v>26</v>
      </c>
      <c r="B121">
        <v>2022</v>
      </c>
      <c r="C121" t="s">
        <v>18</v>
      </c>
      <c r="D121" s="1">
        <v>44865</v>
      </c>
      <c r="E121" s="1">
        <v>44851</v>
      </c>
      <c r="F121">
        <v>381</v>
      </c>
      <c r="G121">
        <f t="shared" si="1"/>
        <v>532</v>
      </c>
      <c r="H121">
        <v>2199</v>
      </c>
      <c r="I121">
        <v>4214</v>
      </c>
      <c r="J121">
        <v>254</v>
      </c>
      <c r="K121">
        <v>841590</v>
      </c>
      <c r="L121">
        <v>0.1454</v>
      </c>
      <c r="M121">
        <v>-0.1</v>
      </c>
      <c r="N121">
        <v>1.3</v>
      </c>
      <c r="O121">
        <v>5.7</v>
      </c>
      <c r="P121">
        <v>6</v>
      </c>
      <c r="Q121">
        <v>4.25</v>
      </c>
    </row>
    <row r="122" spans="1:17">
      <c r="A122" t="s">
        <v>26</v>
      </c>
      <c r="B122">
        <v>2023</v>
      </c>
      <c r="C122" t="s">
        <v>19</v>
      </c>
      <c r="D122" s="1">
        <v>44957</v>
      </c>
      <c r="E122" s="1">
        <v>44903</v>
      </c>
      <c r="F122">
        <v>532</v>
      </c>
      <c r="G122">
        <f t="shared" si="1"/>
        <v>600</v>
      </c>
      <c r="H122">
        <v>2599</v>
      </c>
      <c r="I122">
        <v>4485</v>
      </c>
      <c r="J122">
        <v>216</v>
      </c>
      <c r="K122">
        <v>847022</v>
      </c>
      <c r="L122">
        <v>-8.9800000000000005E-2</v>
      </c>
      <c r="M122">
        <v>-0.1</v>
      </c>
      <c r="N122">
        <v>0.9</v>
      </c>
      <c r="O122">
        <v>5.7</v>
      </c>
      <c r="P122">
        <v>5.8</v>
      </c>
      <c r="Q122">
        <v>4.25</v>
      </c>
    </row>
    <row r="123" spans="1:17" ht="15">
      <c r="A123" s="6" t="s">
        <v>26</v>
      </c>
      <c r="B123">
        <v>2023</v>
      </c>
      <c r="C123" t="s">
        <v>20</v>
      </c>
      <c r="D123" s="1">
        <v>45046</v>
      </c>
      <c r="E123" s="1">
        <v>45002</v>
      </c>
      <c r="F123">
        <v>600</v>
      </c>
      <c r="G123">
        <f t="shared" si="1"/>
        <v>616</v>
      </c>
      <c r="H123">
        <v>2893</v>
      </c>
      <c r="I123">
        <v>4808</v>
      </c>
      <c r="J123">
        <v>278</v>
      </c>
      <c r="K123">
        <v>855745</v>
      </c>
      <c r="L123">
        <v>4.7300000000000002E-2</v>
      </c>
      <c r="M123">
        <v>-0.7</v>
      </c>
      <c r="N123">
        <v>0</v>
      </c>
      <c r="O123">
        <v>5.5</v>
      </c>
      <c r="P123">
        <v>5.4</v>
      </c>
      <c r="Q123">
        <v>4.5</v>
      </c>
    </row>
    <row r="124" spans="1:17" ht="15">
      <c r="A124" s="6" t="s">
        <v>26</v>
      </c>
      <c r="B124">
        <v>2023</v>
      </c>
      <c r="C124" t="s">
        <v>21</v>
      </c>
      <c r="D124" s="1">
        <v>45138</v>
      </c>
      <c r="E124" s="1">
        <v>45127</v>
      </c>
      <c r="F124">
        <v>616</v>
      </c>
      <c r="G124">
        <f t="shared" si="1"/>
        <v>720</v>
      </c>
      <c r="H124">
        <v>3284</v>
      </c>
      <c r="I124">
        <v>4990</v>
      </c>
      <c r="J124">
        <v>355</v>
      </c>
      <c r="K124">
        <v>859615</v>
      </c>
      <c r="L124">
        <v>0.23949999999999999</v>
      </c>
      <c r="M124">
        <v>0.2</v>
      </c>
      <c r="N124">
        <v>1.5</v>
      </c>
      <c r="O124">
        <v>5.8</v>
      </c>
      <c r="P124">
        <v>5.4</v>
      </c>
      <c r="Q124">
        <v>5</v>
      </c>
    </row>
    <row r="125" spans="1:17" ht="15">
      <c r="A125" s="6" t="s">
        <v>26</v>
      </c>
      <c r="B125">
        <v>2023</v>
      </c>
      <c r="C125" t="s">
        <v>18</v>
      </c>
      <c r="D125" s="1">
        <v>45230</v>
      </c>
      <c r="E125" s="1">
        <v>45222</v>
      </c>
      <c r="F125">
        <v>720</v>
      </c>
      <c r="G125">
        <f t="shared" si="1"/>
        <v>813</v>
      </c>
      <c r="H125">
        <v>3704</v>
      </c>
      <c r="I125">
        <v>5366</v>
      </c>
      <c r="J125">
        <v>364</v>
      </c>
      <c r="K125">
        <v>879522</v>
      </c>
      <c r="L125">
        <v>0.1736</v>
      </c>
      <c r="M125">
        <v>0.4</v>
      </c>
      <c r="N125">
        <v>0.4</v>
      </c>
      <c r="O125">
        <v>5.8</v>
      </c>
      <c r="P125">
        <v>6.1</v>
      </c>
      <c r="Q125">
        <v>5</v>
      </c>
    </row>
    <row r="126" spans="1:17" ht="15">
      <c r="A126" s="6" t="s">
        <v>26</v>
      </c>
      <c r="B126">
        <v>2024</v>
      </c>
      <c r="C126" t="s">
        <v>19</v>
      </c>
      <c r="D126" s="1">
        <v>45322</v>
      </c>
      <c r="E126" s="1">
        <v>45275</v>
      </c>
      <c r="F126">
        <v>813</v>
      </c>
      <c r="G126">
        <f t="shared" si="1"/>
        <v>920</v>
      </c>
      <c r="H126">
        <v>4198</v>
      </c>
      <c r="I126">
        <v>5650</v>
      </c>
      <c r="J126">
        <v>454</v>
      </c>
      <c r="K126">
        <v>880451</v>
      </c>
      <c r="L126">
        <v>0.2442</v>
      </c>
      <c r="M126">
        <v>0.9</v>
      </c>
      <c r="N126">
        <v>0.1</v>
      </c>
      <c r="O126">
        <v>6.3</v>
      </c>
      <c r="P126">
        <v>6.4</v>
      </c>
      <c r="Q126">
        <v>4.75</v>
      </c>
    </row>
    <row r="127" spans="1:17" ht="15">
      <c r="A127" s="6" t="s">
        <v>26</v>
      </c>
      <c r="B127">
        <v>2024</v>
      </c>
      <c r="C127" t="s">
        <v>20</v>
      </c>
      <c r="D127" s="1">
        <v>45412</v>
      </c>
      <c r="E127" s="1">
        <v>45400</v>
      </c>
      <c r="F127">
        <v>920</v>
      </c>
      <c r="G127">
        <f t="shared" si="1"/>
        <v>659</v>
      </c>
      <c r="H127">
        <v>5332</v>
      </c>
      <c r="I127">
        <v>6097</v>
      </c>
      <c r="J127">
        <v>476</v>
      </c>
      <c r="K127">
        <v>975365</v>
      </c>
      <c r="L127">
        <v>0.33110000000000001</v>
      </c>
      <c r="M127">
        <v>1.7</v>
      </c>
      <c r="N127">
        <v>1.8</v>
      </c>
      <c r="O127">
        <v>6.3</v>
      </c>
      <c r="P127">
        <v>6.2</v>
      </c>
      <c r="Q127">
        <v>4.75</v>
      </c>
    </row>
    <row r="128" spans="1:17" ht="15">
      <c r="A128" s="6" t="s">
        <v>26</v>
      </c>
      <c r="B128">
        <v>2024</v>
      </c>
      <c r="C128" t="s">
        <v>21</v>
      </c>
      <c r="D128" s="1">
        <v>45504</v>
      </c>
      <c r="E128" s="1">
        <v>45491</v>
      </c>
      <c r="F128">
        <v>659</v>
      </c>
      <c r="G128">
        <f t="shared" si="1"/>
        <v>840</v>
      </c>
      <c r="H128">
        <v>5685</v>
      </c>
      <c r="I128">
        <v>6155</v>
      </c>
      <c r="J128">
        <v>537</v>
      </c>
      <c r="K128">
        <v>978302</v>
      </c>
      <c r="L128">
        <v>0.27979999999999999</v>
      </c>
      <c r="M128">
        <v>2.2000000000000002</v>
      </c>
      <c r="N128">
        <v>1.9</v>
      </c>
      <c r="O128">
        <v>6.6</v>
      </c>
      <c r="P128">
        <v>6.3</v>
      </c>
      <c r="Q128">
        <v>4</v>
      </c>
    </row>
    <row r="129" spans="1:17" ht="15">
      <c r="A129" s="6" t="s">
        <v>26</v>
      </c>
      <c r="B129">
        <v>2024</v>
      </c>
      <c r="C129" t="s">
        <v>18</v>
      </c>
      <c r="D129" s="1">
        <v>45596</v>
      </c>
      <c r="E129" s="1">
        <v>45583</v>
      </c>
      <c r="F129">
        <v>840</v>
      </c>
      <c r="G129">
        <f t="shared" si="1"/>
        <v>1050</v>
      </c>
      <c r="H129">
        <v>5867</v>
      </c>
      <c r="I129">
        <v>6364</v>
      </c>
      <c r="J129">
        <v>612</v>
      </c>
      <c r="K129">
        <v>987452</v>
      </c>
      <c r="L129">
        <v>0.17169999999999999</v>
      </c>
      <c r="M129">
        <v>2.1</v>
      </c>
      <c r="N129">
        <v>1.9</v>
      </c>
      <c r="O129">
        <v>6.6</v>
      </c>
      <c r="P129">
        <v>6.5</v>
      </c>
      <c r="Q129">
        <v>3.25</v>
      </c>
    </row>
    <row r="130" spans="1:17" ht="15">
      <c r="A130" s="6" t="s">
        <v>26</v>
      </c>
      <c r="B130">
        <v>2025</v>
      </c>
      <c r="C130" t="s">
        <v>19</v>
      </c>
      <c r="D130" s="1">
        <v>45688</v>
      </c>
      <c r="E130" s="1">
        <v>45638</v>
      </c>
      <c r="F130">
        <v>1050</v>
      </c>
      <c r="G130">
        <f t="shared" si="1"/>
        <v>1424</v>
      </c>
      <c r="H130">
        <v>7876</v>
      </c>
      <c r="I130">
        <v>6945</v>
      </c>
      <c r="J130">
        <v>487</v>
      </c>
      <c r="K130">
        <v>1012724</v>
      </c>
      <c r="L130">
        <v>0.23069999999999999</v>
      </c>
      <c r="M130">
        <v>3.1</v>
      </c>
      <c r="N130">
        <v>2.2000000000000002</v>
      </c>
      <c r="O130">
        <v>6.6</v>
      </c>
      <c r="P130">
        <v>6.6</v>
      </c>
      <c r="Q130">
        <v>3</v>
      </c>
    </row>
    <row r="131" spans="1:17" ht="15">
      <c r="A131" s="6" t="s">
        <v>26</v>
      </c>
      <c r="B131">
        <v>2025</v>
      </c>
      <c r="C131" t="s">
        <v>20</v>
      </c>
      <c r="D131" s="1">
        <v>45777</v>
      </c>
      <c r="E131" s="1">
        <v>45763</v>
      </c>
      <c r="F131">
        <v>1424</v>
      </c>
      <c r="G131">
        <f t="shared" ref="G131:G165" si="2">F132</f>
        <v>881</v>
      </c>
      <c r="H131">
        <v>8939</v>
      </c>
      <c r="I131">
        <v>7500</v>
      </c>
      <c r="J131">
        <v>677</v>
      </c>
      <c r="K131">
        <v>1014459</v>
      </c>
      <c r="L131">
        <v>-1.49E-2</v>
      </c>
      <c r="M131">
        <v>0.9</v>
      </c>
      <c r="N131">
        <v>1.4</v>
      </c>
      <c r="O131">
        <v>7.4</v>
      </c>
      <c r="P131">
        <v>7.2</v>
      </c>
      <c r="Q131">
        <v>2.75</v>
      </c>
    </row>
    <row r="132" spans="1:17">
      <c r="A132" t="s">
        <v>26</v>
      </c>
      <c r="B132">
        <v>2025</v>
      </c>
      <c r="C132" t="s">
        <v>21</v>
      </c>
      <c r="D132" s="1">
        <v>45869</v>
      </c>
      <c r="E132" s="1">
        <v>45855</v>
      </c>
      <c r="F132">
        <v>881</v>
      </c>
      <c r="G132">
        <f t="shared" si="2"/>
        <v>1007</v>
      </c>
      <c r="H132">
        <v>8751</v>
      </c>
      <c r="I132">
        <v>7657</v>
      </c>
      <c r="J132">
        <v>622</v>
      </c>
      <c r="K132">
        <v>1032750</v>
      </c>
      <c r="L132">
        <v>0.1555</v>
      </c>
      <c r="M132">
        <v>0.9</v>
      </c>
      <c r="N132">
        <v>1.1000000000000001</v>
      </c>
      <c r="O132">
        <v>7.1</v>
      </c>
      <c r="P132">
        <v>6.9</v>
      </c>
      <c r="Q132">
        <v>2.75</v>
      </c>
    </row>
    <row r="133" spans="1:17">
      <c r="A133" s="6" t="s">
        <v>26</v>
      </c>
      <c r="B133">
        <v>2025</v>
      </c>
      <c r="C133" t="s">
        <v>18</v>
      </c>
      <c r="D133" s="1">
        <v>45961</v>
      </c>
      <c r="E133" s="1">
        <v>45911</v>
      </c>
      <c r="F133">
        <v>1007</v>
      </c>
      <c r="H133">
        <v>8682</v>
      </c>
      <c r="I133">
        <v>7470</v>
      </c>
      <c r="J133">
        <v>1098</v>
      </c>
      <c r="K133">
        <v>1049534</v>
      </c>
      <c r="L133">
        <v>7.7399999999999997E-2</v>
      </c>
      <c r="M133">
        <v>2.6</v>
      </c>
      <c r="N133">
        <v>0.7</v>
      </c>
      <c r="O133">
        <v>7.1</v>
      </c>
      <c r="P133">
        <v>6.8</v>
      </c>
      <c r="Q133">
        <v>2.25</v>
      </c>
    </row>
    <row r="134" spans="1:17" hidden="1">
      <c r="A134" t="s">
        <v>27</v>
      </c>
      <c r="B134">
        <v>2017</v>
      </c>
      <c r="C134" t="s">
        <v>18</v>
      </c>
      <c r="D134" s="1">
        <v>43039</v>
      </c>
      <c r="E134" s="1">
        <v>43013</v>
      </c>
      <c r="F134">
        <v>578</v>
      </c>
      <c r="G134">
        <f t="shared" si="2"/>
        <v>693</v>
      </c>
      <c r="H134">
        <v>3085</v>
      </c>
      <c r="I134">
        <v>4350</v>
      </c>
      <c r="J134">
        <v>537</v>
      </c>
      <c r="K134">
        <v>633671</v>
      </c>
      <c r="L134">
        <v>-0.21429999999999999</v>
      </c>
      <c r="M134">
        <v>1.7</v>
      </c>
      <c r="N134">
        <v>2.7</v>
      </c>
      <c r="P134">
        <v>6.3</v>
      </c>
      <c r="Q134">
        <v>1.5</v>
      </c>
    </row>
    <row r="135" spans="1:17" hidden="1">
      <c r="A135" t="s">
        <v>27</v>
      </c>
      <c r="B135">
        <v>2018</v>
      </c>
      <c r="C135" t="s">
        <v>19</v>
      </c>
      <c r="D135" s="1">
        <v>43131</v>
      </c>
      <c r="E135" s="1">
        <v>43112</v>
      </c>
      <c r="F135">
        <v>693</v>
      </c>
      <c r="G135">
        <f t="shared" si="2"/>
        <v>556</v>
      </c>
      <c r="H135">
        <v>3048</v>
      </c>
      <c r="I135">
        <v>4458</v>
      </c>
      <c r="J135">
        <v>529</v>
      </c>
      <c r="K135">
        <v>627904</v>
      </c>
      <c r="L135">
        <v>-0.22270000000000001</v>
      </c>
      <c r="M135">
        <v>2.2000000000000002</v>
      </c>
      <c r="N135">
        <v>2.2000000000000002</v>
      </c>
      <c r="P135">
        <v>5.9</v>
      </c>
      <c r="Q135">
        <v>1.5</v>
      </c>
    </row>
    <row r="136" spans="1:17" hidden="1">
      <c r="A136" s="6" t="s">
        <v>27</v>
      </c>
      <c r="B136">
        <v>2018</v>
      </c>
      <c r="C136" t="s">
        <v>20</v>
      </c>
      <c r="D136" s="1">
        <v>43220</v>
      </c>
      <c r="E136" s="1">
        <v>43202</v>
      </c>
      <c r="F136">
        <v>556</v>
      </c>
      <c r="G136">
        <f t="shared" si="2"/>
        <v>561</v>
      </c>
      <c r="H136">
        <v>2993</v>
      </c>
      <c r="I136">
        <v>4554</v>
      </c>
      <c r="J136">
        <v>550</v>
      </c>
      <c r="K136">
        <v>642903</v>
      </c>
      <c r="L136">
        <v>-0.15809999999999999</v>
      </c>
      <c r="M136">
        <v>2.4</v>
      </c>
      <c r="N136">
        <v>2.1</v>
      </c>
      <c r="P136">
        <v>5.8</v>
      </c>
      <c r="Q136">
        <v>1.5</v>
      </c>
    </row>
    <row r="137" spans="1:17" ht="15" hidden="1">
      <c r="A137" s="6" t="s">
        <v>27</v>
      </c>
      <c r="B137">
        <v>2018</v>
      </c>
      <c r="C137" t="s">
        <v>21</v>
      </c>
      <c r="D137" s="1">
        <v>43312</v>
      </c>
      <c r="E137" s="1">
        <v>43284</v>
      </c>
      <c r="F137">
        <v>561</v>
      </c>
      <c r="G137">
        <f t="shared" si="2"/>
        <v>670</v>
      </c>
      <c r="H137">
        <v>2964</v>
      </c>
      <c r="I137">
        <v>4549</v>
      </c>
      <c r="J137">
        <v>554</v>
      </c>
      <c r="K137">
        <v>656741</v>
      </c>
      <c r="L137">
        <v>2.0799999999999999E-2</v>
      </c>
      <c r="M137">
        <v>2.5</v>
      </c>
      <c r="N137">
        <v>2.1</v>
      </c>
      <c r="P137">
        <v>5.8</v>
      </c>
      <c r="Q137">
        <v>1.75</v>
      </c>
    </row>
    <row r="138" spans="1:17" ht="15" hidden="1">
      <c r="A138" s="6" t="s">
        <v>27</v>
      </c>
      <c r="B138">
        <v>2018</v>
      </c>
      <c r="C138" t="s">
        <v>18</v>
      </c>
      <c r="D138" s="1">
        <v>43404</v>
      </c>
      <c r="E138" s="1">
        <v>43388</v>
      </c>
      <c r="F138">
        <v>670</v>
      </c>
      <c r="G138">
        <f t="shared" si="2"/>
        <v>850</v>
      </c>
      <c r="H138">
        <v>3154</v>
      </c>
      <c r="I138">
        <v>4658</v>
      </c>
      <c r="J138">
        <v>570</v>
      </c>
      <c r="K138">
        <v>669954</v>
      </c>
      <c r="L138">
        <v>-0.1053</v>
      </c>
      <c r="M138">
        <v>2.1</v>
      </c>
      <c r="N138">
        <v>2.4</v>
      </c>
      <c r="P138">
        <v>5.8</v>
      </c>
      <c r="Q138">
        <v>2</v>
      </c>
    </row>
    <row r="139" spans="1:17" ht="15" hidden="1">
      <c r="A139" s="6" t="s">
        <v>27</v>
      </c>
      <c r="B139">
        <v>2019</v>
      </c>
      <c r="C139" t="s">
        <v>19</v>
      </c>
      <c r="D139" s="1">
        <v>43496</v>
      </c>
      <c r="E139" s="1">
        <v>43476</v>
      </c>
      <c r="F139">
        <v>850</v>
      </c>
      <c r="G139">
        <f t="shared" si="2"/>
        <v>633</v>
      </c>
      <c r="H139">
        <v>3534</v>
      </c>
      <c r="I139">
        <v>4804</v>
      </c>
      <c r="J139">
        <v>627</v>
      </c>
      <c r="K139">
        <v>672076</v>
      </c>
      <c r="L139">
        <v>-0.1154</v>
      </c>
      <c r="M139">
        <v>2.4</v>
      </c>
      <c r="N139">
        <v>1.8</v>
      </c>
      <c r="P139">
        <v>5.7</v>
      </c>
      <c r="Q139">
        <v>2</v>
      </c>
    </row>
    <row r="140" spans="1:17" ht="15" hidden="1">
      <c r="A140" s="6" t="s">
        <v>27</v>
      </c>
      <c r="B140">
        <v>2019</v>
      </c>
      <c r="C140" t="s">
        <v>20</v>
      </c>
      <c r="D140" s="1">
        <v>43585</v>
      </c>
      <c r="E140" s="1">
        <v>43567</v>
      </c>
      <c r="F140">
        <v>633</v>
      </c>
      <c r="G140">
        <f t="shared" si="2"/>
        <v>655</v>
      </c>
      <c r="H140">
        <v>3296</v>
      </c>
      <c r="I140">
        <v>4887</v>
      </c>
      <c r="J140">
        <v>612</v>
      </c>
      <c r="K140">
        <v>685900</v>
      </c>
      <c r="L140">
        <v>0.10199999999999999</v>
      </c>
      <c r="M140">
        <v>2.4</v>
      </c>
      <c r="N140">
        <v>1.5</v>
      </c>
      <c r="P140">
        <v>5.9</v>
      </c>
      <c r="Q140">
        <v>1.75</v>
      </c>
    </row>
    <row r="141" spans="1:17" ht="15" hidden="1">
      <c r="A141" s="6" t="s">
        <v>27</v>
      </c>
      <c r="B141">
        <v>2019</v>
      </c>
      <c r="C141" t="s">
        <v>21</v>
      </c>
      <c r="D141" s="1">
        <v>43677</v>
      </c>
      <c r="E141" s="1">
        <v>43658</v>
      </c>
      <c r="F141">
        <v>655</v>
      </c>
      <c r="G141">
        <f t="shared" si="2"/>
        <v>891</v>
      </c>
      <c r="H141">
        <v>2945</v>
      </c>
      <c r="I141">
        <v>4858</v>
      </c>
      <c r="J141">
        <v>641</v>
      </c>
      <c r="K141">
        <v>696757</v>
      </c>
      <c r="L141">
        <v>-0.19550000000000001</v>
      </c>
      <c r="M141">
        <v>2.2999999999999998</v>
      </c>
      <c r="N141">
        <v>1.7</v>
      </c>
      <c r="P141">
        <v>5.7</v>
      </c>
      <c r="Q141">
        <v>1.75</v>
      </c>
    </row>
    <row r="142" spans="1:17" ht="15" hidden="1">
      <c r="A142" s="6" t="s">
        <v>27</v>
      </c>
      <c r="B142">
        <v>2019</v>
      </c>
      <c r="C142" t="s">
        <v>18</v>
      </c>
      <c r="D142" s="1">
        <v>43769</v>
      </c>
      <c r="E142" s="1">
        <v>43748</v>
      </c>
      <c r="F142">
        <v>891</v>
      </c>
      <c r="G142">
        <f t="shared" si="2"/>
        <v>919</v>
      </c>
      <c r="H142">
        <v>3032</v>
      </c>
      <c r="I142">
        <v>5036</v>
      </c>
      <c r="J142">
        <v>702</v>
      </c>
      <c r="K142">
        <v>704673</v>
      </c>
      <c r="L142">
        <v>8.0399999999999999E-2</v>
      </c>
      <c r="M142">
        <v>2</v>
      </c>
      <c r="N142">
        <v>2.1</v>
      </c>
      <c r="P142">
        <v>5.9</v>
      </c>
      <c r="Q142">
        <v>1.25</v>
      </c>
    </row>
    <row r="143" spans="1:17" ht="15" hidden="1">
      <c r="A143" s="6" t="s">
        <v>27</v>
      </c>
      <c r="B143">
        <v>2020</v>
      </c>
      <c r="C143" t="s">
        <v>19</v>
      </c>
      <c r="D143" s="1">
        <v>43861</v>
      </c>
      <c r="E143" s="1">
        <v>43843</v>
      </c>
      <c r="F143">
        <v>919</v>
      </c>
      <c r="G143">
        <f t="shared" si="2"/>
        <v>3218</v>
      </c>
      <c r="H143">
        <v>3207</v>
      </c>
      <c r="I143">
        <v>5300</v>
      </c>
      <c r="J143">
        <v>667</v>
      </c>
      <c r="K143">
        <v>714155</v>
      </c>
      <c r="L143">
        <v>6.3E-3</v>
      </c>
      <c r="M143">
        <v>1.7</v>
      </c>
      <c r="N143">
        <v>1.2</v>
      </c>
      <c r="P143">
        <v>5.8</v>
      </c>
      <c r="Q143">
        <v>1.25</v>
      </c>
    </row>
    <row r="144" spans="1:17" ht="15" hidden="1">
      <c r="A144" s="6" t="s">
        <v>27</v>
      </c>
      <c r="B144">
        <v>2020</v>
      </c>
      <c r="C144" t="s">
        <v>20</v>
      </c>
      <c r="D144" s="1">
        <v>43951</v>
      </c>
      <c r="E144" s="1">
        <v>43938</v>
      </c>
      <c r="F144">
        <v>3218</v>
      </c>
      <c r="G144">
        <f t="shared" si="2"/>
        <v>2188</v>
      </c>
      <c r="H144">
        <v>3606</v>
      </c>
      <c r="I144">
        <v>7929</v>
      </c>
      <c r="J144">
        <v>753</v>
      </c>
      <c r="K144">
        <v>771325</v>
      </c>
      <c r="L144">
        <v>3.5095999999999998</v>
      </c>
      <c r="M144">
        <v>21.3</v>
      </c>
      <c r="N144">
        <v>-11.5</v>
      </c>
      <c r="P144">
        <v>10.9</v>
      </c>
      <c r="Q144">
        <v>0.25</v>
      </c>
    </row>
    <row r="145" spans="1:17" ht="15" hidden="1">
      <c r="A145" s="6" t="s">
        <v>27</v>
      </c>
      <c r="B145">
        <v>2020</v>
      </c>
      <c r="C145" t="s">
        <v>21</v>
      </c>
      <c r="D145" s="1">
        <v>44043</v>
      </c>
      <c r="E145" s="1">
        <v>43987</v>
      </c>
      <c r="F145">
        <v>2188</v>
      </c>
      <c r="G145">
        <f t="shared" si="2"/>
        <v>917</v>
      </c>
      <c r="H145">
        <v>3821</v>
      </c>
      <c r="I145">
        <v>9227</v>
      </c>
      <c r="J145">
        <v>675</v>
      </c>
      <c r="K145">
        <v>746027</v>
      </c>
      <c r="L145">
        <v>3.3616000000000001</v>
      </c>
      <c r="M145">
        <v>18.899999999999999</v>
      </c>
      <c r="N145">
        <v>-5.0999999999999996</v>
      </c>
      <c r="O145">
        <v>9.6</v>
      </c>
      <c r="P145">
        <v>10.3</v>
      </c>
      <c r="Q145">
        <v>0.25</v>
      </c>
    </row>
    <row r="146" spans="1:17" ht="15" hidden="1">
      <c r="A146" s="6" t="s">
        <v>27</v>
      </c>
      <c r="B146">
        <v>2020</v>
      </c>
      <c r="C146" t="s">
        <v>18</v>
      </c>
      <c r="D146" s="1">
        <v>44135</v>
      </c>
      <c r="E146" s="1">
        <v>44118</v>
      </c>
      <c r="F146">
        <v>917</v>
      </c>
      <c r="G146">
        <f t="shared" si="2"/>
        <v>313</v>
      </c>
      <c r="H146">
        <v>3157</v>
      </c>
      <c r="I146">
        <v>9384</v>
      </c>
      <c r="J146">
        <v>706</v>
      </c>
      <c r="K146">
        <v>743255</v>
      </c>
      <c r="L146">
        <v>-3.1535000000000002</v>
      </c>
      <c r="M146">
        <v>5.3</v>
      </c>
      <c r="N146">
        <v>-0.9</v>
      </c>
      <c r="O146">
        <v>7.9</v>
      </c>
      <c r="P146">
        <v>7.7</v>
      </c>
      <c r="Q146">
        <v>0.25</v>
      </c>
    </row>
    <row r="147" spans="1:17" ht="15" hidden="1">
      <c r="A147" s="6" t="s">
        <v>27</v>
      </c>
      <c r="B147">
        <v>2021</v>
      </c>
      <c r="C147" t="s">
        <v>19</v>
      </c>
      <c r="D147" s="1">
        <v>44227</v>
      </c>
      <c r="E147" s="1">
        <v>44208</v>
      </c>
      <c r="F147">
        <v>313</v>
      </c>
      <c r="G147">
        <f t="shared" si="2"/>
        <v>-377</v>
      </c>
      <c r="H147">
        <v>3057</v>
      </c>
      <c r="I147">
        <v>8945</v>
      </c>
      <c r="J147">
        <v>519</v>
      </c>
      <c r="K147">
        <v>734808</v>
      </c>
      <c r="L147">
        <v>-0.49530000000000002</v>
      </c>
      <c r="M147">
        <v>7.9</v>
      </c>
      <c r="N147">
        <v>11.8</v>
      </c>
      <c r="O147">
        <v>8.5</v>
      </c>
      <c r="P147">
        <v>8.1</v>
      </c>
      <c r="Q147">
        <v>0.25</v>
      </c>
    </row>
    <row r="148" spans="1:17" ht="15" hidden="1">
      <c r="A148" s="6" t="s">
        <v>27</v>
      </c>
      <c r="B148">
        <v>2021</v>
      </c>
      <c r="C148" t="s">
        <v>20</v>
      </c>
      <c r="D148" s="1">
        <v>44316</v>
      </c>
      <c r="E148" s="1">
        <v>44308</v>
      </c>
      <c r="F148">
        <v>-377</v>
      </c>
      <c r="G148">
        <f t="shared" si="2"/>
        <v>-37</v>
      </c>
      <c r="H148">
        <v>2803</v>
      </c>
      <c r="I148">
        <v>7975</v>
      </c>
      <c r="J148">
        <v>397</v>
      </c>
      <c r="K148">
        <v>736353</v>
      </c>
      <c r="L148">
        <v>-0.74919999999999998</v>
      </c>
      <c r="M148">
        <v>8.5</v>
      </c>
      <c r="N148">
        <v>6.8</v>
      </c>
      <c r="O148">
        <v>6.9</v>
      </c>
      <c r="P148">
        <v>7.3</v>
      </c>
      <c r="Q148">
        <v>0.25</v>
      </c>
    </row>
    <row r="149" spans="1:17" ht="15" hidden="1">
      <c r="A149" s="6" t="s">
        <v>27</v>
      </c>
      <c r="B149">
        <v>2021</v>
      </c>
      <c r="C149" t="s">
        <v>21</v>
      </c>
      <c r="D149" s="1">
        <v>44408</v>
      </c>
      <c r="E149" s="1">
        <v>44400</v>
      </c>
      <c r="F149">
        <v>-37</v>
      </c>
      <c r="G149">
        <f t="shared" si="2"/>
        <v>-123</v>
      </c>
      <c r="H149">
        <v>2651</v>
      </c>
      <c r="I149">
        <v>7716</v>
      </c>
      <c r="J149">
        <v>286</v>
      </c>
      <c r="K149">
        <v>746974</v>
      </c>
      <c r="L149">
        <v>-0.28339999999999999</v>
      </c>
      <c r="M149">
        <v>5.3</v>
      </c>
      <c r="N149">
        <v>5.2</v>
      </c>
      <c r="O149">
        <v>6.7</v>
      </c>
      <c r="P149">
        <v>7.6</v>
      </c>
      <c r="Q149">
        <v>0.25</v>
      </c>
    </row>
    <row r="150" spans="1:17" ht="15" hidden="1">
      <c r="A150" s="6" t="s">
        <v>27</v>
      </c>
      <c r="B150">
        <v>2021</v>
      </c>
      <c r="C150" t="s">
        <v>18</v>
      </c>
      <c r="D150" s="1">
        <v>44500</v>
      </c>
      <c r="E150" s="1">
        <v>44489</v>
      </c>
      <c r="F150">
        <v>-123</v>
      </c>
      <c r="G150">
        <f t="shared" si="2"/>
        <v>72</v>
      </c>
      <c r="H150">
        <v>2411</v>
      </c>
      <c r="I150">
        <v>7255</v>
      </c>
      <c r="J150">
        <v>301</v>
      </c>
      <c r="K150">
        <v>749062</v>
      </c>
      <c r="L150">
        <v>-0.9829</v>
      </c>
      <c r="M150">
        <v>3.4</v>
      </c>
      <c r="N150">
        <v>2.6</v>
      </c>
      <c r="O150">
        <v>6.2</v>
      </c>
      <c r="P150">
        <v>5.6</v>
      </c>
      <c r="Q150">
        <v>0.25</v>
      </c>
    </row>
    <row r="151" spans="1:17" ht="15" hidden="1">
      <c r="A151" s="6" t="s">
        <v>27</v>
      </c>
      <c r="B151">
        <v>2022</v>
      </c>
      <c r="C151" t="s">
        <v>19</v>
      </c>
      <c r="D151" s="1">
        <v>44592</v>
      </c>
      <c r="E151" s="1">
        <v>44580</v>
      </c>
      <c r="F151">
        <v>72</v>
      </c>
      <c r="G151">
        <f t="shared" si="2"/>
        <v>27</v>
      </c>
      <c r="H151">
        <v>2560</v>
      </c>
      <c r="I151">
        <v>7148</v>
      </c>
      <c r="J151">
        <v>285</v>
      </c>
      <c r="K151">
        <v>768832</v>
      </c>
      <c r="L151">
        <v>-0.72670000000000001</v>
      </c>
      <c r="M151">
        <v>7.1</v>
      </c>
      <c r="N151">
        <v>4.5999999999999996</v>
      </c>
      <c r="O151">
        <v>5.5</v>
      </c>
      <c r="P151">
        <v>5.4</v>
      </c>
      <c r="Q151">
        <v>1.5</v>
      </c>
    </row>
    <row r="152" spans="1:17" ht="15" hidden="1">
      <c r="A152" s="6" t="s">
        <v>27</v>
      </c>
      <c r="B152">
        <v>2022</v>
      </c>
      <c r="C152" t="s">
        <v>20</v>
      </c>
      <c r="D152" s="1">
        <v>44681</v>
      </c>
      <c r="E152" s="1">
        <v>44663</v>
      </c>
      <c r="F152">
        <v>27</v>
      </c>
      <c r="G152">
        <f t="shared" si="2"/>
        <v>351</v>
      </c>
      <c r="H152">
        <v>2397</v>
      </c>
      <c r="I152">
        <v>6917</v>
      </c>
      <c r="J152">
        <v>292</v>
      </c>
      <c r="K152">
        <v>792150</v>
      </c>
      <c r="L152">
        <v>-0.75439999999999996</v>
      </c>
      <c r="M152">
        <v>4</v>
      </c>
      <c r="N152">
        <v>4.8</v>
      </c>
      <c r="O152">
        <v>4.9000000000000004</v>
      </c>
      <c r="P152">
        <v>5.2</v>
      </c>
      <c r="Q152">
        <v>2</v>
      </c>
    </row>
    <row r="153" spans="1:17" ht="15" hidden="1">
      <c r="A153" s="6" t="s">
        <v>27</v>
      </c>
      <c r="B153">
        <v>2022</v>
      </c>
      <c r="C153" t="s">
        <v>21</v>
      </c>
      <c r="D153" s="1">
        <v>44773</v>
      </c>
      <c r="E153" s="1">
        <v>44760</v>
      </c>
      <c r="F153">
        <v>351</v>
      </c>
      <c r="G153">
        <f t="shared" si="2"/>
        <v>617</v>
      </c>
      <c r="H153">
        <v>2332</v>
      </c>
      <c r="I153">
        <v>6921</v>
      </c>
      <c r="J153">
        <v>335</v>
      </c>
      <c r="K153">
        <v>818956</v>
      </c>
      <c r="L153">
        <v>-0.40350000000000003</v>
      </c>
      <c r="M153">
        <v>1.9</v>
      </c>
      <c r="N153">
        <v>2.6</v>
      </c>
      <c r="O153">
        <v>5.2</v>
      </c>
      <c r="P153">
        <v>5.3</v>
      </c>
      <c r="Q153">
        <v>3.5</v>
      </c>
    </row>
    <row r="154" spans="1:17" hidden="1">
      <c r="A154" t="s">
        <v>27</v>
      </c>
      <c r="B154">
        <v>2022</v>
      </c>
      <c r="C154" t="s">
        <v>18</v>
      </c>
      <c r="D154" s="1">
        <v>44865</v>
      </c>
      <c r="E154" s="1">
        <v>44851</v>
      </c>
      <c r="F154">
        <v>617</v>
      </c>
      <c r="G154">
        <f t="shared" si="2"/>
        <v>690</v>
      </c>
      <c r="H154">
        <v>2503</v>
      </c>
      <c r="I154">
        <v>7366</v>
      </c>
      <c r="J154">
        <v>418</v>
      </c>
      <c r="K154">
        <v>859561</v>
      </c>
      <c r="L154">
        <v>0.1454</v>
      </c>
      <c r="M154">
        <v>-0.1</v>
      </c>
      <c r="N154">
        <v>1.3</v>
      </c>
      <c r="O154">
        <v>5.7</v>
      </c>
      <c r="P154">
        <v>6</v>
      </c>
      <c r="Q154">
        <v>4.25</v>
      </c>
    </row>
    <row r="155" spans="1:17" hidden="1">
      <c r="A155" t="s">
        <v>27</v>
      </c>
      <c r="B155">
        <v>2023</v>
      </c>
      <c r="C155" t="s">
        <v>19</v>
      </c>
      <c r="D155" s="1">
        <v>44957</v>
      </c>
      <c r="E155" s="1">
        <v>44903</v>
      </c>
      <c r="F155">
        <v>690</v>
      </c>
      <c r="G155">
        <f t="shared" si="2"/>
        <v>599</v>
      </c>
      <c r="H155">
        <v>2591</v>
      </c>
      <c r="I155">
        <v>7479</v>
      </c>
      <c r="J155">
        <v>474</v>
      </c>
      <c r="K155">
        <v>865138</v>
      </c>
      <c r="L155">
        <v>-8.9800000000000005E-2</v>
      </c>
      <c r="M155">
        <v>-0.1</v>
      </c>
      <c r="N155">
        <v>0.9</v>
      </c>
      <c r="O155">
        <v>5.7</v>
      </c>
      <c r="P155">
        <v>5.8</v>
      </c>
      <c r="Q155">
        <v>4.25</v>
      </c>
    </row>
    <row r="156" spans="1:17" hidden="1">
      <c r="A156" t="s">
        <v>27</v>
      </c>
      <c r="B156">
        <v>2023</v>
      </c>
      <c r="C156" t="s">
        <v>20</v>
      </c>
      <c r="D156" s="1">
        <v>45046</v>
      </c>
      <c r="E156" s="1">
        <v>45002</v>
      </c>
      <c r="F156">
        <v>599</v>
      </c>
      <c r="G156">
        <f t="shared" si="2"/>
        <v>766</v>
      </c>
      <c r="H156">
        <v>2659</v>
      </c>
      <c r="I156">
        <v>7647</v>
      </c>
      <c r="J156">
        <v>524</v>
      </c>
      <c r="K156">
        <v>877810</v>
      </c>
      <c r="L156">
        <v>4.7300000000000002E-2</v>
      </c>
      <c r="M156">
        <v>-0.7</v>
      </c>
      <c r="N156">
        <v>0</v>
      </c>
      <c r="O156">
        <v>5.5</v>
      </c>
      <c r="P156">
        <v>5.4</v>
      </c>
      <c r="Q156">
        <v>4.5</v>
      </c>
    </row>
    <row r="157" spans="1:17" hidden="1">
      <c r="A157" t="s">
        <v>27</v>
      </c>
      <c r="B157">
        <v>2023</v>
      </c>
      <c r="C157" t="s">
        <v>21</v>
      </c>
      <c r="D157" s="1">
        <v>45138</v>
      </c>
      <c r="E157" s="1">
        <v>45127</v>
      </c>
      <c r="F157">
        <v>766</v>
      </c>
      <c r="G157">
        <f t="shared" si="2"/>
        <v>878</v>
      </c>
      <c r="H157">
        <v>2980</v>
      </c>
      <c r="I157">
        <v>7774</v>
      </c>
      <c r="J157">
        <v>515</v>
      </c>
      <c r="K157">
        <v>895161</v>
      </c>
      <c r="L157">
        <v>0.23949999999999999</v>
      </c>
      <c r="M157">
        <v>0.2</v>
      </c>
      <c r="N157">
        <v>1.5</v>
      </c>
      <c r="O157">
        <v>5.8</v>
      </c>
      <c r="P157">
        <v>5.4</v>
      </c>
      <c r="Q157">
        <v>5</v>
      </c>
    </row>
    <row r="158" spans="1:17" hidden="1">
      <c r="A158" t="s">
        <v>27</v>
      </c>
      <c r="B158">
        <v>2023</v>
      </c>
      <c r="C158" t="s">
        <v>18</v>
      </c>
      <c r="D158" s="1">
        <v>45230</v>
      </c>
      <c r="E158" s="1">
        <v>45222</v>
      </c>
      <c r="F158">
        <v>878</v>
      </c>
      <c r="G158">
        <f t="shared" si="2"/>
        <v>1001</v>
      </c>
      <c r="H158">
        <v>3299</v>
      </c>
      <c r="I158">
        <v>8189</v>
      </c>
      <c r="J158">
        <v>699</v>
      </c>
      <c r="K158">
        <v>921073</v>
      </c>
      <c r="L158">
        <v>0.1736</v>
      </c>
      <c r="M158">
        <v>0.4</v>
      </c>
      <c r="N158">
        <v>0.4</v>
      </c>
      <c r="O158">
        <v>5.8</v>
      </c>
      <c r="P158">
        <v>6.1</v>
      </c>
      <c r="Q158">
        <v>5</v>
      </c>
    </row>
    <row r="159" spans="1:17" hidden="1">
      <c r="A159" t="s">
        <v>27</v>
      </c>
      <c r="B159">
        <v>2024</v>
      </c>
      <c r="C159" t="s">
        <v>19</v>
      </c>
      <c r="D159" s="1">
        <v>45322</v>
      </c>
      <c r="E159" s="1">
        <v>45275</v>
      </c>
      <c r="F159">
        <v>1001</v>
      </c>
      <c r="G159">
        <f t="shared" si="2"/>
        <v>1071</v>
      </c>
      <c r="H159">
        <v>3709</v>
      </c>
      <c r="I159">
        <v>8268</v>
      </c>
      <c r="J159">
        <v>759</v>
      </c>
      <c r="K159">
        <v>925327</v>
      </c>
      <c r="L159">
        <v>0.2442</v>
      </c>
      <c r="M159">
        <v>0.9</v>
      </c>
      <c r="N159">
        <v>0.1</v>
      </c>
      <c r="O159">
        <v>6.3</v>
      </c>
      <c r="P159">
        <v>6.4</v>
      </c>
      <c r="Q159">
        <v>4.75</v>
      </c>
    </row>
    <row r="160" spans="1:17" hidden="1">
      <c r="A160" t="s">
        <v>27</v>
      </c>
      <c r="B160">
        <v>2024</v>
      </c>
      <c r="C160" t="s">
        <v>20</v>
      </c>
      <c r="D160" s="1">
        <v>45412</v>
      </c>
      <c r="E160" s="1">
        <v>45400</v>
      </c>
      <c r="F160">
        <v>1071</v>
      </c>
      <c r="G160">
        <f t="shared" si="2"/>
        <v>1072</v>
      </c>
      <c r="H160">
        <v>3895</v>
      </c>
      <c r="I160">
        <v>8550</v>
      </c>
      <c r="J160">
        <v>899</v>
      </c>
      <c r="K160">
        <v>940058</v>
      </c>
      <c r="L160">
        <v>0.33110000000000001</v>
      </c>
      <c r="M160">
        <v>1.7</v>
      </c>
      <c r="N160">
        <v>1.8</v>
      </c>
      <c r="O160">
        <v>6.3</v>
      </c>
      <c r="P160">
        <v>6.2</v>
      </c>
      <c r="Q160">
        <v>4.75</v>
      </c>
    </row>
    <row r="161" spans="1:17" hidden="1">
      <c r="A161" t="s">
        <v>27</v>
      </c>
      <c r="B161">
        <v>2024</v>
      </c>
      <c r="C161" t="s">
        <v>21</v>
      </c>
      <c r="D161" s="1">
        <v>45504</v>
      </c>
      <c r="E161" s="1">
        <v>45491</v>
      </c>
      <c r="F161">
        <v>1072</v>
      </c>
      <c r="G161">
        <f t="shared" si="2"/>
        <v>1109</v>
      </c>
      <c r="H161">
        <v>4170</v>
      </c>
      <c r="I161">
        <v>8838</v>
      </c>
      <c r="J161">
        <v>788</v>
      </c>
      <c r="K161">
        <v>946314</v>
      </c>
      <c r="L161">
        <v>0.27979999999999999</v>
      </c>
      <c r="M161">
        <v>2.2000000000000002</v>
      </c>
      <c r="N161">
        <v>1.9</v>
      </c>
      <c r="O161">
        <v>6.6</v>
      </c>
      <c r="P161">
        <v>6.3</v>
      </c>
      <c r="Q161">
        <v>4</v>
      </c>
    </row>
    <row r="162" spans="1:17" hidden="1">
      <c r="A162" s="6" t="s">
        <v>27</v>
      </c>
      <c r="B162">
        <v>2024</v>
      </c>
      <c r="C162" t="s">
        <v>18</v>
      </c>
      <c r="D162" s="1">
        <v>45596</v>
      </c>
      <c r="E162" s="1">
        <v>45583</v>
      </c>
      <c r="F162">
        <v>1109</v>
      </c>
      <c r="G162">
        <f t="shared" si="2"/>
        <v>1212</v>
      </c>
      <c r="H162">
        <v>4949</v>
      </c>
      <c r="I162">
        <v>9141</v>
      </c>
      <c r="J162">
        <v>831</v>
      </c>
      <c r="K162">
        <v>957873</v>
      </c>
      <c r="L162">
        <v>0.17169999999999999</v>
      </c>
      <c r="M162">
        <v>2.1</v>
      </c>
      <c r="N162">
        <v>1.9</v>
      </c>
      <c r="O162">
        <v>6.6</v>
      </c>
      <c r="P162">
        <v>6.5</v>
      </c>
      <c r="Q162">
        <v>3.25</v>
      </c>
    </row>
    <row r="163" spans="1:17" hidden="1">
      <c r="A163" t="s">
        <v>27</v>
      </c>
      <c r="B163">
        <v>2025</v>
      </c>
      <c r="C163" t="s">
        <v>19</v>
      </c>
      <c r="D163" s="1">
        <v>45688</v>
      </c>
      <c r="E163" s="1">
        <v>45638</v>
      </c>
      <c r="F163">
        <v>1212</v>
      </c>
      <c r="G163">
        <f t="shared" si="2"/>
        <v>1341</v>
      </c>
      <c r="H163">
        <v>5453</v>
      </c>
      <c r="I163">
        <v>9598</v>
      </c>
      <c r="J163">
        <v>957</v>
      </c>
      <c r="K163">
        <v>974183</v>
      </c>
      <c r="L163">
        <v>0.23069999999999999</v>
      </c>
      <c r="M163">
        <v>3.1</v>
      </c>
      <c r="N163">
        <v>2.2000000000000002</v>
      </c>
      <c r="O163">
        <v>6.6</v>
      </c>
      <c r="P163">
        <v>6.6</v>
      </c>
      <c r="Q163">
        <v>3</v>
      </c>
    </row>
    <row r="164" spans="1:17" hidden="1">
      <c r="A164" t="s">
        <v>27</v>
      </c>
      <c r="B164">
        <v>2025</v>
      </c>
      <c r="C164" t="s">
        <v>20</v>
      </c>
      <c r="D164" s="1">
        <v>45777</v>
      </c>
      <c r="E164" s="1">
        <v>45763</v>
      </c>
      <c r="F164">
        <v>1341</v>
      </c>
      <c r="G164">
        <f t="shared" si="2"/>
        <v>971</v>
      </c>
      <c r="H164">
        <v>4866</v>
      </c>
      <c r="I164">
        <v>9589</v>
      </c>
      <c r="J164">
        <v>1102</v>
      </c>
      <c r="K164">
        <v>945132</v>
      </c>
      <c r="L164">
        <v>-1.49E-2</v>
      </c>
      <c r="M164">
        <v>0.9</v>
      </c>
      <c r="N164">
        <v>1.4</v>
      </c>
      <c r="O164">
        <v>7.4</v>
      </c>
      <c r="P164">
        <v>7.2</v>
      </c>
      <c r="Q164">
        <v>2.75</v>
      </c>
    </row>
    <row r="165" spans="1:17" hidden="1">
      <c r="A165" t="s">
        <v>27</v>
      </c>
      <c r="B165">
        <v>2025</v>
      </c>
      <c r="C165" t="s">
        <v>21</v>
      </c>
      <c r="D165" s="1">
        <v>45869</v>
      </c>
      <c r="E165" s="1">
        <v>45855</v>
      </c>
      <c r="F165">
        <v>971</v>
      </c>
      <c r="G165">
        <f t="shared" si="2"/>
        <v>982</v>
      </c>
      <c r="H165">
        <v>5334</v>
      </c>
      <c r="I165">
        <v>9705</v>
      </c>
      <c r="J165">
        <v>833</v>
      </c>
      <c r="K165">
        <v>944937</v>
      </c>
      <c r="L165">
        <v>0.1555</v>
      </c>
      <c r="M165">
        <v>0.9</v>
      </c>
      <c r="N165">
        <v>1.1000000000000001</v>
      </c>
      <c r="O165">
        <v>7.1</v>
      </c>
      <c r="P165">
        <v>6.9</v>
      </c>
      <c r="Q165">
        <v>2.75</v>
      </c>
    </row>
    <row r="166" spans="1:17" hidden="1">
      <c r="A166" s="6" t="s">
        <v>27</v>
      </c>
      <c r="B166">
        <v>2025</v>
      </c>
      <c r="C166" t="s">
        <v>18</v>
      </c>
      <c r="D166" s="1">
        <v>45961</v>
      </c>
      <c r="E166" s="1">
        <v>45911</v>
      </c>
      <c r="F166">
        <v>982</v>
      </c>
      <c r="H166">
        <v>5420</v>
      </c>
      <c r="I166">
        <v>9745</v>
      </c>
      <c r="J166">
        <v>1001</v>
      </c>
      <c r="K166">
        <v>961989</v>
      </c>
      <c r="L166">
        <v>7.7399999999999997E-2</v>
      </c>
      <c r="M166">
        <v>2.6</v>
      </c>
      <c r="N166">
        <v>0.7</v>
      </c>
      <c r="O166">
        <v>7.1</v>
      </c>
      <c r="P166">
        <v>6.8</v>
      </c>
      <c r="Q166">
        <v>2.25</v>
      </c>
    </row>
  </sheetData>
  <autoFilter ref="A1:S166" xr:uid="{00000000-0009-0000-0000-000000000000}">
    <filterColumn colId="0">
      <filters>
        <filter val="RB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Tala Abuzeid</cp:lastModifiedBy>
  <cp:revision/>
  <dcterms:created xsi:type="dcterms:W3CDTF">2026-01-26T21:29:17Z</dcterms:created>
  <dcterms:modified xsi:type="dcterms:W3CDTF">2026-02-06T17:11:10Z</dcterms:modified>
  <cp:category/>
  <cp:contentStatus/>
</cp:coreProperties>
</file>